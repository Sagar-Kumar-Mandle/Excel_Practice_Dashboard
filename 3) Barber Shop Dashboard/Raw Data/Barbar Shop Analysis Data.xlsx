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CE\Sagar BCC\2) Pratice Project Dashboard\1) Excel\4) Barbar Shop Dashboard\"/>
    </mc:Choice>
  </mc:AlternateContent>
  <xr:revisionPtr revIDLastSave="0" documentId="13_ncr:1_{6BA9EC75-8DB9-4FA8-96B0-7D47D633B28E}" xr6:coauthVersionLast="47" xr6:coauthVersionMax="47" xr10:uidLastSave="{00000000-0000-0000-0000-000000000000}"/>
  <bookViews>
    <workbookView xWindow="-120" yWindow="-120" windowWidth="20730" windowHeight="11160" activeTab="1" xr2:uid="{F1D6C647-1EF0-4E2D-BF97-C745F254052F}"/>
  </bookViews>
  <sheets>
    <sheet name="Important Details" sheetId="4" r:id="rId1"/>
    <sheet name="Main Sheet" sheetId="3" r:id="rId2"/>
  </sheets>
  <definedNames>
    <definedName name="CH">OFFSET(tbl_state[[#All],[Chicago]],1,,COUNTA(tbl_state[Chicago]),)</definedName>
    <definedName name="DA">OFFSET(tbl_state[[#All],[Dallas]],1,,COUNTA(tbl_state[Dallas]),)</definedName>
    <definedName name="LA">OFFSET(tbl_state[[#All],[Los Angeles]],1,,COUNTA(tbl_state[Los Angeles]),)</definedName>
    <definedName name="NY">OFFSET(tbl_state[[#All],[New York]],1,,COUNTA(tbl_state[New York]),)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" i="3"/>
  <c r="M1231" i="3"/>
  <c r="M1251" i="3"/>
  <c r="M1267" i="3"/>
  <c r="M1283" i="3"/>
  <c r="M1299" i="3"/>
  <c r="M1315" i="3"/>
  <c r="M1331" i="3"/>
  <c r="M1347" i="3"/>
  <c r="M1363" i="3"/>
  <c r="M1379" i="3"/>
  <c r="M1395" i="3"/>
  <c r="M1411" i="3"/>
  <c r="M1427" i="3"/>
  <c r="M1443" i="3"/>
  <c r="M1459" i="3"/>
  <c r="M1475" i="3"/>
  <c r="M1491" i="3"/>
  <c r="M1507" i="3"/>
  <c r="M1523" i="3"/>
  <c r="M1539" i="3"/>
  <c r="M1555" i="3"/>
  <c r="M1571" i="3"/>
  <c r="M1587" i="3"/>
  <c r="M1603" i="3"/>
  <c r="M1619" i="3"/>
  <c r="M1635" i="3"/>
  <c r="M1651" i="3"/>
  <c r="M1667" i="3"/>
  <c r="M1683" i="3"/>
  <c r="M1699" i="3"/>
  <c r="M1715" i="3"/>
  <c r="M1731" i="3"/>
  <c r="M1747" i="3"/>
  <c r="M1759" i="3"/>
  <c r="M1767" i="3"/>
  <c r="M1775" i="3"/>
  <c r="M1783" i="3"/>
  <c r="M1791" i="3"/>
  <c r="M1799" i="3"/>
  <c r="M1807" i="3"/>
  <c r="M1815" i="3"/>
  <c r="M2054" i="3"/>
  <c r="M2070" i="3"/>
  <c r="M2086" i="3"/>
  <c r="M2102" i="3"/>
  <c r="M2118" i="3"/>
  <c r="M2134" i="3"/>
  <c r="M2150" i="3"/>
  <c r="M2166" i="3"/>
  <c r="M2182" i="3"/>
  <c r="K2" i="3"/>
  <c r="M2" i="3" s="1"/>
  <c r="K3" i="3"/>
  <c r="M3" i="3" s="1"/>
  <c r="K4" i="3"/>
  <c r="M4" i="3" s="1"/>
  <c r="K5" i="3"/>
  <c r="M5" i="3" s="1"/>
  <c r="K6" i="3"/>
  <c r="M6" i="3" s="1"/>
  <c r="K7" i="3"/>
  <c r="M7" i="3" s="1"/>
  <c r="K8" i="3"/>
  <c r="M8" i="3" s="1"/>
  <c r="K9" i="3"/>
  <c r="M9" i="3" s="1"/>
  <c r="K10" i="3"/>
  <c r="M10" i="3" s="1"/>
  <c r="K11" i="3"/>
  <c r="M11" i="3" s="1"/>
  <c r="K12" i="3"/>
  <c r="M12" i="3" s="1"/>
  <c r="K13" i="3"/>
  <c r="M13" i="3" s="1"/>
  <c r="K14" i="3"/>
  <c r="M14" i="3" s="1"/>
  <c r="K15" i="3"/>
  <c r="M15" i="3" s="1"/>
  <c r="K16" i="3"/>
  <c r="M16" i="3" s="1"/>
  <c r="K17" i="3"/>
  <c r="M17" i="3" s="1"/>
  <c r="K18" i="3"/>
  <c r="M18" i="3" s="1"/>
  <c r="K19" i="3"/>
  <c r="M19" i="3" s="1"/>
  <c r="K20" i="3"/>
  <c r="M20" i="3" s="1"/>
  <c r="K21" i="3"/>
  <c r="M21" i="3" s="1"/>
  <c r="K22" i="3"/>
  <c r="M22" i="3" s="1"/>
  <c r="K23" i="3"/>
  <c r="M23" i="3" s="1"/>
  <c r="K24" i="3"/>
  <c r="M24" i="3" s="1"/>
  <c r="K25" i="3"/>
  <c r="M25" i="3" s="1"/>
  <c r="K26" i="3"/>
  <c r="M26" i="3" s="1"/>
  <c r="K27" i="3"/>
  <c r="M27" i="3" s="1"/>
  <c r="K28" i="3"/>
  <c r="M28" i="3" s="1"/>
  <c r="K29" i="3"/>
  <c r="M29" i="3" s="1"/>
  <c r="K30" i="3"/>
  <c r="M30" i="3" s="1"/>
  <c r="K31" i="3"/>
  <c r="M31" i="3" s="1"/>
  <c r="K32" i="3"/>
  <c r="M32" i="3" s="1"/>
  <c r="K33" i="3"/>
  <c r="M33" i="3" s="1"/>
  <c r="K34" i="3"/>
  <c r="M34" i="3" s="1"/>
  <c r="K35" i="3"/>
  <c r="M35" i="3" s="1"/>
  <c r="K36" i="3"/>
  <c r="M36" i="3" s="1"/>
  <c r="K37" i="3"/>
  <c r="M37" i="3" s="1"/>
  <c r="K38" i="3"/>
  <c r="M38" i="3" s="1"/>
  <c r="K39" i="3"/>
  <c r="M39" i="3" s="1"/>
  <c r="K40" i="3"/>
  <c r="M40" i="3" s="1"/>
  <c r="K41" i="3"/>
  <c r="M41" i="3" s="1"/>
  <c r="K42" i="3"/>
  <c r="M42" i="3" s="1"/>
  <c r="K43" i="3"/>
  <c r="M43" i="3" s="1"/>
  <c r="K44" i="3"/>
  <c r="M44" i="3" s="1"/>
  <c r="K45" i="3"/>
  <c r="M45" i="3" s="1"/>
  <c r="K46" i="3"/>
  <c r="M46" i="3" s="1"/>
  <c r="K47" i="3"/>
  <c r="M47" i="3" s="1"/>
  <c r="K48" i="3"/>
  <c r="M48" i="3" s="1"/>
  <c r="K49" i="3"/>
  <c r="M49" i="3" s="1"/>
  <c r="K50" i="3"/>
  <c r="M50" i="3" s="1"/>
  <c r="K51" i="3"/>
  <c r="M51" i="3" s="1"/>
  <c r="K52" i="3"/>
  <c r="M52" i="3" s="1"/>
  <c r="K53" i="3"/>
  <c r="M53" i="3" s="1"/>
  <c r="K54" i="3"/>
  <c r="M54" i="3" s="1"/>
  <c r="K55" i="3"/>
  <c r="M55" i="3" s="1"/>
  <c r="K56" i="3"/>
  <c r="M56" i="3" s="1"/>
  <c r="K57" i="3"/>
  <c r="M57" i="3" s="1"/>
  <c r="K58" i="3"/>
  <c r="M58" i="3" s="1"/>
  <c r="K59" i="3"/>
  <c r="M59" i="3" s="1"/>
  <c r="K60" i="3"/>
  <c r="M60" i="3" s="1"/>
  <c r="K61" i="3"/>
  <c r="M61" i="3" s="1"/>
  <c r="K62" i="3"/>
  <c r="M62" i="3" s="1"/>
  <c r="K63" i="3"/>
  <c r="M63" i="3" s="1"/>
  <c r="K64" i="3"/>
  <c r="M64" i="3" s="1"/>
  <c r="K65" i="3"/>
  <c r="M65" i="3" s="1"/>
  <c r="K66" i="3"/>
  <c r="M66" i="3" s="1"/>
  <c r="K67" i="3"/>
  <c r="M67" i="3" s="1"/>
  <c r="K68" i="3"/>
  <c r="M68" i="3" s="1"/>
  <c r="K69" i="3"/>
  <c r="M69" i="3" s="1"/>
  <c r="K70" i="3"/>
  <c r="M70" i="3" s="1"/>
  <c r="K71" i="3"/>
  <c r="M71" i="3" s="1"/>
  <c r="K72" i="3"/>
  <c r="M72" i="3" s="1"/>
  <c r="K73" i="3"/>
  <c r="M73" i="3" s="1"/>
  <c r="K74" i="3"/>
  <c r="M74" i="3" s="1"/>
  <c r="K75" i="3"/>
  <c r="M75" i="3" s="1"/>
  <c r="K76" i="3"/>
  <c r="M76" i="3" s="1"/>
  <c r="K77" i="3"/>
  <c r="M77" i="3" s="1"/>
  <c r="K78" i="3"/>
  <c r="M78" i="3" s="1"/>
  <c r="K79" i="3"/>
  <c r="M79" i="3" s="1"/>
  <c r="K80" i="3"/>
  <c r="M80" i="3" s="1"/>
  <c r="K81" i="3"/>
  <c r="M81" i="3" s="1"/>
  <c r="K82" i="3"/>
  <c r="M82" i="3" s="1"/>
  <c r="K83" i="3"/>
  <c r="M83" i="3" s="1"/>
  <c r="K84" i="3"/>
  <c r="M84" i="3" s="1"/>
  <c r="K85" i="3"/>
  <c r="M85" i="3" s="1"/>
  <c r="K86" i="3"/>
  <c r="M86" i="3" s="1"/>
  <c r="K87" i="3"/>
  <c r="M87" i="3" s="1"/>
  <c r="K88" i="3"/>
  <c r="M88" i="3" s="1"/>
  <c r="K89" i="3"/>
  <c r="M89" i="3" s="1"/>
  <c r="K90" i="3"/>
  <c r="M90" i="3" s="1"/>
  <c r="K91" i="3"/>
  <c r="M91" i="3" s="1"/>
  <c r="K92" i="3"/>
  <c r="M92" i="3" s="1"/>
  <c r="K93" i="3"/>
  <c r="M93" i="3" s="1"/>
  <c r="K94" i="3"/>
  <c r="M94" i="3" s="1"/>
  <c r="K95" i="3"/>
  <c r="M95" i="3" s="1"/>
  <c r="K96" i="3"/>
  <c r="M96" i="3" s="1"/>
  <c r="K97" i="3"/>
  <c r="M97" i="3" s="1"/>
  <c r="K98" i="3"/>
  <c r="M98" i="3" s="1"/>
  <c r="K99" i="3"/>
  <c r="M99" i="3" s="1"/>
  <c r="K100" i="3"/>
  <c r="M100" i="3" s="1"/>
  <c r="K101" i="3"/>
  <c r="M101" i="3" s="1"/>
  <c r="K102" i="3"/>
  <c r="M102" i="3" s="1"/>
  <c r="K103" i="3"/>
  <c r="M103" i="3" s="1"/>
  <c r="K104" i="3"/>
  <c r="M104" i="3" s="1"/>
  <c r="K105" i="3"/>
  <c r="M105" i="3" s="1"/>
  <c r="K106" i="3"/>
  <c r="M106" i="3" s="1"/>
  <c r="K107" i="3"/>
  <c r="M107" i="3" s="1"/>
  <c r="K108" i="3"/>
  <c r="M108" i="3" s="1"/>
  <c r="K109" i="3"/>
  <c r="M109" i="3" s="1"/>
  <c r="K110" i="3"/>
  <c r="M110" i="3" s="1"/>
  <c r="K111" i="3"/>
  <c r="M111" i="3" s="1"/>
  <c r="K112" i="3"/>
  <c r="M112" i="3" s="1"/>
  <c r="K113" i="3"/>
  <c r="M113" i="3" s="1"/>
  <c r="K114" i="3"/>
  <c r="M114" i="3" s="1"/>
  <c r="K115" i="3"/>
  <c r="M115" i="3" s="1"/>
  <c r="K116" i="3"/>
  <c r="M116" i="3" s="1"/>
  <c r="K117" i="3"/>
  <c r="M117" i="3" s="1"/>
  <c r="K118" i="3"/>
  <c r="M118" i="3" s="1"/>
  <c r="K119" i="3"/>
  <c r="M119" i="3" s="1"/>
  <c r="K120" i="3"/>
  <c r="M120" i="3" s="1"/>
  <c r="K121" i="3"/>
  <c r="M121" i="3" s="1"/>
  <c r="K122" i="3"/>
  <c r="M122" i="3" s="1"/>
  <c r="K123" i="3"/>
  <c r="M123" i="3" s="1"/>
  <c r="K124" i="3"/>
  <c r="M124" i="3" s="1"/>
  <c r="K125" i="3"/>
  <c r="M125" i="3" s="1"/>
  <c r="K126" i="3"/>
  <c r="M126" i="3" s="1"/>
  <c r="K127" i="3"/>
  <c r="M127" i="3" s="1"/>
  <c r="K128" i="3"/>
  <c r="M128" i="3" s="1"/>
  <c r="K129" i="3"/>
  <c r="M129" i="3" s="1"/>
  <c r="K130" i="3"/>
  <c r="M130" i="3" s="1"/>
  <c r="K131" i="3"/>
  <c r="M131" i="3" s="1"/>
  <c r="K132" i="3"/>
  <c r="M132" i="3" s="1"/>
  <c r="K133" i="3"/>
  <c r="M133" i="3" s="1"/>
  <c r="K134" i="3"/>
  <c r="M134" i="3" s="1"/>
  <c r="K135" i="3"/>
  <c r="M135" i="3" s="1"/>
  <c r="K136" i="3"/>
  <c r="M136" i="3" s="1"/>
  <c r="K137" i="3"/>
  <c r="M137" i="3" s="1"/>
  <c r="K138" i="3"/>
  <c r="M138" i="3" s="1"/>
  <c r="K139" i="3"/>
  <c r="M139" i="3" s="1"/>
  <c r="K140" i="3"/>
  <c r="M140" i="3" s="1"/>
  <c r="K141" i="3"/>
  <c r="M141" i="3" s="1"/>
  <c r="K142" i="3"/>
  <c r="M142" i="3" s="1"/>
  <c r="K143" i="3"/>
  <c r="M143" i="3" s="1"/>
  <c r="K144" i="3"/>
  <c r="M144" i="3" s="1"/>
  <c r="K145" i="3"/>
  <c r="M145" i="3" s="1"/>
  <c r="K146" i="3"/>
  <c r="M146" i="3" s="1"/>
  <c r="K147" i="3"/>
  <c r="M147" i="3" s="1"/>
  <c r="K148" i="3"/>
  <c r="M148" i="3" s="1"/>
  <c r="K149" i="3"/>
  <c r="M149" i="3" s="1"/>
  <c r="K150" i="3"/>
  <c r="M150" i="3" s="1"/>
  <c r="K151" i="3"/>
  <c r="M151" i="3" s="1"/>
  <c r="K152" i="3"/>
  <c r="M152" i="3" s="1"/>
  <c r="K153" i="3"/>
  <c r="M153" i="3" s="1"/>
  <c r="K154" i="3"/>
  <c r="M154" i="3" s="1"/>
  <c r="K155" i="3"/>
  <c r="M155" i="3" s="1"/>
  <c r="K156" i="3"/>
  <c r="M156" i="3" s="1"/>
  <c r="K157" i="3"/>
  <c r="M157" i="3" s="1"/>
  <c r="K158" i="3"/>
  <c r="M158" i="3" s="1"/>
  <c r="K159" i="3"/>
  <c r="M159" i="3" s="1"/>
  <c r="K160" i="3"/>
  <c r="M160" i="3" s="1"/>
  <c r="K161" i="3"/>
  <c r="M161" i="3" s="1"/>
  <c r="K162" i="3"/>
  <c r="M162" i="3" s="1"/>
  <c r="K163" i="3"/>
  <c r="M163" i="3" s="1"/>
  <c r="K164" i="3"/>
  <c r="M164" i="3" s="1"/>
  <c r="K165" i="3"/>
  <c r="M165" i="3" s="1"/>
  <c r="K166" i="3"/>
  <c r="M166" i="3" s="1"/>
  <c r="K167" i="3"/>
  <c r="M167" i="3" s="1"/>
  <c r="K168" i="3"/>
  <c r="M168" i="3" s="1"/>
  <c r="K169" i="3"/>
  <c r="M169" i="3" s="1"/>
  <c r="K170" i="3"/>
  <c r="M170" i="3" s="1"/>
  <c r="K171" i="3"/>
  <c r="M171" i="3" s="1"/>
  <c r="K172" i="3"/>
  <c r="M172" i="3" s="1"/>
  <c r="K173" i="3"/>
  <c r="M173" i="3" s="1"/>
  <c r="K174" i="3"/>
  <c r="M174" i="3" s="1"/>
  <c r="K175" i="3"/>
  <c r="M175" i="3" s="1"/>
  <c r="K176" i="3"/>
  <c r="M176" i="3" s="1"/>
  <c r="K177" i="3"/>
  <c r="M177" i="3" s="1"/>
  <c r="K178" i="3"/>
  <c r="M178" i="3" s="1"/>
  <c r="K179" i="3"/>
  <c r="M179" i="3" s="1"/>
  <c r="K180" i="3"/>
  <c r="M180" i="3" s="1"/>
  <c r="K181" i="3"/>
  <c r="M181" i="3" s="1"/>
  <c r="K182" i="3"/>
  <c r="M182" i="3" s="1"/>
  <c r="K183" i="3"/>
  <c r="M183" i="3" s="1"/>
  <c r="K184" i="3"/>
  <c r="M184" i="3" s="1"/>
  <c r="K185" i="3"/>
  <c r="M185" i="3" s="1"/>
  <c r="K186" i="3"/>
  <c r="M186" i="3" s="1"/>
  <c r="K187" i="3"/>
  <c r="M187" i="3" s="1"/>
  <c r="K188" i="3"/>
  <c r="M188" i="3" s="1"/>
  <c r="K189" i="3"/>
  <c r="M189" i="3" s="1"/>
  <c r="K190" i="3"/>
  <c r="M190" i="3" s="1"/>
  <c r="K191" i="3"/>
  <c r="M191" i="3" s="1"/>
  <c r="K192" i="3"/>
  <c r="M192" i="3" s="1"/>
  <c r="K193" i="3"/>
  <c r="M193" i="3" s="1"/>
  <c r="K194" i="3"/>
  <c r="M194" i="3" s="1"/>
  <c r="K195" i="3"/>
  <c r="M195" i="3" s="1"/>
  <c r="K196" i="3"/>
  <c r="M196" i="3" s="1"/>
  <c r="K197" i="3"/>
  <c r="M197" i="3" s="1"/>
  <c r="K198" i="3"/>
  <c r="M198" i="3" s="1"/>
  <c r="K199" i="3"/>
  <c r="M199" i="3" s="1"/>
  <c r="K200" i="3"/>
  <c r="M200" i="3" s="1"/>
  <c r="K201" i="3"/>
  <c r="M201" i="3" s="1"/>
  <c r="K202" i="3"/>
  <c r="M202" i="3" s="1"/>
  <c r="K203" i="3"/>
  <c r="M203" i="3" s="1"/>
  <c r="K204" i="3"/>
  <c r="M204" i="3" s="1"/>
  <c r="K205" i="3"/>
  <c r="M205" i="3" s="1"/>
  <c r="K206" i="3"/>
  <c r="M206" i="3" s="1"/>
  <c r="K207" i="3"/>
  <c r="M207" i="3" s="1"/>
  <c r="K208" i="3"/>
  <c r="M208" i="3" s="1"/>
  <c r="K209" i="3"/>
  <c r="M209" i="3" s="1"/>
  <c r="K210" i="3"/>
  <c r="M210" i="3" s="1"/>
  <c r="K211" i="3"/>
  <c r="M211" i="3" s="1"/>
  <c r="K212" i="3"/>
  <c r="M212" i="3" s="1"/>
  <c r="K213" i="3"/>
  <c r="M213" i="3" s="1"/>
  <c r="K214" i="3"/>
  <c r="M214" i="3" s="1"/>
  <c r="K215" i="3"/>
  <c r="M215" i="3" s="1"/>
  <c r="K216" i="3"/>
  <c r="M216" i="3" s="1"/>
  <c r="K217" i="3"/>
  <c r="M217" i="3" s="1"/>
  <c r="K218" i="3"/>
  <c r="M218" i="3" s="1"/>
  <c r="K219" i="3"/>
  <c r="M219" i="3" s="1"/>
  <c r="K220" i="3"/>
  <c r="M220" i="3" s="1"/>
  <c r="K221" i="3"/>
  <c r="M221" i="3" s="1"/>
  <c r="K222" i="3"/>
  <c r="M222" i="3" s="1"/>
  <c r="K223" i="3"/>
  <c r="M223" i="3" s="1"/>
  <c r="K224" i="3"/>
  <c r="M224" i="3" s="1"/>
  <c r="K225" i="3"/>
  <c r="M225" i="3" s="1"/>
  <c r="K226" i="3"/>
  <c r="M226" i="3" s="1"/>
  <c r="K227" i="3"/>
  <c r="M227" i="3" s="1"/>
  <c r="K228" i="3"/>
  <c r="M228" i="3" s="1"/>
  <c r="K229" i="3"/>
  <c r="M229" i="3" s="1"/>
  <c r="K230" i="3"/>
  <c r="M230" i="3" s="1"/>
  <c r="K231" i="3"/>
  <c r="M231" i="3" s="1"/>
  <c r="K232" i="3"/>
  <c r="M232" i="3" s="1"/>
  <c r="K233" i="3"/>
  <c r="M233" i="3" s="1"/>
  <c r="K234" i="3"/>
  <c r="M234" i="3" s="1"/>
  <c r="K235" i="3"/>
  <c r="M235" i="3" s="1"/>
  <c r="K236" i="3"/>
  <c r="M236" i="3" s="1"/>
  <c r="K237" i="3"/>
  <c r="M237" i="3" s="1"/>
  <c r="K238" i="3"/>
  <c r="M238" i="3" s="1"/>
  <c r="K239" i="3"/>
  <c r="M239" i="3" s="1"/>
  <c r="K240" i="3"/>
  <c r="M240" i="3" s="1"/>
  <c r="K241" i="3"/>
  <c r="M241" i="3" s="1"/>
  <c r="K242" i="3"/>
  <c r="M242" i="3" s="1"/>
  <c r="K243" i="3"/>
  <c r="M243" i="3" s="1"/>
  <c r="K244" i="3"/>
  <c r="M244" i="3" s="1"/>
  <c r="K245" i="3"/>
  <c r="M245" i="3" s="1"/>
  <c r="K246" i="3"/>
  <c r="M246" i="3" s="1"/>
  <c r="K247" i="3"/>
  <c r="M247" i="3" s="1"/>
  <c r="K248" i="3"/>
  <c r="M248" i="3" s="1"/>
  <c r="K249" i="3"/>
  <c r="M249" i="3" s="1"/>
  <c r="K250" i="3"/>
  <c r="M250" i="3" s="1"/>
  <c r="K251" i="3"/>
  <c r="M251" i="3" s="1"/>
  <c r="K252" i="3"/>
  <c r="M252" i="3" s="1"/>
  <c r="K253" i="3"/>
  <c r="M253" i="3" s="1"/>
  <c r="K254" i="3"/>
  <c r="M254" i="3" s="1"/>
  <c r="K255" i="3"/>
  <c r="M255" i="3" s="1"/>
  <c r="K256" i="3"/>
  <c r="M256" i="3" s="1"/>
  <c r="K257" i="3"/>
  <c r="M257" i="3" s="1"/>
  <c r="K258" i="3"/>
  <c r="M258" i="3" s="1"/>
  <c r="K259" i="3"/>
  <c r="M259" i="3" s="1"/>
  <c r="K260" i="3"/>
  <c r="M260" i="3" s="1"/>
  <c r="K261" i="3"/>
  <c r="M261" i="3" s="1"/>
  <c r="K262" i="3"/>
  <c r="M262" i="3" s="1"/>
  <c r="K263" i="3"/>
  <c r="M263" i="3" s="1"/>
  <c r="K264" i="3"/>
  <c r="M264" i="3" s="1"/>
  <c r="K265" i="3"/>
  <c r="M265" i="3" s="1"/>
  <c r="K266" i="3"/>
  <c r="M266" i="3" s="1"/>
  <c r="K267" i="3"/>
  <c r="M267" i="3" s="1"/>
  <c r="K268" i="3"/>
  <c r="M268" i="3" s="1"/>
  <c r="K269" i="3"/>
  <c r="M269" i="3" s="1"/>
  <c r="K270" i="3"/>
  <c r="M270" i="3" s="1"/>
  <c r="K271" i="3"/>
  <c r="M271" i="3" s="1"/>
  <c r="K272" i="3"/>
  <c r="M272" i="3" s="1"/>
  <c r="K273" i="3"/>
  <c r="M273" i="3" s="1"/>
  <c r="K274" i="3"/>
  <c r="M274" i="3" s="1"/>
  <c r="K275" i="3"/>
  <c r="M275" i="3" s="1"/>
  <c r="K276" i="3"/>
  <c r="M276" i="3" s="1"/>
  <c r="K277" i="3"/>
  <c r="M277" i="3" s="1"/>
  <c r="K278" i="3"/>
  <c r="M278" i="3" s="1"/>
  <c r="K279" i="3"/>
  <c r="M279" i="3" s="1"/>
  <c r="K280" i="3"/>
  <c r="M280" i="3" s="1"/>
  <c r="K281" i="3"/>
  <c r="M281" i="3" s="1"/>
  <c r="K282" i="3"/>
  <c r="M282" i="3" s="1"/>
  <c r="K283" i="3"/>
  <c r="M283" i="3" s="1"/>
  <c r="K284" i="3"/>
  <c r="M284" i="3" s="1"/>
  <c r="K285" i="3"/>
  <c r="M285" i="3" s="1"/>
  <c r="K286" i="3"/>
  <c r="M286" i="3" s="1"/>
  <c r="K287" i="3"/>
  <c r="M287" i="3" s="1"/>
  <c r="K288" i="3"/>
  <c r="M288" i="3" s="1"/>
  <c r="K289" i="3"/>
  <c r="M289" i="3" s="1"/>
  <c r="K290" i="3"/>
  <c r="M290" i="3" s="1"/>
  <c r="K291" i="3"/>
  <c r="M291" i="3" s="1"/>
  <c r="K292" i="3"/>
  <c r="M292" i="3" s="1"/>
  <c r="K293" i="3"/>
  <c r="M293" i="3" s="1"/>
  <c r="K294" i="3"/>
  <c r="M294" i="3" s="1"/>
  <c r="K295" i="3"/>
  <c r="M295" i="3" s="1"/>
  <c r="K296" i="3"/>
  <c r="M296" i="3" s="1"/>
  <c r="K297" i="3"/>
  <c r="M297" i="3" s="1"/>
  <c r="K298" i="3"/>
  <c r="M298" i="3" s="1"/>
  <c r="K299" i="3"/>
  <c r="M299" i="3" s="1"/>
  <c r="K300" i="3"/>
  <c r="M300" i="3" s="1"/>
  <c r="K301" i="3"/>
  <c r="M301" i="3" s="1"/>
  <c r="K302" i="3"/>
  <c r="M302" i="3" s="1"/>
  <c r="K303" i="3"/>
  <c r="M303" i="3" s="1"/>
  <c r="K304" i="3"/>
  <c r="M304" i="3" s="1"/>
  <c r="K305" i="3"/>
  <c r="M305" i="3" s="1"/>
  <c r="K306" i="3"/>
  <c r="M306" i="3" s="1"/>
  <c r="K307" i="3"/>
  <c r="M307" i="3" s="1"/>
  <c r="K308" i="3"/>
  <c r="M308" i="3" s="1"/>
  <c r="K309" i="3"/>
  <c r="M309" i="3" s="1"/>
  <c r="K310" i="3"/>
  <c r="M310" i="3" s="1"/>
  <c r="K311" i="3"/>
  <c r="M311" i="3" s="1"/>
  <c r="K312" i="3"/>
  <c r="M312" i="3" s="1"/>
  <c r="K313" i="3"/>
  <c r="M313" i="3" s="1"/>
  <c r="K314" i="3"/>
  <c r="M314" i="3" s="1"/>
  <c r="K315" i="3"/>
  <c r="M315" i="3" s="1"/>
  <c r="K316" i="3"/>
  <c r="M316" i="3" s="1"/>
  <c r="K317" i="3"/>
  <c r="M317" i="3" s="1"/>
  <c r="K318" i="3"/>
  <c r="M318" i="3" s="1"/>
  <c r="K319" i="3"/>
  <c r="M319" i="3" s="1"/>
  <c r="K320" i="3"/>
  <c r="M320" i="3" s="1"/>
  <c r="K321" i="3"/>
  <c r="M321" i="3" s="1"/>
  <c r="K322" i="3"/>
  <c r="M322" i="3" s="1"/>
  <c r="K323" i="3"/>
  <c r="M323" i="3" s="1"/>
  <c r="K324" i="3"/>
  <c r="M324" i="3" s="1"/>
  <c r="K325" i="3"/>
  <c r="M325" i="3" s="1"/>
  <c r="K326" i="3"/>
  <c r="M326" i="3" s="1"/>
  <c r="K327" i="3"/>
  <c r="M327" i="3" s="1"/>
  <c r="K328" i="3"/>
  <c r="M328" i="3" s="1"/>
  <c r="K329" i="3"/>
  <c r="M329" i="3" s="1"/>
  <c r="K330" i="3"/>
  <c r="M330" i="3" s="1"/>
  <c r="K331" i="3"/>
  <c r="M331" i="3" s="1"/>
  <c r="K332" i="3"/>
  <c r="M332" i="3" s="1"/>
  <c r="K333" i="3"/>
  <c r="M333" i="3" s="1"/>
  <c r="K334" i="3"/>
  <c r="M334" i="3" s="1"/>
  <c r="K335" i="3"/>
  <c r="M335" i="3" s="1"/>
  <c r="K336" i="3"/>
  <c r="M336" i="3" s="1"/>
  <c r="K337" i="3"/>
  <c r="M337" i="3" s="1"/>
  <c r="K338" i="3"/>
  <c r="M338" i="3" s="1"/>
  <c r="K339" i="3"/>
  <c r="M339" i="3" s="1"/>
  <c r="K340" i="3"/>
  <c r="M340" i="3" s="1"/>
  <c r="K341" i="3"/>
  <c r="M341" i="3" s="1"/>
  <c r="K342" i="3"/>
  <c r="M342" i="3" s="1"/>
  <c r="K343" i="3"/>
  <c r="M343" i="3" s="1"/>
  <c r="K344" i="3"/>
  <c r="M344" i="3" s="1"/>
  <c r="K345" i="3"/>
  <c r="M345" i="3" s="1"/>
  <c r="K346" i="3"/>
  <c r="M346" i="3" s="1"/>
  <c r="K347" i="3"/>
  <c r="M347" i="3" s="1"/>
  <c r="K348" i="3"/>
  <c r="M348" i="3" s="1"/>
  <c r="K349" i="3"/>
  <c r="M349" i="3" s="1"/>
  <c r="K350" i="3"/>
  <c r="M350" i="3" s="1"/>
  <c r="K351" i="3"/>
  <c r="M351" i="3" s="1"/>
  <c r="K352" i="3"/>
  <c r="M352" i="3" s="1"/>
  <c r="K353" i="3"/>
  <c r="M353" i="3" s="1"/>
  <c r="K354" i="3"/>
  <c r="M354" i="3" s="1"/>
  <c r="K355" i="3"/>
  <c r="M355" i="3" s="1"/>
  <c r="K356" i="3"/>
  <c r="M356" i="3" s="1"/>
  <c r="K357" i="3"/>
  <c r="M357" i="3" s="1"/>
  <c r="K358" i="3"/>
  <c r="M358" i="3" s="1"/>
  <c r="K359" i="3"/>
  <c r="M359" i="3" s="1"/>
  <c r="K360" i="3"/>
  <c r="M360" i="3" s="1"/>
  <c r="K361" i="3"/>
  <c r="M361" i="3" s="1"/>
  <c r="K362" i="3"/>
  <c r="M362" i="3" s="1"/>
  <c r="K363" i="3"/>
  <c r="M363" i="3" s="1"/>
  <c r="K364" i="3"/>
  <c r="M364" i="3" s="1"/>
  <c r="K365" i="3"/>
  <c r="M365" i="3" s="1"/>
  <c r="K366" i="3"/>
  <c r="M366" i="3" s="1"/>
  <c r="K367" i="3"/>
  <c r="M367" i="3" s="1"/>
  <c r="K368" i="3"/>
  <c r="M368" i="3" s="1"/>
  <c r="K369" i="3"/>
  <c r="M369" i="3" s="1"/>
  <c r="K370" i="3"/>
  <c r="M370" i="3" s="1"/>
  <c r="K371" i="3"/>
  <c r="M371" i="3" s="1"/>
  <c r="K372" i="3"/>
  <c r="M372" i="3" s="1"/>
  <c r="K373" i="3"/>
  <c r="M373" i="3" s="1"/>
  <c r="K374" i="3"/>
  <c r="M374" i="3" s="1"/>
  <c r="K375" i="3"/>
  <c r="M375" i="3" s="1"/>
  <c r="K376" i="3"/>
  <c r="M376" i="3" s="1"/>
  <c r="K377" i="3"/>
  <c r="M377" i="3" s="1"/>
  <c r="K378" i="3"/>
  <c r="M378" i="3" s="1"/>
  <c r="K379" i="3"/>
  <c r="M379" i="3" s="1"/>
  <c r="K380" i="3"/>
  <c r="M380" i="3" s="1"/>
  <c r="K381" i="3"/>
  <c r="M381" i="3" s="1"/>
  <c r="K382" i="3"/>
  <c r="M382" i="3" s="1"/>
  <c r="K383" i="3"/>
  <c r="M383" i="3" s="1"/>
  <c r="K384" i="3"/>
  <c r="M384" i="3" s="1"/>
  <c r="K385" i="3"/>
  <c r="M385" i="3" s="1"/>
  <c r="K386" i="3"/>
  <c r="M386" i="3" s="1"/>
  <c r="K387" i="3"/>
  <c r="M387" i="3" s="1"/>
  <c r="K388" i="3"/>
  <c r="M388" i="3" s="1"/>
  <c r="K389" i="3"/>
  <c r="M389" i="3" s="1"/>
  <c r="K390" i="3"/>
  <c r="M390" i="3" s="1"/>
  <c r="K391" i="3"/>
  <c r="M391" i="3" s="1"/>
  <c r="K392" i="3"/>
  <c r="M392" i="3" s="1"/>
  <c r="K393" i="3"/>
  <c r="M393" i="3" s="1"/>
  <c r="K394" i="3"/>
  <c r="M394" i="3" s="1"/>
  <c r="K395" i="3"/>
  <c r="M395" i="3" s="1"/>
  <c r="K396" i="3"/>
  <c r="M396" i="3" s="1"/>
  <c r="K397" i="3"/>
  <c r="M397" i="3" s="1"/>
  <c r="K398" i="3"/>
  <c r="M398" i="3" s="1"/>
  <c r="K399" i="3"/>
  <c r="M399" i="3" s="1"/>
  <c r="K400" i="3"/>
  <c r="M400" i="3" s="1"/>
  <c r="K401" i="3"/>
  <c r="M401" i="3" s="1"/>
  <c r="K402" i="3"/>
  <c r="M402" i="3" s="1"/>
  <c r="K403" i="3"/>
  <c r="M403" i="3" s="1"/>
  <c r="K404" i="3"/>
  <c r="M404" i="3" s="1"/>
  <c r="K405" i="3"/>
  <c r="M405" i="3" s="1"/>
  <c r="K406" i="3"/>
  <c r="M406" i="3" s="1"/>
  <c r="K407" i="3"/>
  <c r="M407" i="3" s="1"/>
  <c r="K408" i="3"/>
  <c r="M408" i="3" s="1"/>
  <c r="K409" i="3"/>
  <c r="M409" i="3" s="1"/>
  <c r="K410" i="3"/>
  <c r="M410" i="3" s="1"/>
  <c r="K411" i="3"/>
  <c r="M411" i="3" s="1"/>
  <c r="K412" i="3"/>
  <c r="M412" i="3" s="1"/>
  <c r="K413" i="3"/>
  <c r="M413" i="3" s="1"/>
  <c r="K414" i="3"/>
  <c r="M414" i="3" s="1"/>
  <c r="K415" i="3"/>
  <c r="M415" i="3" s="1"/>
  <c r="K416" i="3"/>
  <c r="M416" i="3" s="1"/>
  <c r="K417" i="3"/>
  <c r="M417" i="3" s="1"/>
  <c r="K418" i="3"/>
  <c r="M418" i="3" s="1"/>
  <c r="K419" i="3"/>
  <c r="M419" i="3" s="1"/>
  <c r="K420" i="3"/>
  <c r="M420" i="3" s="1"/>
  <c r="K421" i="3"/>
  <c r="M421" i="3" s="1"/>
  <c r="K422" i="3"/>
  <c r="M422" i="3" s="1"/>
  <c r="K423" i="3"/>
  <c r="M423" i="3" s="1"/>
  <c r="K424" i="3"/>
  <c r="M424" i="3" s="1"/>
  <c r="K425" i="3"/>
  <c r="M425" i="3" s="1"/>
  <c r="K426" i="3"/>
  <c r="M426" i="3" s="1"/>
  <c r="K427" i="3"/>
  <c r="M427" i="3" s="1"/>
  <c r="K428" i="3"/>
  <c r="M428" i="3" s="1"/>
  <c r="K429" i="3"/>
  <c r="M429" i="3" s="1"/>
  <c r="K430" i="3"/>
  <c r="M430" i="3" s="1"/>
  <c r="K431" i="3"/>
  <c r="M431" i="3" s="1"/>
  <c r="K432" i="3"/>
  <c r="M432" i="3" s="1"/>
  <c r="K433" i="3"/>
  <c r="M433" i="3" s="1"/>
  <c r="K434" i="3"/>
  <c r="M434" i="3" s="1"/>
  <c r="K435" i="3"/>
  <c r="M435" i="3" s="1"/>
  <c r="K436" i="3"/>
  <c r="M436" i="3" s="1"/>
  <c r="K437" i="3"/>
  <c r="M437" i="3" s="1"/>
  <c r="K438" i="3"/>
  <c r="M438" i="3" s="1"/>
  <c r="K439" i="3"/>
  <c r="M439" i="3" s="1"/>
  <c r="K440" i="3"/>
  <c r="M440" i="3" s="1"/>
  <c r="K441" i="3"/>
  <c r="M441" i="3" s="1"/>
  <c r="K442" i="3"/>
  <c r="M442" i="3" s="1"/>
  <c r="K443" i="3"/>
  <c r="M443" i="3" s="1"/>
  <c r="K444" i="3"/>
  <c r="M444" i="3" s="1"/>
  <c r="K445" i="3"/>
  <c r="M445" i="3" s="1"/>
  <c r="K446" i="3"/>
  <c r="M446" i="3" s="1"/>
  <c r="K447" i="3"/>
  <c r="M447" i="3" s="1"/>
  <c r="K448" i="3"/>
  <c r="M448" i="3" s="1"/>
  <c r="K449" i="3"/>
  <c r="M449" i="3" s="1"/>
  <c r="K450" i="3"/>
  <c r="M450" i="3" s="1"/>
  <c r="K451" i="3"/>
  <c r="M451" i="3" s="1"/>
  <c r="K452" i="3"/>
  <c r="M452" i="3" s="1"/>
  <c r="K453" i="3"/>
  <c r="M453" i="3" s="1"/>
  <c r="K454" i="3"/>
  <c r="M454" i="3" s="1"/>
  <c r="K455" i="3"/>
  <c r="M455" i="3" s="1"/>
  <c r="K456" i="3"/>
  <c r="M456" i="3" s="1"/>
  <c r="K457" i="3"/>
  <c r="M457" i="3" s="1"/>
  <c r="K458" i="3"/>
  <c r="M458" i="3" s="1"/>
  <c r="K459" i="3"/>
  <c r="M459" i="3" s="1"/>
  <c r="K460" i="3"/>
  <c r="M460" i="3" s="1"/>
  <c r="K461" i="3"/>
  <c r="M461" i="3" s="1"/>
  <c r="K462" i="3"/>
  <c r="M462" i="3" s="1"/>
  <c r="K463" i="3"/>
  <c r="M463" i="3" s="1"/>
  <c r="K464" i="3"/>
  <c r="M464" i="3" s="1"/>
  <c r="K465" i="3"/>
  <c r="M465" i="3" s="1"/>
  <c r="K466" i="3"/>
  <c r="M466" i="3" s="1"/>
  <c r="K467" i="3"/>
  <c r="M467" i="3" s="1"/>
  <c r="K468" i="3"/>
  <c r="M468" i="3" s="1"/>
  <c r="K469" i="3"/>
  <c r="M469" i="3" s="1"/>
  <c r="K470" i="3"/>
  <c r="M470" i="3" s="1"/>
  <c r="K471" i="3"/>
  <c r="M471" i="3" s="1"/>
  <c r="K472" i="3"/>
  <c r="M472" i="3" s="1"/>
  <c r="K473" i="3"/>
  <c r="M473" i="3" s="1"/>
  <c r="K474" i="3"/>
  <c r="M474" i="3" s="1"/>
  <c r="K475" i="3"/>
  <c r="M475" i="3" s="1"/>
  <c r="K476" i="3"/>
  <c r="M476" i="3" s="1"/>
  <c r="K477" i="3"/>
  <c r="M477" i="3" s="1"/>
  <c r="K478" i="3"/>
  <c r="M478" i="3" s="1"/>
  <c r="K479" i="3"/>
  <c r="M479" i="3" s="1"/>
  <c r="K480" i="3"/>
  <c r="M480" i="3" s="1"/>
  <c r="K481" i="3"/>
  <c r="M481" i="3" s="1"/>
  <c r="K482" i="3"/>
  <c r="M482" i="3" s="1"/>
  <c r="K483" i="3"/>
  <c r="M483" i="3" s="1"/>
  <c r="K484" i="3"/>
  <c r="M484" i="3" s="1"/>
  <c r="K485" i="3"/>
  <c r="M485" i="3" s="1"/>
  <c r="K486" i="3"/>
  <c r="M486" i="3" s="1"/>
  <c r="K487" i="3"/>
  <c r="M487" i="3" s="1"/>
  <c r="K488" i="3"/>
  <c r="M488" i="3" s="1"/>
  <c r="K489" i="3"/>
  <c r="M489" i="3" s="1"/>
  <c r="K490" i="3"/>
  <c r="M490" i="3" s="1"/>
  <c r="K491" i="3"/>
  <c r="M491" i="3" s="1"/>
  <c r="K492" i="3"/>
  <c r="M492" i="3" s="1"/>
  <c r="K493" i="3"/>
  <c r="M493" i="3" s="1"/>
  <c r="K494" i="3"/>
  <c r="M494" i="3" s="1"/>
  <c r="K495" i="3"/>
  <c r="M495" i="3" s="1"/>
  <c r="K496" i="3"/>
  <c r="M496" i="3" s="1"/>
  <c r="K497" i="3"/>
  <c r="M497" i="3" s="1"/>
  <c r="K498" i="3"/>
  <c r="M498" i="3" s="1"/>
  <c r="K499" i="3"/>
  <c r="M499" i="3" s="1"/>
  <c r="K500" i="3"/>
  <c r="M500" i="3" s="1"/>
  <c r="K501" i="3"/>
  <c r="M501" i="3" s="1"/>
  <c r="K502" i="3"/>
  <c r="M502" i="3" s="1"/>
  <c r="K503" i="3"/>
  <c r="M503" i="3" s="1"/>
  <c r="K504" i="3"/>
  <c r="M504" i="3" s="1"/>
  <c r="K505" i="3"/>
  <c r="M505" i="3" s="1"/>
  <c r="K506" i="3"/>
  <c r="M506" i="3" s="1"/>
  <c r="K507" i="3"/>
  <c r="M507" i="3" s="1"/>
  <c r="K508" i="3"/>
  <c r="M508" i="3" s="1"/>
  <c r="K509" i="3"/>
  <c r="M509" i="3" s="1"/>
  <c r="K510" i="3"/>
  <c r="M510" i="3" s="1"/>
  <c r="K511" i="3"/>
  <c r="M511" i="3" s="1"/>
  <c r="K512" i="3"/>
  <c r="M512" i="3" s="1"/>
  <c r="K513" i="3"/>
  <c r="M513" i="3" s="1"/>
  <c r="K514" i="3"/>
  <c r="M514" i="3" s="1"/>
  <c r="K515" i="3"/>
  <c r="M515" i="3" s="1"/>
  <c r="K516" i="3"/>
  <c r="M516" i="3" s="1"/>
  <c r="K517" i="3"/>
  <c r="M517" i="3" s="1"/>
  <c r="K518" i="3"/>
  <c r="M518" i="3" s="1"/>
  <c r="K519" i="3"/>
  <c r="M519" i="3" s="1"/>
  <c r="K520" i="3"/>
  <c r="M520" i="3" s="1"/>
  <c r="K521" i="3"/>
  <c r="M521" i="3" s="1"/>
  <c r="K522" i="3"/>
  <c r="M522" i="3" s="1"/>
  <c r="K523" i="3"/>
  <c r="M523" i="3" s="1"/>
  <c r="K524" i="3"/>
  <c r="M524" i="3" s="1"/>
  <c r="K525" i="3"/>
  <c r="M525" i="3" s="1"/>
  <c r="K526" i="3"/>
  <c r="M526" i="3" s="1"/>
  <c r="K527" i="3"/>
  <c r="M527" i="3" s="1"/>
  <c r="K528" i="3"/>
  <c r="M528" i="3" s="1"/>
  <c r="K529" i="3"/>
  <c r="M529" i="3" s="1"/>
  <c r="K530" i="3"/>
  <c r="M530" i="3" s="1"/>
  <c r="K531" i="3"/>
  <c r="M531" i="3" s="1"/>
  <c r="K532" i="3"/>
  <c r="M532" i="3" s="1"/>
  <c r="K533" i="3"/>
  <c r="M533" i="3" s="1"/>
  <c r="K534" i="3"/>
  <c r="M534" i="3" s="1"/>
  <c r="K535" i="3"/>
  <c r="M535" i="3" s="1"/>
  <c r="K536" i="3"/>
  <c r="M536" i="3" s="1"/>
  <c r="K537" i="3"/>
  <c r="M537" i="3" s="1"/>
  <c r="K538" i="3"/>
  <c r="M538" i="3" s="1"/>
  <c r="K539" i="3"/>
  <c r="M539" i="3" s="1"/>
  <c r="K540" i="3"/>
  <c r="M540" i="3" s="1"/>
  <c r="K541" i="3"/>
  <c r="M541" i="3" s="1"/>
  <c r="K542" i="3"/>
  <c r="M542" i="3" s="1"/>
  <c r="K543" i="3"/>
  <c r="M543" i="3" s="1"/>
  <c r="K544" i="3"/>
  <c r="M544" i="3" s="1"/>
  <c r="K545" i="3"/>
  <c r="M545" i="3" s="1"/>
  <c r="K546" i="3"/>
  <c r="M546" i="3" s="1"/>
  <c r="K547" i="3"/>
  <c r="M547" i="3" s="1"/>
  <c r="K548" i="3"/>
  <c r="M548" i="3" s="1"/>
  <c r="K549" i="3"/>
  <c r="M549" i="3" s="1"/>
  <c r="K550" i="3"/>
  <c r="M550" i="3" s="1"/>
  <c r="K551" i="3"/>
  <c r="M551" i="3" s="1"/>
  <c r="K552" i="3"/>
  <c r="M552" i="3" s="1"/>
  <c r="K553" i="3"/>
  <c r="M553" i="3" s="1"/>
  <c r="K554" i="3"/>
  <c r="M554" i="3" s="1"/>
  <c r="K555" i="3"/>
  <c r="M555" i="3" s="1"/>
  <c r="K556" i="3"/>
  <c r="M556" i="3" s="1"/>
  <c r="K557" i="3"/>
  <c r="M557" i="3" s="1"/>
  <c r="K558" i="3"/>
  <c r="M558" i="3" s="1"/>
  <c r="K559" i="3"/>
  <c r="M559" i="3" s="1"/>
  <c r="K560" i="3"/>
  <c r="M560" i="3" s="1"/>
  <c r="K561" i="3"/>
  <c r="M561" i="3" s="1"/>
  <c r="K562" i="3"/>
  <c r="M562" i="3" s="1"/>
  <c r="K563" i="3"/>
  <c r="M563" i="3" s="1"/>
  <c r="K564" i="3"/>
  <c r="M564" i="3" s="1"/>
  <c r="K565" i="3"/>
  <c r="M565" i="3" s="1"/>
  <c r="K566" i="3"/>
  <c r="M566" i="3" s="1"/>
  <c r="K567" i="3"/>
  <c r="M567" i="3" s="1"/>
  <c r="K568" i="3"/>
  <c r="M568" i="3" s="1"/>
  <c r="K569" i="3"/>
  <c r="M569" i="3" s="1"/>
  <c r="K570" i="3"/>
  <c r="M570" i="3" s="1"/>
  <c r="K571" i="3"/>
  <c r="M571" i="3" s="1"/>
  <c r="K572" i="3"/>
  <c r="M572" i="3" s="1"/>
  <c r="K573" i="3"/>
  <c r="M573" i="3" s="1"/>
  <c r="K574" i="3"/>
  <c r="M574" i="3" s="1"/>
  <c r="K575" i="3"/>
  <c r="M575" i="3" s="1"/>
  <c r="K576" i="3"/>
  <c r="M576" i="3" s="1"/>
  <c r="K577" i="3"/>
  <c r="M577" i="3" s="1"/>
  <c r="K578" i="3"/>
  <c r="M578" i="3" s="1"/>
  <c r="K579" i="3"/>
  <c r="M579" i="3" s="1"/>
  <c r="K580" i="3"/>
  <c r="M580" i="3" s="1"/>
  <c r="K581" i="3"/>
  <c r="M581" i="3" s="1"/>
  <c r="K582" i="3"/>
  <c r="M582" i="3" s="1"/>
  <c r="K583" i="3"/>
  <c r="M583" i="3" s="1"/>
  <c r="K584" i="3"/>
  <c r="M584" i="3" s="1"/>
  <c r="K585" i="3"/>
  <c r="M585" i="3" s="1"/>
  <c r="K586" i="3"/>
  <c r="M586" i="3" s="1"/>
  <c r="K587" i="3"/>
  <c r="M587" i="3" s="1"/>
  <c r="K588" i="3"/>
  <c r="M588" i="3" s="1"/>
  <c r="K589" i="3"/>
  <c r="M589" i="3" s="1"/>
  <c r="K590" i="3"/>
  <c r="M590" i="3" s="1"/>
  <c r="K591" i="3"/>
  <c r="M591" i="3" s="1"/>
  <c r="K592" i="3"/>
  <c r="M592" i="3" s="1"/>
  <c r="K593" i="3"/>
  <c r="M593" i="3" s="1"/>
  <c r="K594" i="3"/>
  <c r="M594" i="3" s="1"/>
  <c r="K595" i="3"/>
  <c r="M595" i="3" s="1"/>
  <c r="K596" i="3"/>
  <c r="M596" i="3" s="1"/>
  <c r="K597" i="3"/>
  <c r="M597" i="3" s="1"/>
  <c r="K598" i="3"/>
  <c r="M598" i="3" s="1"/>
  <c r="K599" i="3"/>
  <c r="M599" i="3" s="1"/>
  <c r="K600" i="3"/>
  <c r="M600" i="3" s="1"/>
  <c r="K601" i="3"/>
  <c r="M601" i="3" s="1"/>
  <c r="K602" i="3"/>
  <c r="M602" i="3" s="1"/>
  <c r="K603" i="3"/>
  <c r="M603" i="3" s="1"/>
  <c r="K604" i="3"/>
  <c r="M604" i="3" s="1"/>
  <c r="K605" i="3"/>
  <c r="M605" i="3" s="1"/>
  <c r="K606" i="3"/>
  <c r="M606" i="3" s="1"/>
  <c r="K607" i="3"/>
  <c r="M607" i="3" s="1"/>
  <c r="K608" i="3"/>
  <c r="M608" i="3" s="1"/>
  <c r="K609" i="3"/>
  <c r="M609" i="3" s="1"/>
  <c r="K610" i="3"/>
  <c r="M610" i="3" s="1"/>
  <c r="K611" i="3"/>
  <c r="M611" i="3" s="1"/>
  <c r="K612" i="3"/>
  <c r="M612" i="3" s="1"/>
  <c r="K613" i="3"/>
  <c r="M613" i="3" s="1"/>
  <c r="K614" i="3"/>
  <c r="M614" i="3" s="1"/>
  <c r="K615" i="3"/>
  <c r="M615" i="3" s="1"/>
  <c r="K616" i="3"/>
  <c r="M616" i="3" s="1"/>
  <c r="K617" i="3"/>
  <c r="M617" i="3" s="1"/>
  <c r="K618" i="3"/>
  <c r="M618" i="3" s="1"/>
  <c r="K619" i="3"/>
  <c r="M619" i="3" s="1"/>
  <c r="K620" i="3"/>
  <c r="M620" i="3" s="1"/>
  <c r="K621" i="3"/>
  <c r="M621" i="3" s="1"/>
  <c r="K622" i="3"/>
  <c r="M622" i="3" s="1"/>
  <c r="K623" i="3"/>
  <c r="M623" i="3" s="1"/>
  <c r="K624" i="3"/>
  <c r="M624" i="3" s="1"/>
  <c r="K625" i="3"/>
  <c r="M625" i="3" s="1"/>
  <c r="K626" i="3"/>
  <c r="M626" i="3" s="1"/>
  <c r="K627" i="3"/>
  <c r="M627" i="3" s="1"/>
  <c r="K628" i="3"/>
  <c r="M628" i="3" s="1"/>
  <c r="K629" i="3"/>
  <c r="M629" i="3" s="1"/>
  <c r="K630" i="3"/>
  <c r="M630" i="3" s="1"/>
  <c r="K631" i="3"/>
  <c r="M631" i="3" s="1"/>
  <c r="K632" i="3"/>
  <c r="M632" i="3" s="1"/>
  <c r="K633" i="3"/>
  <c r="M633" i="3" s="1"/>
  <c r="K634" i="3"/>
  <c r="M634" i="3" s="1"/>
  <c r="K635" i="3"/>
  <c r="M635" i="3" s="1"/>
  <c r="K636" i="3"/>
  <c r="M636" i="3" s="1"/>
  <c r="K637" i="3"/>
  <c r="M637" i="3" s="1"/>
  <c r="K638" i="3"/>
  <c r="M638" i="3" s="1"/>
  <c r="K639" i="3"/>
  <c r="M639" i="3" s="1"/>
  <c r="K640" i="3"/>
  <c r="M640" i="3" s="1"/>
  <c r="K641" i="3"/>
  <c r="M641" i="3" s="1"/>
  <c r="K642" i="3"/>
  <c r="M642" i="3" s="1"/>
  <c r="K643" i="3"/>
  <c r="M643" i="3" s="1"/>
  <c r="K644" i="3"/>
  <c r="M644" i="3" s="1"/>
  <c r="K645" i="3"/>
  <c r="M645" i="3" s="1"/>
  <c r="K646" i="3"/>
  <c r="M646" i="3" s="1"/>
  <c r="K647" i="3"/>
  <c r="M647" i="3" s="1"/>
  <c r="K648" i="3"/>
  <c r="M648" i="3" s="1"/>
  <c r="K649" i="3"/>
  <c r="M649" i="3" s="1"/>
  <c r="K650" i="3"/>
  <c r="M650" i="3" s="1"/>
  <c r="K651" i="3"/>
  <c r="M651" i="3" s="1"/>
  <c r="K652" i="3"/>
  <c r="M652" i="3" s="1"/>
  <c r="K653" i="3"/>
  <c r="M653" i="3" s="1"/>
  <c r="K654" i="3"/>
  <c r="M654" i="3" s="1"/>
  <c r="K655" i="3"/>
  <c r="M655" i="3" s="1"/>
  <c r="K656" i="3"/>
  <c r="M656" i="3" s="1"/>
  <c r="K657" i="3"/>
  <c r="M657" i="3" s="1"/>
  <c r="K658" i="3"/>
  <c r="M658" i="3" s="1"/>
  <c r="K659" i="3"/>
  <c r="M659" i="3" s="1"/>
  <c r="K660" i="3"/>
  <c r="M660" i="3" s="1"/>
  <c r="K661" i="3"/>
  <c r="M661" i="3" s="1"/>
  <c r="K662" i="3"/>
  <c r="M662" i="3" s="1"/>
  <c r="K663" i="3"/>
  <c r="M663" i="3" s="1"/>
  <c r="K664" i="3"/>
  <c r="M664" i="3" s="1"/>
  <c r="K665" i="3"/>
  <c r="M665" i="3" s="1"/>
  <c r="K666" i="3"/>
  <c r="M666" i="3" s="1"/>
  <c r="K667" i="3"/>
  <c r="M667" i="3" s="1"/>
  <c r="K668" i="3"/>
  <c r="M668" i="3" s="1"/>
  <c r="K669" i="3"/>
  <c r="M669" i="3" s="1"/>
  <c r="K670" i="3"/>
  <c r="M670" i="3" s="1"/>
  <c r="K671" i="3"/>
  <c r="M671" i="3" s="1"/>
  <c r="K672" i="3"/>
  <c r="M672" i="3" s="1"/>
  <c r="K673" i="3"/>
  <c r="M673" i="3" s="1"/>
  <c r="K674" i="3"/>
  <c r="M674" i="3" s="1"/>
  <c r="K675" i="3"/>
  <c r="M675" i="3" s="1"/>
  <c r="K676" i="3"/>
  <c r="M676" i="3" s="1"/>
  <c r="K677" i="3"/>
  <c r="M677" i="3" s="1"/>
  <c r="K678" i="3"/>
  <c r="M678" i="3" s="1"/>
  <c r="K679" i="3"/>
  <c r="M679" i="3" s="1"/>
  <c r="K680" i="3"/>
  <c r="M680" i="3" s="1"/>
  <c r="K681" i="3"/>
  <c r="M681" i="3" s="1"/>
  <c r="K682" i="3"/>
  <c r="M682" i="3" s="1"/>
  <c r="K683" i="3"/>
  <c r="M683" i="3" s="1"/>
  <c r="K684" i="3"/>
  <c r="M684" i="3" s="1"/>
  <c r="K685" i="3"/>
  <c r="M685" i="3" s="1"/>
  <c r="K686" i="3"/>
  <c r="M686" i="3" s="1"/>
  <c r="K687" i="3"/>
  <c r="M687" i="3" s="1"/>
  <c r="K688" i="3"/>
  <c r="M688" i="3" s="1"/>
  <c r="K689" i="3"/>
  <c r="M689" i="3" s="1"/>
  <c r="K690" i="3"/>
  <c r="M690" i="3" s="1"/>
  <c r="K691" i="3"/>
  <c r="M691" i="3" s="1"/>
  <c r="K692" i="3"/>
  <c r="M692" i="3" s="1"/>
  <c r="K693" i="3"/>
  <c r="M693" i="3" s="1"/>
  <c r="K694" i="3"/>
  <c r="M694" i="3" s="1"/>
  <c r="K695" i="3"/>
  <c r="M695" i="3" s="1"/>
  <c r="K696" i="3"/>
  <c r="M696" i="3" s="1"/>
  <c r="K697" i="3"/>
  <c r="M697" i="3" s="1"/>
  <c r="K698" i="3"/>
  <c r="M698" i="3" s="1"/>
  <c r="K699" i="3"/>
  <c r="M699" i="3" s="1"/>
  <c r="K700" i="3"/>
  <c r="M700" i="3" s="1"/>
  <c r="K701" i="3"/>
  <c r="M701" i="3" s="1"/>
  <c r="K702" i="3"/>
  <c r="M702" i="3" s="1"/>
  <c r="K703" i="3"/>
  <c r="M703" i="3" s="1"/>
  <c r="K704" i="3"/>
  <c r="M704" i="3" s="1"/>
  <c r="K705" i="3"/>
  <c r="M705" i="3" s="1"/>
  <c r="K706" i="3"/>
  <c r="M706" i="3" s="1"/>
  <c r="K707" i="3"/>
  <c r="M707" i="3" s="1"/>
  <c r="K708" i="3"/>
  <c r="M708" i="3" s="1"/>
  <c r="K709" i="3"/>
  <c r="M709" i="3" s="1"/>
  <c r="K710" i="3"/>
  <c r="M710" i="3" s="1"/>
  <c r="K711" i="3"/>
  <c r="M711" i="3" s="1"/>
  <c r="K712" i="3"/>
  <c r="M712" i="3" s="1"/>
  <c r="K713" i="3"/>
  <c r="M713" i="3" s="1"/>
  <c r="K714" i="3"/>
  <c r="M714" i="3" s="1"/>
  <c r="K715" i="3"/>
  <c r="M715" i="3" s="1"/>
  <c r="K716" i="3"/>
  <c r="M716" i="3" s="1"/>
  <c r="K717" i="3"/>
  <c r="M717" i="3" s="1"/>
  <c r="K718" i="3"/>
  <c r="M718" i="3" s="1"/>
  <c r="K719" i="3"/>
  <c r="M719" i="3" s="1"/>
  <c r="K720" i="3"/>
  <c r="M720" i="3" s="1"/>
  <c r="K721" i="3"/>
  <c r="M721" i="3" s="1"/>
  <c r="K722" i="3"/>
  <c r="M722" i="3" s="1"/>
  <c r="K723" i="3"/>
  <c r="M723" i="3" s="1"/>
  <c r="K724" i="3"/>
  <c r="M724" i="3" s="1"/>
  <c r="K725" i="3"/>
  <c r="M725" i="3" s="1"/>
  <c r="K726" i="3"/>
  <c r="M726" i="3" s="1"/>
  <c r="K727" i="3"/>
  <c r="M727" i="3" s="1"/>
  <c r="K728" i="3"/>
  <c r="M728" i="3" s="1"/>
  <c r="K729" i="3"/>
  <c r="M729" i="3" s="1"/>
  <c r="K730" i="3"/>
  <c r="M730" i="3" s="1"/>
  <c r="K731" i="3"/>
  <c r="M731" i="3" s="1"/>
  <c r="K732" i="3"/>
  <c r="M732" i="3" s="1"/>
  <c r="K733" i="3"/>
  <c r="M733" i="3" s="1"/>
  <c r="K734" i="3"/>
  <c r="M734" i="3" s="1"/>
  <c r="K735" i="3"/>
  <c r="M735" i="3" s="1"/>
  <c r="K736" i="3"/>
  <c r="M736" i="3" s="1"/>
  <c r="K737" i="3"/>
  <c r="M737" i="3" s="1"/>
  <c r="K738" i="3"/>
  <c r="M738" i="3" s="1"/>
  <c r="K739" i="3"/>
  <c r="M739" i="3" s="1"/>
  <c r="K740" i="3"/>
  <c r="M740" i="3" s="1"/>
  <c r="K741" i="3"/>
  <c r="M741" i="3" s="1"/>
  <c r="K742" i="3"/>
  <c r="M742" i="3" s="1"/>
  <c r="K743" i="3"/>
  <c r="M743" i="3" s="1"/>
  <c r="K744" i="3"/>
  <c r="M744" i="3" s="1"/>
  <c r="K745" i="3"/>
  <c r="M745" i="3" s="1"/>
  <c r="K746" i="3"/>
  <c r="M746" i="3" s="1"/>
  <c r="K747" i="3"/>
  <c r="M747" i="3" s="1"/>
  <c r="K748" i="3"/>
  <c r="M748" i="3" s="1"/>
  <c r="K749" i="3"/>
  <c r="M749" i="3" s="1"/>
  <c r="K750" i="3"/>
  <c r="M750" i="3" s="1"/>
  <c r="K751" i="3"/>
  <c r="M751" i="3" s="1"/>
  <c r="K752" i="3"/>
  <c r="M752" i="3" s="1"/>
  <c r="K753" i="3"/>
  <c r="M753" i="3" s="1"/>
  <c r="K754" i="3"/>
  <c r="M754" i="3" s="1"/>
  <c r="K755" i="3"/>
  <c r="M755" i="3" s="1"/>
  <c r="K756" i="3"/>
  <c r="M756" i="3" s="1"/>
  <c r="K757" i="3"/>
  <c r="M757" i="3" s="1"/>
  <c r="K758" i="3"/>
  <c r="M758" i="3" s="1"/>
  <c r="K759" i="3"/>
  <c r="M759" i="3" s="1"/>
  <c r="K760" i="3"/>
  <c r="M760" i="3" s="1"/>
  <c r="K761" i="3"/>
  <c r="M761" i="3" s="1"/>
  <c r="K762" i="3"/>
  <c r="M762" i="3" s="1"/>
  <c r="K763" i="3"/>
  <c r="M763" i="3" s="1"/>
  <c r="K764" i="3"/>
  <c r="M764" i="3" s="1"/>
  <c r="K765" i="3"/>
  <c r="M765" i="3" s="1"/>
  <c r="K766" i="3"/>
  <c r="M766" i="3" s="1"/>
  <c r="K767" i="3"/>
  <c r="M767" i="3" s="1"/>
  <c r="K768" i="3"/>
  <c r="M768" i="3" s="1"/>
  <c r="K769" i="3"/>
  <c r="M769" i="3" s="1"/>
  <c r="K770" i="3"/>
  <c r="M770" i="3" s="1"/>
  <c r="K771" i="3"/>
  <c r="M771" i="3" s="1"/>
  <c r="K772" i="3"/>
  <c r="M772" i="3" s="1"/>
  <c r="K773" i="3"/>
  <c r="M773" i="3" s="1"/>
  <c r="K774" i="3"/>
  <c r="M774" i="3" s="1"/>
  <c r="K775" i="3"/>
  <c r="M775" i="3" s="1"/>
  <c r="K776" i="3"/>
  <c r="M776" i="3" s="1"/>
  <c r="K777" i="3"/>
  <c r="M777" i="3" s="1"/>
  <c r="K778" i="3"/>
  <c r="M778" i="3" s="1"/>
  <c r="K779" i="3"/>
  <c r="M779" i="3" s="1"/>
  <c r="K780" i="3"/>
  <c r="M780" i="3" s="1"/>
  <c r="K781" i="3"/>
  <c r="M781" i="3" s="1"/>
  <c r="K782" i="3"/>
  <c r="M782" i="3" s="1"/>
  <c r="K783" i="3"/>
  <c r="M783" i="3" s="1"/>
  <c r="K784" i="3"/>
  <c r="M784" i="3" s="1"/>
  <c r="K785" i="3"/>
  <c r="M785" i="3" s="1"/>
  <c r="K786" i="3"/>
  <c r="M786" i="3" s="1"/>
  <c r="K787" i="3"/>
  <c r="M787" i="3" s="1"/>
  <c r="K788" i="3"/>
  <c r="M788" i="3" s="1"/>
  <c r="K789" i="3"/>
  <c r="M789" i="3" s="1"/>
  <c r="K790" i="3"/>
  <c r="M790" i="3" s="1"/>
  <c r="K791" i="3"/>
  <c r="M791" i="3" s="1"/>
  <c r="K792" i="3"/>
  <c r="M792" i="3" s="1"/>
  <c r="K793" i="3"/>
  <c r="M793" i="3" s="1"/>
  <c r="K794" i="3"/>
  <c r="M794" i="3" s="1"/>
  <c r="K795" i="3"/>
  <c r="M795" i="3" s="1"/>
  <c r="K796" i="3"/>
  <c r="M796" i="3" s="1"/>
  <c r="K797" i="3"/>
  <c r="M797" i="3" s="1"/>
  <c r="K798" i="3"/>
  <c r="M798" i="3" s="1"/>
  <c r="K799" i="3"/>
  <c r="M799" i="3" s="1"/>
  <c r="K800" i="3"/>
  <c r="M800" i="3" s="1"/>
  <c r="K801" i="3"/>
  <c r="M801" i="3" s="1"/>
  <c r="K802" i="3"/>
  <c r="M802" i="3" s="1"/>
  <c r="K803" i="3"/>
  <c r="M803" i="3" s="1"/>
  <c r="K804" i="3"/>
  <c r="M804" i="3" s="1"/>
  <c r="K805" i="3"/>
  <c r="M805" i="3" s="1"/>
  <c r="K806" i="3"/>
  <c r="M806" i="3" s="1"/>
  <c r="K807" i="3"/>
  <c r="M807" i="3" s="1"/>
  <c r="K808" i="3"/>
  <c r="M808" i="3" s="1"/>
  <c r="K809" i="3"/>
  <c r="M809" i="3" s="1"/>
  <c r="K810" i="3"/>
  <c r="M810" i="3" s="1"/>
  <c r="K811" i="3"/>
  <c r="M811" i="3" s="1"/>
  <c r="K812" i="3"/>
  <c r="M812" i="3" s="1"/>
  <c r="K813" i="3"/>
  <c r="M813" i="3" s="1"/>
  <c r="K814" i="3"/>
  <c r="M814" i="3" s="1"/>
  <c r="K815" i="3"/>
  <c r="M815" i="3" s="1"/>
  <c r="K816" i="3"/>
  <c r="M816" i="3" s="1"/>
  <c r="K817" i="3"/>
  <c r="M817" i="3" s="1"/>
  <c r="K818" i="3"/>
  <c r="M818" i="3" s="1"/>
  <c r="K819" i="3"/>
  <c r="M819" i="3" s="1"/>
  <c r="K820" i="3"/>
  <c r="M820" i="3" s="1"/>
  <c r="K821" i="3"/>
  <c r="M821" i="3" s="1"/>
  <c r="K822" i="3"/>
  <c r="M822" i="3" s="1"/>
  <c r="K823" i="3"/>
  <c r="M823" i="3" s="1"/>
  <c r="K824" i="3"/>
  <c r="M824" i="3" s="1"/>
  <c r="K825" i="3"/>
  <c r="M825" i="3" s="1"/>
  <c r="K826" i="3"/>
  <c r="M826" i="3" s="1"/>
  <c r="K827" i="3"/>
  <c r="M827" i="3" s="1"/>
  <c r="K828" i="3"/>
  <c r="M828" i="3" s="1"/>
  <c r="K829" i="3"/>
  <c r="M829" i="3" s="1"/>
  <c r="K830" i="3"/>
  <c r="M830" i="3" s="1"/>
  <c r="K831" i="3"/>
  <c r="M831" i="3" s="1"/>
  <c r="K832" i="3"/>
  <c r="M832" i="3" s="1"/>
  <c r="K833" i="3"/>
  <c r="M833" i="3" s="1"/>
  <c r="K834" i="3"/>
  <c r="M834" i="3" s="1"/>
  <c r="K835" i="3"/>
  <c r="M835" i="3" s="1"/>
  <c r="K836" i="3"/>
  <c r="M836" i="3" s="1"/>
  <c r="K837" i="3"/>
  <c r="M837" i="3" s="1"/>
  <c r="K838" i="3"/>
  <c r="M838" i="3" s="1"/>
  <c r="K839" i="3"/>
  <c r="M839" i="3" s="1"/>
  <c r="K840" i="3"/>
  <c r="M840" i="3" s="1"/>
  <c r="K841" i="3"/>
  <c r="M841" i="3" s="1"/>
  <c r="K842" i="3"/>
  <c r="M842" i="3" s="1"/>
  <c r="K843" i="3"/>
  <c r="M843" i="3" s="1"/>
  <c r="K844" i="3"/>
  <c r="M844" i="3" s="1"/>
  <c r="K845" i="3"/>
  <c r="M845" i="3" s="1"/>
  <c r="K846" i="3"/>
  <c r="M846" i="3" s="1"/>
  <c r="K847" i="3"/>
  <c r="M847" i="3" s="1"/>
  <c r="K848" i="3"/>
  <c r="M848" i="3" s="1"/>
  <c r="K849" i="3"/>
  <c r="M849" i="3" s="1"/>
  <c r="K850" i="3"/>
  <c r="M850" i="3" s="1"/>
  <c r="K851" i="3"/>
  <c r="M851" i="3" s="1"/>
  <c r="K852" i="3"/>
  <c r="M852" i="3" s="1"/>
  <c r="K853" i="3"/>
  <c r="M853" i="3" s="1"/>
  <c r="K854" i="3"/>
  <c r="M854" i="3" s="1"/>
  <c r="K855" i="3"/>
  <c r="M855" i="3" s="1"/>
  <c r="K856" i="3"/>
  <c r="M856" i="3" s="1"/>
  <c r="K857" i="3"/>
  <c r="M857" i="3" s="1"/>
  <c r="K858" i="3"/>
  <c r="M858" i="3" s="1"/>
  <c r="K859" i="3"/>
  <c r="M859" i="3" s="1"/>
  <c r="K860" i="3"/>
  <c r="M860" i="3" s="1"/>
  <c r="K861" i="3"/>
  <c r="M861" i="3" s="1"/>
  <c r="K862" i="3"/>
  <c r="M862" i="3" s="1"/>
  <c r="K863" i="3"/>
  <c r="M863" i="3" s="1"/>
  <c r="K864" i="3"/>
  <c r="M864" i="3" s="1"/>
  <c r="K865" i="3"/>
  <c r="M865" i="3" s="1"/>
  <c r="K866" i="3"/>
  <c r="M866" i="3" s="1"/>
  <c r="K867" i="3"/>
  <c r="M867" i="3" s="1"/>
  <c r="K868" i="3"/>
  <c r="M868" i="3" s="1"/>
  <c r="K869" i="3"/>
  <c r="M869" i="3" s="1"/>
  <c r="K870" i="3"/>
  <c r="M870" i="3" s="1"/>
  <c r="K871" i="3"/>
  <c r="M871" i="3" s="1"/>
  <c r="K872" i="3"/>
  <c r="M872" i="3" s="1"/>
  <c r="K873" i="3"/>
  <c r="M873" i="3" s="1"/>
  <c r="K874" i="3"/>
  <c r="M874" i="3" s="1"/>
  <c r="K875" i="3"/>
  <c r="M875" i="3" s="1"/>
  <c r="K876" i="3"/>
  <c r="M876" i="3" s="1"/>
  <c r="K877" i="3"/>
  <c r="M877" i="3" s="1"/>
  <c r="K878" i="3"/>
  <c r="M878" i="3" s="1"/>
  <c r="K879" i="3"/>
  <c r="M879" i="3" s="1"/>
  <c r="K880" i="3"/>
  <c r="M880" i="3" s="1"/>
  <c r="K881" i="3"/>
  <c r="M881" i="3" s="1"/>
  <c r="K882" i="3"/>
  <c r="M882" i="3" s="1"/>
  <c r="K883" i="3"/>
  <c r="M883" i="3" s="1"/>
  <c r="K884" i="3"/>
  <c r="M884" i="3" s="1"/>
  <c r="K885" i="3"/>
  <c r="M885" i="3" s="1"/>
  <c r="K886" i="3"/>
  <c r="M886" i="3" s="1"/>
  <c r="K887" i="3"/>
  <c r="M887" i="3" s="1"/>
  <c r="K888" i="3"/>
  <c r="M888" i="3" s="1"/>
  <c r="K889" i="3"/>
  <c r="M889" i="3" s="1"/>
  <c r="K890" i="3"/>
  <c r="M890" i="3" s="1"/>
  <c r="K891" i="3"/>
  <c r="M891" i="3" s="1"/>
  <c r="K892" i="3"/>
  <c r="M892" i="3" s="1"/>
  <c r="K893" i="3"/>
  <c r="M893" i="3" s="1"/>
  <c r="K894" i="3"/>
  <c r="M894" i="3" s="1"/>
  <c r="K895" i="3"/>
  <c r="M895" i="3" s="1"/>
  <c r="K896" i="3"/>
  <c r="M896" i="3" s="1"/>
  <c r="K897" i="3"/>
  <c r="M897" i="3" s="1"/>
  <c r="K898" i="3"/>
  <c r="M898" i="3" s="1"/>
  <c r="K899" i="3"/>
  <c r="M899" i="3" s="1"/>
  <c r="K900" i="3"/>
  <c r="M900" i="3" s="1"/>
  <c r="K901" i="3"/>
  <c r="M901" i="3" s="1"/>
  <c r="K902" i="3"/>
  <c r="M902" i="3" s="1"/>
  <c r="K903" i="3"/>
  <c r="M903" i="3" s="1"/>
  <c r="K904" i="3"/>
  <c r="M904" i="3" s="1"/>
  <c r="K905" i="3"/>
  <c r="M905" i="3" s="1"/>
  <c r="K906" i="3"/>
  <c r="M906" i="3" s="1"/>
  <c r="K907" i="3"/>
  <c r="M907" i="3" s="1"/>
  <c r="K908" i="3"/>
  <c r="M908" i="3" s="1"/>
  <c r="K909" i="3"/>
  <c r="M909" i="3" s="1"/>
  <c r="K910" i="3"/>
  <c r="M910" i="3" s="1"/>
  <c r="K911" i="3"/>
  <c r="M911" i="3" s="1"/>
  <c r="K912" i="3"/>
  <c r="M912" i="3" s="1"/>
  <c r="K913" i="3"/>
  <c r="M913" i="3" s="1"/>
  <c r="K914" i="3"/>
  <c r="M914" i="3" s="1"/>
  <c r="K915" i="3"/>
  <c r="M915" i="3" s="1"/>
  <c r="K916" i="3"/>
  <c r="M916" i="3" s="1"/>
  <c r="K917" i="3"/>
  <c r="M917" i="3" s="1"/>
  <c r="K918" i="3"/>
  <c r="M918" i="3" s="1"/>
  <c r="K919" i="3"/>
  <c r="M919" i="3" s="1"/>
  <c r="K920" i="3"/>
  <c r="M920" i="3" s="1"/>
  <c r="K921" i="3"/>
  <c r="M921" i="3" s="1"/>
  <c r="K922" i="3"/>
  <c r="M922" i="3" s="1"/>
  <c r="K923" i="3"/>
  <c r="M923" i="3" s="1"/>
  <c r="K924" i="3"/>
  <c r="M924" i="3" s="1"/>
  <c r="K925" i="3"/>
  <c r="M925" i="3" s="1"/>
  <c r="K926" i="3"/>
  <c r="M926" i="3" s="1"/>
  <c r="K927" i="3"/>
  <c r="M927" i="3" s="1"/>
  <c r="K928" i="3"/>
  <c r="M928" i="3" s="1"/>
  <c r="K929" i="3"/>
  <c r="M929" i="3" s="1"/>
  <c r="K930" i="3"/>
  <c r="M930" i="3" s="1"/>
  <c r="K931" i="3"/>
  <c r="M931" i="3" s="1"/>
  <c r="K932" i="3"/>
  <c r="M932" i="3" s="1"/>
  <c r="K933" i="3"/>
  <c r="M933" i="3" s="1"/>
  <c r="K934" i="3"/>
  <c r="M934" i="3" s="1"/>
  <c r="K935" i="3"/>
  <c r="M935" i="3" s="1"/>
  <c r="K936" i="3"/>
  <c r="M936" i="3" s="1"/>
  <c r="K937" i="3"/>
  <c r="M937" i="3" s="1"/>
  <c r="K938" i="3"/>
  <c r="M938" i="3" s="1"/>
  <c r="K939" i="3"/>
  <c r="M939" i="3" s="1"/>
  <c r="K940" i="3"/>
  <c r="M940" i="3" s="1"/>
  <c r="K941" i="3"/>
  <c r="M941" i="3" s="1"/>
  <c r="K942" i="3"/>
  <c r="M942" i="3" s="1"/>
  <c r="K943" i="3"/>
  <c r="M943" i="3" s="1"/>
  <c r="K944" i="3"/>
  <c r="M944" i="3" s="1"/>
  <c r="K945" i="3"/>
  <c r="M945" i="3" s="1"/>
  <c r="K946" i="3"/>
  <c r="M946" i="3" s="1"/>
  <c r="K947" i="3"/>
  <c r="M947" i="3" s="1"/>
  <c r="K948" i="3"/>
  <c r="M948" i="3" s="1"/>
  <c r="K949" i="3"/>
  <c r="M949" i="3" s="1"/>
  <c r="K950" i="3"/>
  <c r="M950" i="3" s="1"/>
  <c r="K951" i="3"/>
  <c r="M951" i="3" s="1"/>
  <c r="K952" i="3"/>
  <c r="M952" i="3" s="1"/>
  <c r="K953" i="3"/>
  <c r="M953" i="3" s="1"/>
  <c r="K954" i="3"/>
  <c r="M954" i="3" s="1"/>
  <c r="K955" i="3"/>
  <c r="M955" i="3" s="1"/>
  <c r="K956" i="3"/>
  <c r="M956" i="3" s="1"/>
  <c r="K957" i="3"/>
  <c r="M957" i="3" s="1"/>
  <c r="K958" i="3"/>
  <c r="M958" i="3" s="1"/>
  <c r="K959" i="3"/>
  <c r="M959" i="3" s="1"/>
  <c r="K960" i="3"/>
  <c r="M960" i="3" s="1"/>
  <c r="K961" i="3"/>
  <c r="M961" i="3" s="1"/>
  <c r="K962" i="3"/>
  <c r="M962" i="3" s="1"/>
  <c r="K963" i="3"/>
  <c r="M963" i="3" s="1"/>
  <c r="K964" i="3"/>
  <c r="M964" i="3" s="1"/>
  <c r="K965" i="3"/>
  <c r="M965" i="3" s="1"/>
  <c r="K966" i="3"/>
  <c r="M966" i="3" s="1"/>
  <c r="K967" i="3"/>
  <c r="M967" i="3" s="1"/>
  <c r="K968" i="3"/>
  <c r="M968" i="3" s="1"/>
  <c r="K969" i="3"/>
  <c r="M969" i="3" s="1"/>
  <c r="K970" i="3"/>
  <c r="M970" i="3" s="1"/>
  <c r="K971" i="3"/>
  <c r="M971" i="3" s="1"/>
  <c r="K972" i="3"/>
  <c r="M972" i="3" s="1"/>
  <c r="K973" i="3"/>
  <c r="M973" i="3" s="1"/>
  <c r="K974" i="3"/>
  <c r="M974" i="3" s="1"/>
  <c r="K975" i="3"/>
  <c r="M975" i="3" s="1"/>
  <c r="K976" i="3"/>
  <c r="M976" i="3" s="1"/>
  <c r="K977" i="3"/>
  <c r="M977" i="3" s="1"/>
  <c r="K978" i="3"/>
  <c r="M978" i="3" s="1"/>
  <c r="K979" i="3"/>
  <c r="M979" i="3" s="1"/>
  <c r="K980" i="3"/>
  <c r="M980" i="3" s="1"/>
  <c r="K981" i="3"/>
  <c r="M981" i="3" s="1"/>
  <c r="K982" i="3"/>
  <c r="M982" i="3" s="1"/>
  <c r="K983" i="3"/>
  <c r="M983" i="3" s="1"/>
  <c r="K984" i="3"/>
  <c r="M984" i="3" s="1"/>
  <c r="K985" i="3"/>
  <c r="M985" i="3" s="1"/>
  <c r="K986" i="3"/>
  <c r="M986" i="3" s="1"/>
  <c r="K987" i="3"/>
  <c r="M987" i="3" s="1"/>
  <c r="K988" i="3"/>
  <c r="M988" i="3" s="1"/>
  <c r="K989" i="3"/>
  <c r="M989" i="3" s="1"/>
  <c r="K990" i="3"/>
  <c r="M990" i="3" s="1"/>
  <c r="K991" i="3"/>
  <c r="M991" i="3" s="1"/>
  <c r="K992" i="3"/>
  <c r="M992" i="3" s="1"/>
  <c r="K993" i="3"/>
  <c r="M993" i="3" s="1"/>
  <c r="K994" i="3"/>
  <c r="M994" i="3" s="1"/>
  <c r="K995" i="3"/>
  <c r="M995" i="3" s="1"/>
  <c r="K996" i="3"/>
  <c r="M996" i="3" s="1"/>
  <c r="K997" i="3"/>
  <c r="M997" i="3" s="1"/>
  <c r="K998" i="3"/>
  <c r="M998" i="3" s="1"/>
  <c r="K999" i="3"/>
  <c r="M999" i="3" s="1"/>
  <c r="K1000" i="3"/>
  <c r="M1000" i="3" s="1"/>
  <c r="K1001" i="3"/>
  <c r="M1001" i="3" s="1"/>
  <c r="K1002" i="3"/>
  <c r="M1002" i="3" s="1"/>
  <c r="K1003" i="3"/>
  <c r="M1003" i="3" s="1"/>
  <c r="K1004" i="3"/>
  <c r="M1004" i="3" s="1"/>
  <c r="K1005" i="3"/>
  <c r="M1005" i="3" s="1"/>
  <c r="K1006" i="3"/>
  <c r="M1006" i="3" s="1"/>
  <c r="K1007" i="3"/>
  <c r="M1007" i="3" s="1"/>
  <c r="K1008" i="3"/>
  <c r="M1008" i="3" s="1"/>
  <c r="K1009" i="3"/>
  <c r="M1009" i="3" s="1"/>
  <c r="K1010" i="3"/>
  <c r="M1010" i="3" s="1"/>
  <c r="K1011" i="3"/>
  <c r="M1011" i="3" s="1"/>
  <c r="K1012" i="3"/>
  <c r="M1012" i="3" s="1"/>
  <c r="K1013" i="3"/>
  <c r="M1013" i="3" s="1"/>
  <c r="K1014" i="3"/>
  <c r="M1014" i="3" s="1"/>
  <c r="K1015" i="3"/>
  <c r="M1015" i="3" s="1"/>
  <c r="K1016" i="3"/>
  <c r="M1016" i="3" s="1"/>
  <c r="K1017" i="3"/>
  <c r="M1017" i="3" s="1"/>
  <c r="K1018" i="3"/>
  <c r="M1018" i="3" s="1"/>
  <c r="K1019" i="3"/>
  <c r="M1019" i="3" s="1"/>
  <c r="K1020" i="3"/>
  <c r="M1020" i="3" s="1"/>
  <c r="K1021" i="3"/>
  <c r="M1021" i="3" s="1"/>
  <c r="K1022" i="3"/>
  <c r="M1022" i="3" s="1"/>
  <c r="K1023" i="3"/>
  <c r="M1023" i="3" s="1"/>
  <c r="K1024" i="3"/>
  <c r="M1024" i="3" s="1"/>
  <c r="K1025" i="3"/>
  <c r="M1025" i="3" s="1"/>
  <c r="K1026" i="3"/>
  <c r="M1026" i="3" s="1"/>
  <c r="K1027" i="3"/>
  <c r="M1027" i="3" s="1"/>
  <c r="K1028" i="3"/>
  <c r="M1028" i="3" s="1"/>
  <c r="K1029" i="3"/>
  <c r="M1029" i="3" s="1"/>
  <c r="K1030" i="3"/>
  <c r="M1030" i="3" s="1"/>
  <c r="K1031" i="3"/>
  <c r="M1031" i="3" s="1"/>
  <c r="K1032" i="3"/>
  <c r="M1032" i="3" s="1"/>
  <c r="K1033" i="3"/>
  <c r="M1033" i="3" s="1"/>
  <c r="K1034" i="3"/>
  <c r="M1034" i="3" s="1"/>
  <c r="K1035" i="3"/>
  <c r="M1035" i="3" s="1"/>
  <c r="K1036" i="3"/>
  <c r="M1036" i="3" s="1"/>
  <c r="K1037" i="3"/>
  <c r="M1037" i="3" s="1"/>
  <c r="K1038" i="3"/>
  <c r="M1038" i="3" s="1"/>
  <c r="K1039" i="3"/>
  <c r="M1039" i="3" s="1"/>
  <c r="K1040" i="3"/>
  <c r="M1040" i="3" s="1"/>
  <c r="K1041" i="3"/>
  <c r="M1041" i="3" s="1"/>
  <c r="K1042" i="3"/>
  <c r="M1042" i="3" s="1"/>
  <c r="K1043" i="3"/>
  <c r="M1043" i="3" s="1"/>
  <c r="K1044" i="3"/>
  <c r="M1044" i="3" s="1"/>
  <c r="K1045" i="3"/>
  <c r="M1045" i="3" s="1"/>
  <c r="K1046" i="3"/>
  <c r="M1046" i="3" s="1"/>
  <c r="K1047" i="3"/>
  <c r="M1047" i="3" s="1"/>
  <c r="K1048" i="3"/>
  <c r="M1048" i="3" s="1"/>
  <c r="K1049" i="3"/>
  <c r="M1049" i="3" s="1"/>
  <c r="K1050" i="3"/>
  <c r="M1050" i="3" s="1"/>
  <c r="K1051" i="3"/>
  <c r="M1051" i="3" s="1"/>
  <c r="K1052" i="3"/>
  <c r="M1052" i="3" s="1"/>
  <c r="K1053" i="3"/>
  <c r="M1053" i="3" s="1"/>
  <c r="K1054" i="3"/>
  <c r="M1054" i="3" s="1"/>
  <c r="K1055" i="3"/>
  <c r="M1055" i="3" s="1"/>
  <c r="K1056" i="3"/>
  <c r="M1056" i="3" s="1"/>
  <c r="K1057" i="3"/>
  <c r="M1057" i="3" s="1"/>
  <c r="K1058" i="3"/>
  <c r="M1058" i="3" s="1"/>
  <c r="K1059" i="3"/>
  <c r="M1059" i="3" s="1"/>
  <c r="K1060" i="3"/>
  <c r="M1060" i="3" s="1"/>
  <c r="K1061" i="3"/>
  <c r="M1061" i="3" s="1"/>
  <c r="K1062" i="3"/>
  <c r="M1062" i="3" s="1"/>
  <c r="K1063" i="3"/>
  <c r="M1063" i="3" s="1"/>
  <c r="K1064" i="3"/>
  <c r="M1064" i="3" s="1"/>
  <c r="K1065" i="3"/>
  <c r="M1065" i="3" s="1"/>
  <c r="K1066" i="3"/>
  <c r="M1066" i="3" s="1"/>
  <c r="K1067" i="3"/>
  <c r="M1067" i="3" s="1"/>
  <c r="K1068" i="3"/>
  <c r="M1068" i="3" s="1"/>
  <c r="K1069" i="3"/>
  <c r="M1069" i="3" s="1"/>
  <c r="K1070" i="3"/>
  <c r="M1070" i="3" s="1"/>
  <c r="K1071" i="3"/>
  <c r="M1071" i="3" s="1"/>
  <c r="K1072" i="3"/>
  <c r="M1072" i="3" s="1"/>
  <c r="K1073" i="3"/>
  <c r="M1073" i="3" s="1"/>
  <c r="K1074" i="3"/>
  <c r="M1074" i="3" s="1"/>
  <c r="K1075" i="3"/>
  <c r="M1075" i="3" s="1"/>
  <c r="K1076" i="3"/>
  <c r="M1076" i="3" s="1"/>
  <c r="K1077" i="3"/>
  <c r="M1077" i="3" s="1"/>
  <c r="K1078" i="3"/>
  <c r="M1078" i="3" s="1"/>
  <c r="K1079" i="3"/>
  <c r="M1079" i="3" s="1"/>
  <c r="K1080" i="3"/>
  <c r="M1080" i="3" s="1"/>
  <c r="K1081" i="3"/>
  <c r="M1081" i="3" s="1"/>
  <c r="K1082" i="3"/>
  <c r="M1082" i="3" s="1"/>
  <c r="K1083" i="3"/>
  <c r="M1083" i="3" s="1"/>
  <c r="K1084" i="3"/>
  <c r="M1084" i="3" s="1"/>
  <c r="K1085" i="3"/>
  <c r="M1085" i="3" s="1"/>
  <c r="K1086" i="3"/>
  <c r="M1086" i="3" s="1"/>
  <c r="K1087" i="3"/>
  <c r="M1087" i="3" s="1"/>
  <c r="K1088" i="3"/>
  <c r="M1088" i="3" s="1"/>
  <c r="K1089" i="3"/>
  <c r="M1089" i="3" s="1"/>
  <c r="K1090" i="3"/>
  <c r="M1090" i="3" s="1"/>
  <c r="K1091" i="3"/>
  <c r="M1091" i="3" s="1"/>
  <c r="K1092" i="3"/>
  <c r="M1092" i="3" s="1"/>
  <c r="K1093" i="3"/>
  <c r="M1093" i="3" s="1"/>
  <c r="K1094" i="3"/>
  <c r="M1094" i="3" s="1"/>
  <c r="K1095" i="3"/>
  <c r="M1095" i="3" s="1"/>
  <c r="K1096" i="3"/>
  <c r="M1096" i="3" s="1"/>
  <c r="K1097" i="3"/>
  <c r="M1097" i="3" s="1"/>
  <c r="K1098" i="3"/>
  <c r="M1098" i="3" s="1"/>
  <c r="K1099" i="3"/>
  <c r="M1099" i="3" s="1"/>
  <c r="K1100" i="3"/>
  <c r="M1100" i="3" s="1"/>
  <c r="K1101" i="3"/>
  <c r="M1101" i="3" s="1"/>
  <c r="K1102" i="3"/>
  <c r="M1102" i="3" s="1"/>
  <c r="K1103" i="3"/>
  <c r="M1103" i="3" s="1"/>
  <c r="K1104" i="3"/>
  <c r="M1104" i="3" s="1"/>
  <c r="K1105" i="3"/>
  <c r="M1105" i="3" s="1"/>
  <c r="K1106" i="3"/>
  <c r="M1106" i="3" s="1"/>
  <c r="K1107" i="3"/>
  <c r="M1107" i="3" s="1"/>
  <c r="K1108" i="3"/>
  <c r="M1108" i="3" s="1"/>
  <c r="K1109" i="3"/>
  <c r="M1109" i="3" s="1"/>
  <c r="K1110" i="3"/>
  <c r="M1110" i="3" s="1"/>
  <c r="K1111" i="3"/>
  <c r="M1111" i="3" s="1"/>
  <c r="K1112" i="3"/>
  <c r="M1112" i="3" s="1"/>
  <c r="K1113" i="3"/>
  <c r="M1113" i="3" s="1"/>
  <c r="K1114" i="3"/>
  <c r="M1114" i="3" s="1"/>
  <c r="K1115" i="3"/>
  <c r="M1115" i="3" s="1"/>
  <c r="K1116" i="3"/>
  <c r="M1116" i="3" s="1"/>
  <c r="K1117" i="3"/>
  <c r="M1117" i="3" s="1"/>
  <c r="K1118" i="3"/>
  <c r="M1118" i="3" s="1"/>
  <c r="K1119" i="3"/>
  <c r="M1119" i="3" s="1"/>
  <c r="K1120" i="3"/>
  <c r="M1120" i="3" s="1"/>
  <c r="K1121" i="3"/>
  <c r="M1121" i="3" s="1"/>
  <c r="K1122" i="3"/>
  <c r="M1122" i="3" s="1"/>
  <c r="K1123" i="3"/>
  <c r="M1123" i="3" s="1"/>
  <c r="K1124" i="3"/>
  <c r="M1124" i="3" s="1"/>
  <c r="K1125" i="3"/>
  <c r="M1125" i="3" s="1"/>
  <c r="K1126" i="3"/>
  <c r="M1126" i="3" s="1"/>
  <c r="K1127" i="3"/>
  <c r="M1127" i="3" s="1"/>
  <c r="K1128" i="3"/>
  <c r="M1128" i="3" s="1"/>
  <c r="K1129" i="3"/>
  <c r="M1129" i="3" s="1"/>
  <c r="K1130" i="3"/>
  <c r="M1130" i="3" s="1"/>
  <c r="K1131" i="3"/>
  <c r="M1131" i="3" s="1"/>
  <c r="K1132" i="3"/>
  <c r="M1132" i="3" s="1"/>
  <c r="K1133" i="3"/>
  <c r="M1133" i="3" s="1"/>
  <c r="K1134" i="3"/>
  <c r="M1134" i="3" s="1"/>
  <c r="K1135" i="3"/>
  <c r="M1135" i="3" s="1"/>
  <c r="K1136" i="3"/>
  <c r="M1136" i="3" s="1"/>
  <c r="K1137" i="3"/>
  <c r="M1137" i="3" s="1"/>
  <c r="K1138" i="3"/>
  <c r="M1138" i="3" s="1"/>
  <c r="K1139" i="3"/>
  <c r="M1139" i="3" s="1"/>
  <c r="K1140" i="3"/>
  <c r="M1140" i="3" s="1"/>
  <c r="K1141" i="3"/>
  <c r="M1141" i="3" s="1"/>
  <c r="K1142" i="3"/>
  <c r="M1142" i="3" s="1"/>
  <c r="K1143" i="3"/>
  <c r="M1143" i="3" s="1"/>
  <c r="K1144" i="3"/>
  <c r="M1144" i="3" s="1"/>
  <c r="K1145" i="3"/>
  <c r="M1145" i="3" s="1"/>
  <c r="K1146" i="3"/>
  <c r="M1146" i="3" s="1"/>
  <c r="K1147" i="3"/>
  <c r="M1147" i="3" s="1"/>
  <c r="K1148" i="3"/>
  <c r="M1148" i="3" s="1"/>
  <c r="K1149" i="3"/>
  <c r="M1149" i="3" s="1"/>
  <c r="K1150" i="3"/>
  <c r="M1150" i="3" s="1"/>
  <c r="K1151" i="3"/>
  <c r="M1151" i="3" s="1"/>
  <c r="K1152" i="3"/>
  <c r="M1152" i="3" s="1"/>
  <c r="K1153" i="3"/>
  <c r="M1153" i="3" s="1"/>
  <c r="K1154" i="3"/>
  <c r="M1154" i="3" s="1"/>
  <c r="K1155" i="3"/>
  <c r="M1155" i="3" s="1"/>
  <c r="K1156" i="3"/>
  <c r="M1156" i="3" s="1"/>
  <c r="K1157" i="3"/>
  <c r="M1157" i="3" s="1"/>
  <c r="K1158" i="3"/>
  <c r="M1158" i="3" s="1"/>
  <c r="K1159" i="3"/>
  <c r="M1159" i="3" s="1"/>
  <c r="K1160" i="3"/>
  <c r="M1160" i="3" s="1"/>
  <c r="K1161" i="3"/>
  <c r="M1161" i="3" s="1"/>
  <c r="K1162" i="3"/>
  <c r="M1162" i="3" s="1"/>
  <c r="K1163" i="3"/>
  <c r="M1163" i="3" s="1"/>
  <c r="K1164" i="3"/>
  <c r="M1164" i="3" s="1"/>
  <c r="K1165" i="3"/>
  <c r="M1165" i="3" s="1"/>
  <c r="K1166" i="3"/>
  <c r="M1166" i="3" s="1"/>
  <c r="K1167" i="3"/>
  <c r="M1167" i="3" s="1"/>
  <c r="K1168" i="3"/>
  <c r="M1168" i="3" s="1"/>
  <c r="K1169" i="3"/>
  <c r="M1169" i="3" s="1"/>
  <c r="K1170" i="3"/>
  <c r="M1170" i="3" s="1"/>
  <c r="K1171" i="3"/>
  <c r="M1171" i="3" s="1"/>
  <c r="K1172" i="3"/>
  <c r="M1172" i="3" s="1"/>
  <c r="K1173" i="3"/>
  <c r="M1173" i="3" s="1"/>
  <c r="K1174" i="3"/>
  <c r="M1174" i="3" s="1"/>
  <c r="K1175" i="3"/>
  <c r="M1175" i="3" s="1"/>
  <c r="K1176" i="3"/>
  <c r="M1176" i="3" s="1"/>
  <c r="K1177" i="3"/>
  <c r="M1177" i="3" s="1"/>
  <c r="K1178" i="3"/>
  <c r="M1178" i="3" s="1"/>
  <c r="K1179" i="3"/>
  <c r="M1179" i="3" s="1"/>
  <c r="K1180" i="3"/>
  <c r="M1180" i="3" s="1"/>
  <c r="K1181" i="3"/>
  <c r="M1181" i="3" s="1"/>
  <c r="K1182" i="3"/>
  <c r="M1182" i="3" s="1"/>
  <c r="K1183" i="3"/>
  <c r="M1183" i="3" s="1"/>
  <c r="K1184" i="3"/>
  <c r="M1184" i="3" s="1"/>
  <c r="K1185" i="3"/>
  <c r="M1185" i="3" s="1"/>
  <c r="K1186" i="3"/>
  <c r="M1186" i="3" s="1"/>
  <c r="K1187" i="3"/>
  <c r="M1187" i="3" s="1"/>
  <c r="K1188" i="3"/>
  <c r="M1188" i="3" s="1"/>
  <c r="K1189" i="3"/>
  <c r="M1189" i="3" s="1"/>
  <c r="K1190" i="3"/>
  <c r="M1190" i="3" s="1"/>
  <c r="K1191" i="3"/>
  <c r="M1191" i="3" s="1"/>
  <c r="K1192" i="3"/>
  <c r="M1192" i="3" s="1"/>
  <c r="K1193" i="3"/>
  <c r="M1193" i="3" s="1"/>
  <c r="K1194" i="3"/>
  <c r="M1194" i="3" s="1"/>
  <c r="K1195" i="3"/>
  <c r="M1195" i="3" s="1"/>
  <c r="K1196" i="3"/>
  <c r="M1196" i="3" s="1"/>
  <c r="K1197" i="3"/>
  <c r="M1197" i="3" s="1"/>
  <c r="K1198" i="3"/>
  <c r="M1198" i="3" s="1"/>
  <c r="K1199" i="3"/>
  <c r="M1199" i="3" s="1"/>
  <c r="K1200" i="3"/>
  <c r="M1200" i="3" s="1"/>
  <c r="K1201" i="3"/>
  <c r="M1201" i="3" s="1"/>
  <c r="K1202" i="3"/>
  <c r="M1202" i="3" s="1"/>
  <c r="K1203" i="3"/>
  <c r="M1203" i="3" s="1"/>
  <c r="K1204" i="3"/>
  <c r="M1204" i="3" s="1"/>
  <c r="K1205" i="3"/>
  <c r="M1205" i="3" s="1"/>
  <c r="K1206" i="3"/>
  <c r="M1206" i="3" s="1"/>
  <c r="K1207" i="3"/>
  <c r="M1207" i="3" s="1"/>
  <c r="K1208" i="3"/>
  <c r="M1208" i="3" s="1"/>
  <c r="K1209" i="3"/>
  <c r="M1209" i="3" s="1"/>
  <c r="K1210" i="3"/>
  <c r="M1210" i="3" s="1"/>
  <c r="K1211" i="3"/>
  <c r="M1211" i="3" s="1"/>
  <c r="K1212" i="3"/>
  <c r="M1212" i="3" s="1"/>
  <c r="K1213" i="3"/>
  <c r="M1213" i="3" s="1"/>
  <c r="K1214" i="3"/>
  <c r="M1214" i="3" s="1"/>
  <c r="K1215" i="3"/>
  <c r="M1215" i="3" s="1"/>
  <c r="K1216" i="3"/>
  <c r="M1216" i="3" s="1"/>
  <c r="K1217" i="3"/>
  <c r="M1217" i="3" s="1"/>
  <c r="K1218" i="3"/>
  <c r="M1218" i="3" s="1"/>
  <c r="K1219" i="3"/>
  <c r="M1219" i="3" s="1"/>
  <c r="K1220" i="3"/>
  <c r="M1220" i="3" s="1"/>
  <c r="K1221" i="3"/>
  <c r="M1221" i="3" s="1"/>
  <c r="K1222" i="3"/>
  <c r="M1222" i="3" s="1"/>
  <c r="K1223" i="3"/>
  <c r="M1223" i="3" s="1"/>
  <c r="K1224" i="3"/>
  <c r="M1224" i="3" s="1"/>
  <c r="K1225" i="3"/>
  <c r="M1225" i="3" s="1"/>
  <c r="K1226" i="3"/>
  <c r="M1226" i="3" s="1"/>
  <c r="K1227" i="3"/>
  <c r="M1227" i="3" s="1"/>
  <c r="K1228" i="3"/>
  <c r="M1228" i="3" s="1"/>
  <c r="K1229" i="3"/>
  <c r="M1229" i="3" s="1"/>
  <c r="K1230" i="3"/>
  <c r="M1230" i="3" s="1"/>
  <c r="K1231" i="3"/>
  <c r="K1232" i="3"/>
  <c r="M1232" i="3" s="1"/>
  <c r="K1233" i="3"/>
  <c r="M1233" i="3" s="1"/>
  <c r="K1234" i="3"/>
  <c r="M1234" i="3" s="1"/>
  <c r="K1235" i="3"/>
  <c r="M1235" i="3" s="1"/>
  <c r="K1236" i="3"/>
  <c r="M1236" i="3" s="1"/>
  <c r="K1237" i="3"/>
  <c r="M1237" i="3" s="1"/>
  <c r="K1238" i="3"/>
  <c r="M1238" i="3" s="1"/>
  <c r="K1239" i="3"/>
  <c r="M1239" i="3" s="1"/>
  <c r="K1240" i="3"/>
  <c r="M1240" i="3" s="1"/>
  <c r="K1241" i="3"/>
  <c r="M1241" i="3" s="1"/>
  <c r="K1242" i="3"/>
  <c r="M1242" i="3" s="1"/>
  <c r="K1243" i="3"/>
  <c r="M1243" i="3" s="1"/>
  <c r="K1244" i="3"/>
  <c r="M1244" i="3" s="1"/>
  <c r="K1245" i="3"/>
  <c r="M1245" i="3" s="1"/>
  <c r="K1246" i="3"/>
  <c r="M1246" i="3" s="1"/>
  <c r="K1247" i="3"/>
  <c r="M1247" i="3" s="1"/>
  <c r="K1248" i="3"/>
  <c r="M1248" i="3" s="1"/>
  <c r="K1249" i="3"/>
  <c r="M1249" i="3" s="1"/>
  <c r="K1250" i="3"/>
  <c r="M1250" i="3" s="1"/>
  <c r="K1251" i="3"/>
  <c r="K1252" i="3"/>
  <c r="M1252" i="3" s="1"/>
  <c r="K1253" i="3"/>
  <c r="M1253" i="3" s="1"/>
  <c r="K1254" i="3"/>
  <c r="M1254" i="3" s="1"/>
  <c r="K1255" i="3"/>
  <c r="M1255" i="3" s="1"/>
  <c r="K1256" i="3"/>
  <c r="M1256" i="3" s="1"/>
  <c r="K1257" i="3"/>
  <c r="M1257" i="3" s="1"/>
  <c r="K1258" i="3"/>
  <c r="M1258" i="3" s="1"/>
  <c r="K1259" i="3"/>
  <c r="M1259" i="3" s="1"/>
  <c r="K1260" i="3"/>
  <c r="M1260" i="3" s="1"/>
  <c r="K1261" i="3"/>
  <c r="M1261" i="3" s="1"/>
  <c r="K1262" i="3"/>
  <c r="M1262" i="3" s="1"/>
  <c r="K1263" i="3"/>
  <c r="M1263" i="3" s="1"/>
  <c r="K1264" i="3"/>
  <c r="M1264" i="3" s="1"/>
  <c r="K1265" i="3"/>
  <c r="M1265" i="3" s="1"/>
  <c r="K1266" i="3"/>
  <c r="M1266" i="3" s="1"/>
  <c r="K1267" i="3"/>
  <c r="K1268" i="3"/>
  <c r="M1268" i="3" s="1"/>
  <c r="K1269" i="3"/>
  <c r="M1269" i="3" s="1"/>
  <c r="K1270" i="3"/>
  <c r="M1270" i="3" s="1"/>
  <c r="K1271" i="3"/>
  <c r="M1271" i="3" s="1"/>
  <c r="K1272" i="3"/>
  <c r="M1272" i="3" s="1"/>
  <c r="K1273" i="3"/>
  <c r="M1273" i="3" s="1"/>
  <c r="K1274" i="3"/>
  <c r="M1274" i="3" s="1"/>
  <c r="K1275" i="3"/>
  <c r="M1275" i="3" s="1"/>
  <c r="K1276" i="3"/>
  <c r="M1276" i="3" s="1"/>
  <c r="K1277" i="3"/>
  <c r="M1277" i="3" s="1"/>
  <c r="K1278" i="3"/>
  <c r="M1278" i="3" s="1"/>
  <c r="K1279" i="3"/>
  <c r="M1279" i="3" s="1"/>
  <c r="K1280" i="3"/>
  <c r="M1280" i="3" s="1"/>
  <c r="K1281" i="3"/>
  <c r="M1281" i="3" s="1"/>
  <c r="K1282" i="3"/>
  <c r="M1282" i="3" s="1"/>
  <c r="K1283" i="3"/>
  <c r="K1284" i="3"/>
  <c r="M1284" i="3" s="1"/>
  <c r="K1285" i="3"/>
  <c r="M1285" i="3" s="1"/>
  <c r="K1286" i="3"/>
  <c r="M1286" i="3" s="1"/>
  <c r="K1287" i="3"/>
  <c r="M1287" i="3" s="1"/>
  <c r="K1288" i="3"/>
  <c r="M1288" i="3" s="1"/>
  <c r="K1289" i="3"/>
  <c r="M1289" i="3" s="1"/>
  <c r="K1290" i="3"/>
  <c r="M1290" i="3" s="1"/>
  <c r="K1291" i="3"/>
  <c r="M1291" i="3" s="1"/>
  <c r="K1292" i="3"/>
  <c r="M1292" i="3" s="1"/>
  <c r="K1293" i="3"/>
  <c r="M1293" i="3" s="1"/>
  <c r="K1294" i="3"/>
  <c r="M1294" i="3" s="1"/>
  <c r="K1295" i="3"/>
  <c r="M1295" i="3" s="1"/>
  <c r="K1296" i="3"/>
  <c r="M1296" i="3" s="1"/>
  <c r="K1297" i="3"/>
  <c r="M1297" i="3" s="1"/>
  <c r="K1298" i="3"/>
  <c r="M1298" i="3" s="1"/>
  <c r="K1299" i="3"/>
  <c r="K1300" i="3"/>
  <c r="M1300" i="3" s="1"/>
  <c r="K1301" i="3"/>
  <c r="M1301" i="3" s="1"/>
  <c r="K1302" i="3"/>
  <c r="M1302" i="3" s="1"/>
  <c r="K1303" i="3"/>
  <c r="M1303" i="3" s="1"/>
  <c r="K1304" i="3"/>
  <c r="M1304" i="3" s="1"/>
  <c r="K1305" i="3"/>
  <c r="M1305" i="3" s="1"/>
  <c r="K1306" i="3"/>
  <c r="M1306" i="3" s="1"/>
  <c r="K1307" i="3"/>
  <c r="M1307" i="3" s="1"/>
  <c r="K1308" i="3"/>
  <c r="M1308" i="3" s="1"/>
  <c r="K1309" i="3"/>
  <c r="M1309" i="3" s="1"/>
  <c r="K1310" i="3"/>
  <c r="M1310" i="3" s="1"/>
  <c r="K1311" i="3"/>
  <c r="M1311" i="3" s="1"/>
  <c r="K1312" i="3"/>
  <c r="M1312" i="3" s="1"/>
  <c r="K1313" i="3"/>
  <c r="M1313" i="3" s="1"/>
  <c r="K1314" i="3"/>
  <c r="M1314" i="3" s="1"/>
  <c r="K1315" i="3"/>
  <c r="K1316" i="3"/>
  <c r="M1316" i="3" s="1"/>
  <c r="K1317" i="3"/>
  <c r="M1317" i="3" s="1"/>
  <c r="K1318" i="3"/>
  <c r="M1318" i="3" s="1"/>
  <c r="K1319" i="3"/>
  <c r="M1319" i="3" s="1"/>
  <c r="K1320" i="3"/>
  <c r="M1320" i="3" s="1"/>
  <c r="K1321" i="3"/>
  <c r="M1321" i="3" s="1"/>
  <c r="K1322" i="3"/>
  <c r="M1322" i="3" s="1"/>
  <c r="K1323" i="3"/>
  <c r="M1323" i="3" s="1"/>
  <c r="K1324" i="3"/>
  <c r="M1324" i="3" s="1"/>
  <c r="K1325" i="3"/>
  <c r="M1325" i="3" s="1"/>
  <c r="K1326" i="3"/>
  <c r="M1326" i="3" s="1"/>
  <c r="K1327" i="3"/>
  <c r="M1327" i="3" s="1"/>
  <c r="K1328" i="3"/>
  <c r="M1328" i="3" s="1"/>
  <c r="K1329" i="3"/>
  <c r="M1329" i="3" s="1"/>
  <c r="K1330" i="3"/>
  <c r="M1330" i="3" s="1"/>
  <c r="K1331" i="3"/>
  <c r="K1332" i="3"/>
  <c r="M1332" i="3" s="1"/>
  <c r="K1333" i="3"/>
  <c r="M1333" i="3" s="1"/>
  <c r="K1334" i="3"/>
  <c r="M1334" i="3" s="1"/>
  <c r="K1335" i="3"/>
  <c r="M1335" i="3" s="1"/>
  <c r="K1336" i="3"/>
  <c r="M1336" i="3" s="1"/>
  <c r="K1337" i="3"/>
  <c r="M1337" i="3" s="1"/>
  <c r="K1338" i="3"/>
  <c r="M1338" i="3" s="1"/>
  <c r="K1339" i="3"/>
  <c r="M1339" i="3" s="1"/>
  <c r="K1340" i="3"/>
  <c r="M1340" i="3" s="1"/>
  <c r="K1341" i="3"/>
  <c r="M1341" i="3" s="1"/>
  <c r="K1342" i="3"/>
  <c r="M1342" i="3" s="1"/>
  <c r="K1343" i="3"/>
  <c r="M1343" i="3" s="1"/>
  <c r="K1344" i="3"/>
  <c r="M1344" i="3" s="1"/>
  <c r="K1345" i="3"/>
  <c r="M1345" i="3" s="1"/>
  <c r="K1346" i="3"/>
  <c r="M1346" i="3" s="1"/>
  <c r="K1347" i="3"/>
  <c r="K1348" i="3"/>
  <c r="M1348" i="3" s="1"/>
  <c r="K1349" i="3"/>
  <c r="M1349" i="3" s="1"/>
  <c r="K1350" i="3"/>
  <c r="M1350" i="3" s="1"/>
  <c r="K1351" i="3"/>
  <c r="M1351" i="3" s="1"/>
  <c r="K1352" i="3"/>
  <c r="M1352" i="3" s="1"/>
  <c r="K1353" i="3"/>
  <c r="M1353" i="3" s="1"/>
  <c r="K1354" i="3"/>
  <c r="M1354" i="3" s="1"/>
  <c r="K1355" i="3"/>
  <c r="M1355" i="3" s="1"/>
  <c r="K1356" i="3"/>
  <c r="M1356" i="3" s="1"/>
  <c r="K1357" i="3"/>
  <c r="M1357" i="3" s="1"/>
  <c r="K1358" i="3"/>
  <c r="M1358" i="3" s="1"/>
  <c r="K1359" i="3"/>
  <c r="M1359" i="3" s="1"/>
  <c r="K1360" i="3"/>
  <c r="M1360" i="3" s="1"/>
  <c r="K1361" i="3"/>
  <c r="M1361" i="3" s="1"/>
  <c r="K1362" i="3"/>
  <c r="M1362" i="3" s="1"/>
  <c r="K1363" i="3"/>
  <c r="K1364" i="3"/>
  <c r="M1364" i="3" s="1"/>
  <c r="K1365" i="3"/>
  <c r="M1365" i="3" s="1"/>
  <c r="K1366" i="3"/>
  <c r="M1366" i="3" s="1"/>
  <c r="K1367" i="3"/>
  <c r="M1367" i="3" s="1"/>
  <c r="K1368" i="3"/>
  <c r="M1368" i="3" s="1"/>
  <c r="K1369" i="3"/>
  <c r="M1369" i="3" s="1"/>
  <c r="K1370" i="3"/>
  <c r="M1370" i="3" s="1"/>
  <c r="K1371" i="3"/>
  <c r="M1371" i="3" s="1"/>
  <c r="K1372" i="3"/>
  <c r="M1372" i="3" s="1"/>
  <c r="K1373" i="3"/>
  <c r="M1373" i="3" s="1"/>
  <c r="K1374" i="3"/>
  <c r="M1374" i="3" s="1"/>
  <c r="K1375" i="3"/>
  <c r="M1375" i="3" s="1"/>
  <c r="K1376" i="3"/>
  <c r="M1376" i="3" s="1"/>
  <c r="K1377" i="3"/>
  <c r="M1377" i="3" s="1"/>
  <c r="K1378" i="3"/>
  <c r="M1378" i="3" s="1"/>
  <c r="K1379" i="3"/>
  <c r="K1380" i="3"/>
  <c r="M1380" i="3" s="1"/>
  <c r="K1381" i="3"/>
  <c r="M1381" i="3" s="1"/>
  <c r="K1382" i="3"/>
  <c r="M1382" i="3" s="1"/>
  <c r="K1383" i="3"/>
  <c r="M1383" i="3" s="1"/>
  <c r="K1384" i="3"/>
  <c r="M1384" i="3" s="1"/>
  <c r="K1385" i="3"/>
  <c r="M1385" i="3" s="1"/>
  <c r="K1386" i="3"/>
  <c r="M1386" i="3" s="1"/>
  <c r="K1387" i="3"/>
  <c r="M1387" i="3" s="1"/>
  <c r="K1388" i="3"/>
  <c r="M1388" i="3" s="1"/>
  <c r="K1389" i="3"/>
  <c r="M1389" i="3" s="1"/>
  <c r="K1390" i="3"/>
  <c r="M1390" i="3" s="1"/>
  <c r="K1391" i="3"/>
  <c r="M1391" i="3" s="1"/>
  <c r="K1392" i="3"/>
  <c r="M1392" i="3" s="1"/>
  <c r="K1393" i="3"/>
  <c r="M1393" i="3" s="1"/>
  <c r="K1394" i="3"/>
  <c r="M1394" i="3" s="1"/>
  <c r="K1395" i="3"/>
  <c r="K1396" i="3"/>
  <c r="M1396" i="3" s="1"/>
  <c r="K1397" i="3"/>
  <c r="M1397" i="3" s="1"/>
  <c r="K1398" i="3"/>
  <c r="M1398" i="3" s="1"/>
  <c r="K1399" i="3"/>
  <c r="M1399" i="3" s="1"/>
  <c r="K1400" i="3"/>
  <c r="M1400" i="3" s="1"/>
  <c r="K1401" i="3"/>
  <c r="M1401" i="3" s="1"/>
  <c r="K1402" i="3"/>
  <c r="M1402" i="3" s="1"/>
  <c r="K1403" i="3"/>
  <c r="M1403" i="3" s="1"/>
  <c r="K1404" i="3"/>
  <c r="M1404" i="3" s="1"/>
  <c r="K1405" i="3"/>
  <c r="M1405" i="3" s="1"/>
  <c r="K1406" i="3"/>
  <c r="M1406" i="3" s="1"/>
  <c r="K1407" i="3"/>
  <c r="M1407" i="3" s="1"/>
  <c r="K1408" i="3"/>
  <c r="M1408" i="3" s="1"/>
  <c r="K1409" i="3"/>
  <c r="M1409" i="3" s="1"/>
  <c r="K1410" i="3"/>
  <c r="M1410" i="3" s="1"/>
  <c r="K1411" i="3"/>
  <c r="K1412" i="3"/>
  <c r="M1412" i="3" s="1"/>
  <c r="K1413" i="3"/>
  <c r="M1413" i="3" s="1"/>
  <c r="K1414" i="3"/>
  <c r="M1414" i="3" s="1"/>
  <c r="K1415" i="3"/>
  <c r="M1415" i="3" s="1"/>
  <c r="K1416" i="3"/>
  <c r="M1416" i="3" s="1"/>
  <c r="K1417" i="3"/>
  <c r="M1417" i="3" s="1"/>
  <c r="K1418" i="3"/>
  <c r="M1418" i="3" s="1"/>
  <c r="K1419" i="3"/>
  <c r="M1419" i="3" s="1"/>
  <c r="K1420" i="3"/>
  <c r="M1420" i="3" s="1"/>
  <c r="K1421" i="3"/>
  <c r="M1421" i="3" s="1"/>
  <c r="K1422" i="3"/>
  <c r="M1422" i="3" s="1"/>
  <c r="K1423" i="3"/>
  <c r="M1423" i="3" s="1"/>
  <c r="K1424" i="3"/>
  <c r="M1424" i="3" s="1"/>
  <c r="K1425" i="3"/>
  <c r="M1425" i="3" s="1"/>
  <c r="K1426" i="3"/>
  <c r="M1426" i="3" s="1"/>
  <c r="K1427" i="3"/>
  <c r="K1428" i="3"/>
  <c r="M1428" i="3" s="1"/>
  <c r="K1429" i="3"/>
  <c r="M1429" i="3" s="1"/>
  <c r="K1430" i="3"/>
  <c r="M1430" i="3" s="1"/>
  <c r="K1431" i="3"/>
  <c r="M1431" i="3" s="1"/>
  <c r="K1432" i="3"/>
  <c r="M1432" i="3" s="1"/>
  <c r="K1433" i="3"/>
  <c r="M1433" i="3" s="1"/>
  <c r="K1434" i="3"/>
  <c r="M1434" i="3" s="1"/>
  <c r="K1435" i="3"/>
  <c r="M1435" i="3" s="1"/>
  <c r="K1436" i="3"/>
  <c r="M1436" i="3" s="1"/>
  <c r="K1437" i="3"/>
  <c r="M1437" i="3" s="1"/>
  <c r="K1438" i="3"/>
  <c r="M1438" i="3" s="1"/>
  <c r="K1439" i="3"/>
  <c r="M1439" i="3" s="1"/>
  <c r="K1440" i="3"/>
  <c r="M1440" i="3" s="1"/>
  <c r="K1441" i="3"/>
  <c r="M1441" i="3" s="1"/>
  <c r="K1442" i="3"/>
  <c r="M1442" i="3" s="1"/>
  <c r="K1443" i="3"/>
  <c r="K1444" i="3"/>
  <c r="M1444" i="3" s="1"/>
  <c r="K1445" i="3"/>
  <c r="M1445" i="3" s="1"/>
  <c r="K1446" i="3"/>
  <c r="M1446" i="3" s="1"/>
  <c r="K1447" i="3"/>
  <c r="M1447" i="3" s="1"/>
  <c r="K1448" i="3"/>
  <c r="M1448" i="3" s="1"/>
  <c r="K1449" i="3"/>
  <c r="M1449" i="3" s="1"/>
  <c r="K1450" i="3"/>
  <c r="M1450" i="3" s="1"/>
  <c r="K1451" i="3"/>
  <c r="M1451" i="3" s="1"/>
  <c r="K1452" i="3"/>
  <c r="M1452" i="3" s="1"/>
  <c r="K1453" i="3"/>
  <c r="M1453" i="3" s="1"/>
  <c r="K1454" i="3"/>
  <c r="M1454" i="3" s="1"/>
  <c r="K1455" i="3"/>
  <c r="M1455" i="3" s="1"/>
  <c r="K1456" i="3"/>
  <c r="M1456" i="3" s="1"/>
  <c r="K1457" i="3"/>
  <c r="M1457" i="3" s="1"/>
  <c r="K1458" i="3"/>
  <c r="M1458" i="3" s="1"/>
  <c r="K1459" i="3"/>
  <c r="K1460" i="3"/>
  <c r="M1460" i="3" s="1"/>
  <c r="K1461" i="3"/>
  <c r="M1461" i="3" s="1"/>
  <c r="K1462" i="3"/>
  <c r="M1462" i="3" s="1"/>
  <c r="K1463" i="3"/>
  <c r="M1463" i="3" s="1"/>
  <c r="K1464" i="3"/>
  <c r="M1464" i="3" s="1"/>
  <c r="K1465" i="3"/>
  <c r="M1465" i="3" s="1"/>
  <c r="K1466" i="3"/>
  <c r="M1466" i="3" s="1"/>
  <c r="K1467" i="3"/>
  <c r="M1467" i="3" s="1"/>
  <c r="K1468" i="3"/>
  <c r="M1468" i="3" s="1"/>
  <c r="K1469" i="3"/>
  <c r="M1469" i="3" s="1"/>
  <c r="K1470" i="3"/>
  <c r="M1470" i="3" s="1"/>
  <c r="K1471" i="3"/>
  <c r="M1471" i="3" s="1"/>
  <c r="K1472" i="3"/>
  <c r="M1472" i="3" s="1"/>
  <c r="K1473" i="3"/>
  <c r="M1473" i="3" s="1"/>
  <c r="K1474" i="3"/>
  <c r="M1474" i="3" s="1"/>
  <c r="K1475" i="3"/>
  <c r="K1476" i="3"/>
  <c r="M1476" i="3" s="1"/>
  <c r="K1477" i="3"/>
  <c r="M1477" i="3" s="1"/>
  <c r="K1478" i="3"/>
  <c r="M1478" i="3" s="1"/>
  <c r="K1479" i="3"/>
  <c r="M1479" i="3" s="1"/>
  <c r="K1480" i="3"/>
  <c r="M1480" i="3" s="1"/>
  <c r="K1481" i="3"/>
  <c r="M1481" i="3" s="1"/>
  <c r="K1482" i="3"/>
  <c r="M1482" i="3" s="1"/>
  <c r="K1483" i="3"/>
  <c r="M1483" i="3" s="1"/>
  <c r="K1484" i="3"/>
  <c r="M1484" i="3" s="1"/>
  <c r="K1485" i="3"/>
  <c r="M1485" i="3" s="1"/>
  <c r="K1486" i="3"/>
  <c r="M1486" i="3" s="1"/>
  <c r="K1487" i="3"/>
  <c r="M1487" i="3" s="1"/>
  <c r="K1488" i="3"/>
  <c r="M1488" i="3" s="1"/>
  <c r="K1489" i="3"/>
  <c r="M1489" i="3" s="1"/>
  <c r="K1490" i="3"/>
  <c r="M1490" i="3" s="1"/>
  <c r="K1491" i="3"/>
  <c r="K1492" i="3"/>
  <c r="M1492" i="3" s="1"/>
  <c r="K1493" i="3"/>
  <c r="M1493" i="3" s="1"/>
  <c r="K1494" i="3"/>
  <c r="M1494" i="3" s="1"/>
  <c r="K1495" i="3"/>
  <c r="M1495" i="3" s="1"/>
  <c r="K1496" i="3"/>
  <c r="M1496" i="3" s="1"/>
  <c r="K1497" i="3"/>
  <c r="M1497" i="3" s="1"/>
  <c r="K1498" i="3"/>
  <c r="M1498" i="3" s="1"/>
  <c r="K1499" i="3"/>
  <c r="M1499" i="3" s="1"/>
  <c r="K1500" i="3"/>
  <c r="M1500" i="3" s="1"/>
  <c r="K1501" i="3"/>
  <c r="M1501" i="3" s="1"/>
  <c r="K1502" i="3"/>
  <c r="M1502" i="3" s="1"/>
  <c r="K1503" i="3"/>
  <c r="M1503" i="3" s="1"/>
  <c r="K1504" i="3"/>
  <c r="M1504" i="3" s="1"/>
  <c r="K1505" i="3"/>
  <c r="M1505" i="3" s="1"/>
  <c r="K1506" i="3"/>
  <c r="M1506" i="3" s="1"/>
  <c r="K1507" i="3"/>
  <c r="K1508" i="3"/>
  <c r="M1508" i="3" s="1"/>
  <c r="K1509" i="3"/>
  <c r="M1509" i="3" s="1"/>
  <c r="K1510" i="3"/>
  <c r="M1510" i="3" s="1"/>
  <c r="K1511" i="3"/>
  <c r="M1511" i="3" s="1"/>
  <c r="K1512" i="3"/>
  <c r="M1512" i="3" s="1"/>
  <c r="K1513" i="3"/>
  <c r="M1513" i="3" s="1"/>
  <c r="K1514" i="3"/>
  <c r="M1514" i="3" s="1"/>
  <c r="K1515" i="3"/>
  <c r="M1515" i="3" s="1"/>
  <c r="K1516" i="3"/>
  <c r="M1516" i="3" s="1"/>
  <c r="K1517" i="3"/>
  <c r="M1517" i="3" s="1"/>
  <c r="K1518" i="3"/>
  <c r="M1518" i="3" s="1"/>
  <c r="K1519" i="3"/>
  <c r="M1519" i="3" s="1"/>
  <c r="K1520" i="3"/>
  <c r="M1520" i="3" s="1"/>
  <c r="K1521" i="3"/>
  <c r="M1521" i="3" s="1"/>
  <c r="K1522" i="3"/>
  <c r="M1522" i="3" s="1"/>
  <c r="K1523" i="3"/>
  <c r="K1524" i="3"/>
  <c r="M1524" i="3" s="1"/>
  <c r="K1525" i="3"/>
  <c r="M1525" i="3" s="1"/>
  <c r="K1526" i="3"/>
  <c r="M1526" i="3" s="1"/>
  <c r="K1527" i="3"/>
  <c r="M1527" i="3" s="1"/>
  <c r="K1528" i="3"/>
  <c r="M1528" i="3" s="1"/>
  <c r="K1529" i="3"/>
  <c r="M1529" i="3" s="1"/>
  <c r="K1530" i="3"/>
  <c r="M1530" i="3" s="1"/>
  <c r="K1531" i="3"/>
  <c r="M1531" i="3" s="1"/>
  <c r="K1532" i="3"/>
  <c r="M1532" i="3" s="1"/>
  <c r="K1533" i="3"/>
  <c r="M1533" i="3" s="1"/>
  <c r="K1534" i="3"/>
  <c r="M1534" i="3" s="1"/>
  <c r="K1535" i="3"/>
  <c r="M1535" i="3" s="1"/>
  <c r="K1536" i="3"/>
  <c r="M1536" i="3" s="1"/>
  <c r="K1537" i="3"/>
  <c r="M1537" i="3" s="1"/>
  <c r="K1538" i="3"/>
  <c r="M1538" i="3" s="1"/>
  <c r="K1539" i="3"/>
  <c r="K1540" i="3"/>
  <c r="M1540" i="3" s="1"/>
  <c r="K1541" i="3"/>
  <c r="M1541" i="3" s="1"/>
  <c r="K1542" i="3"/>
  <c r="M1542" i="3" s="1"/>
  <c r="K1543" i="3"/>
  <c r="M1543" i="3" s="1"/>
  <c r="K1544" i="3"/>
  <c r="M1544" i="3" s="1"/>
  <c r="K1545" i="3"/>
  <c r="M1545" i="3" s="1"/>
  <c r="K1546" i="3"/>
  <c r="M1546" i="3" s="1"/>
  <c r="K1547" i="3"/>
  <c r="M1547" i="3" s="1"/>
  <c r="K1548" i="3"/>
  <c r="M1548" i="3" s="1"/>
  <c r="K1549" i="3"/>
  <c r="M1549" i="3" s="1"/>
  <c r="K1550" i="3"/>
  <c r="M1550" i="3" s="1"/>
  <c r="K1551" i="3"/>
  <c r="M1551" i="3" s="1"/>
  <c r="K1552" i="3"/>
  <c r="M1552" i="3" s="1"/>
  <c r="K1553" i="3"/>
  <c r="M1553" i="3" s="1"/>
  <c r="K1554" i="3"/>
  <c r="M1554" i="3" s="1"/>
  <c r="K1555" i="3"/>
  <c r="K1556" i="3"/>
  <c r="M1556" i="3" s="1"/>
  <c r="K1557" i="3"/>
  <c r="M1557" i="3" s="1"/>
  <c r="K1558" i="3"/>
  <c r="M1558" i="3" s="1"/>
  <c r="K1559" i="3"/>
  <c r="M1559" i="3" s="1"/>
  <c r="K1560" i="3"/>
  <c r="M1560" i="3" s="1"/>
  <c r="K1561" i="3"/>
  <c r="M1561" i="3" s="1"/>
  <c r="K1562" i="3"/>
  <c r="M1562" i="3" s="1"/>
  <c r="K1563" i="3"/>
  <c r="M1563" i="3" s="1"/>
  <c r="K1564" i="3"/>
  <c r="M1564" i="3" s="1"/>
  <c r="K1565" i="3"/>
  <c r="M1565" i="3" s="1"/>
  <c r="K1566" i="3"/>
  <c r="M1566" i="3" s="1"/>
  <c r="K1567" i="3"/>
  <c r="M1567" i="3" s="1"/>
  <c r="K1568" i="3"/>
  <c r="M1568" i="3" s="1"/>
  <c r="K1569" i="3"/>
  <c r="M1569" i="3" s="1"/>
  <c r="K1570" i="3"/>
  <c r="M1570" i="3" s="1"/>
  <c r="K1571" i="3"/>
  <c r="K1572" i="3"/>
  <c r="M1572" i="3" s="1"/>
  <c r="K1573" i="3"/>
  <c r="M1573" i="3" s="1"/>
  <c r="K1574" i="3"/>
  <c r="M1574" i="3" s="1"/>
  <c r="K1575" i="3"/>
  <c r="M1575" i="3" s="1"/>
  <c r="K1576" i="3"/>
  <c r="M1576" i="3" s="1"/>
  <c r="K1577" i="3"/>
  <c r="M1577" i="3" s="1"/>
  <c r="K1578" i="3"/>
  <c r="M1578" i="3" s="1"/>
  <c r="K1579" i="3"/>
  <c r="M1579" i="3" s="1"/>
  <c r="K1580" i="3"/>
  <c r="M1580" i="3" s="1"/>
  <c r="K1581" i="3"/>
  <c r="M1581" i="3" s="1"/>
  <c r="K1582" i="3"/>
  <c r="M1582" i="3" s="1"/>
  <c r="K1583" i="3"/>
  <c r="M1583" i="3" s="1"/>
  <c r="K1584" i="3"/>
  <c r="M1584" i="3" s="1"/>
  <c r="K1585" i="3"/>
  <c r="M1585" i="3" s="1"/>
  <c r="K1586" i="3"/>
  <c r="M1586" i="3" s="1"/>
  <c r="K1587" i="3"/>
  <c r="K1588" i="3"/>
  <c r="M1588" i="3" s="1"/>
  <c r="K1589" i="3"/>
  <c r="M1589" i="3" s="1"/>
  <c r="K1590" i="3"/>
  <c r="M1590" i="3" s="1"/>
  <c r="K1591" i="3"/>
  <c r="M1591" i="3" s="1"/>
  <c r="K1592" i="3"/>
  <c r="M1592" i="3" s="1"/>
  <c r="K1593" i="3"/>
  <c r="M1593" i="3" s="1"/>
  <c r="K1594" i="3"/>
  <c r="M1594" i="3" s="1"/>
  <c r="K1595" i="3"/>
  <c r="M1595" i="3" s="1"/>
  <c r="K1596" i="3"/>
  <c r="M1596" i="3" s="1"/>
  <c r="K1597" i="3"/>
  <c r="M1597" i="3" s="1"/>
  <c r="K1598" i="3"/>
  <c r="M1598" i="3" s="1"/>
  <c r="K1599" i="3"/>
  <c r="M1599" i="3" s="1"/>
  <c r="K1600" i="3"/>
  <c r="M1600" i="3" s="1"/>
  <c r="K1601" i="3"/>
  <c r="M1601" i="3" s="1"/>
  <c r="K1602" i="3"/>
  <c r="M1602" i="3" s="1"/>
  <c r="K1603" i="3"/>
  <c r="K1604" i="3"/>
  <c r="M1604" i="3" s="1"/>
  <c r="K1605" i="3"/>
  <c r="M1605" i="3" s="1"/>
  <c r="K1606" i="3"/>
  <c r="M1606" i="3" s="1"/>
  <c r="K1607" i="3"/>
  <c r="M1607" i="3" s="1"/>
  <c r="K1608" i="3"/>
  <c r="M1608" i="3" s="1"/>
  <c r="K1609" i="3"/>
  <c r="M1609" i="3" s="1"/>
  <c r="K1610" i="3"/>
  <c r="M1610" i="3" s="1"/>
  <c r="K1611" i="3"/>
  <c r="M1611" i="3" s="1"/>
  <c r="K1612" i="3"/>
  <c r="M1612" i="3" s="1"/>
  <c r="K1613" i="3"/>
  <c r="M1613" i="3" s="1"/>
  <c r="K1614" i="3"/>
  <c r="M1614" i="3" s="1"/>
  <c r="K1615" i="3"/>
  <c r="M1615" i="3" s="1"/>
  <c r="K1616" i="3"/>
  <c r="M1616" i="3" s="1"/>
  <c r="K1617" i="3"/>
  <c r="M1617" i="3" s="1"/>
  <c r="K1618" i="3"/>
  <c r="M1618" i="3" s="1"/>
  <c r="K1619" i="3"/>
  <c r="K1620" i="3"/>
  <c r="M1620" i="3" s="1"/>
  <c r="K1621" i="3"/>
  <c r="M1621" i="3" s="1"/>
  <c r="K1622" i="3"/>
  <c r="M1622" i="3" s="1"/>
  <c r="K1623" i="3"/>
  <c r="M1623" i="3" s="1"/>
  <c r="K1624" i="3"/>
  <c r="M1624" i="3" s="1"/>
  <c r="K1625" i="3"/>
  <c r="M1625" i="3" s="1"/>
  <c r="K1626" i="3"/>
  <c r="M1626" i="3" s="1"/>
  <c r="K1627" i="3"/>
  <c r="M1627" i="3" s="1"/>
  <c r="K1628" i="3"/>
  <c r="M1628" i="3" s="1"/>
  <c r="K1629" i="3"/>
  <c r="M1629" i="3" s="1"/>
  <c r="K1630" i="3"/>
  <c r="M1630" i="3" s="1"/>
  <c r="K1631" i="3"/>
  <c r="M1631" i="3" s="1"/>
  <c r="K1632" i="3"/>
  <c r="M1632" i="3" s="1"/>
  <c r="K1633" i="3"/>
  <c r="M1633" i="3" s="1"/>
  <c r="K1634" i="3"/>
  <c r="M1634" i="3" s="1"/>
  <c r="K1635" i="3"/>
  <c r="K1636" i="3"/>
  <c r="M1636" i="3" s="1"/>
  <c r="K1637" i="3"/>
  <c r="M1637" i="3" s="1"/>
  <c r="K1638" i="3"/>
  <c r="M1638" i="3" s="1"/>
  <c r="K1639" i="3"/>
  <c r="M1639" i="3" s="1"/>
  <c r="K1640" i="3"/>
  <c r="M1640" i="3" s="1"/>
  <c r="K1641" i="3"/>
  <c r="M1641" i="3" s="1"/>
  <c r="K1642" i="3"/>
  <c r="M1642" i="3" s="1"/>
  <c r="K1643" i="3"/>
  <c r="M1643" i="3" s="1"/>
  <c r="K1644" i="3"/>
  <c r="M1644" i="3" s="1"/>
  <c r="K1645" i="3"/>
  <c r="M1645" i="3" s="1"/>
  <c r="K1646" i="3"/>
  <c r="M1646" i="3" s="1"/>
  <c r="K1647" i="3"/>
  <c r="M1647" i="3" s="1"/>
  <c r="K1648" i="3"/>
  <c r="M1648" i="3" s="1"/>
  <c r="K1649" i="3"/>
  <c r="M1649" i="3" s="1"/>
  <c r="K1650" i="3"/>
  <c r="M1650" i="3" s="1"/>
  <c r="K1651" i="3"/>
  <c r="K1652" i="3"/>
  <c r="M1652" i="3" s="1"/>
  <c r="K1653" i="3"/>
  <c r="M1653" i="3" s="1"/>
  <c r="K1654" i="3"/>
  <c r="M1654" i="3" s="1"/>
  <c r="K1655" i="3"/>
  <c r="M1655" i="3" s="1"/>
  <c r="K1656" i="3"/>
  <c r="M1656" i="3" s="1"/>
  <c r="K1657" i="3"/>
  <c r="M1657" i="3" s="1"/>
  <c r="K1658" i="3"/>
  <c r="M1658" i="3" s="1"/>
  <c r="K1659" i="3"/>
  <c r="M1659" i="3" s="1"/>
  <c r="K1660" i="3"/>
  <c r="M1660" i="3" s="1"/>
  <c r="K1661" i="3"/>
  <c r="M1661" i="3" s="1"/>
  <c r="K1662" i="3"/>
  <c r="M1662" i="3" s="1"/>
  <c r="K1663" i="3"/>
  <c r="M1663" i="3" s="1"/>
  <c r="K1664" i="3"/>
  <c r="M1664" i="3" s="1"/>
  <c r="K1665" i="3"/>
  <c r="M1665" i="3" s="1"/>
  <c r="K1666" i="3"/>
  <c r="M1666" i="3" s="1"/>
  <c r="K1667" i="3"/>
  <c r="K1668" i="3"/>
  <c r="M1668" i="3" s="1"/>
  <c r="K1669" i="3"/>
  <c r="M1669" i="3" s="1"/>
  <c r="K1670" i="3"/>
  <c r="M1670" i="3" s="1"/>
  <c r="K1671" i="3"/>
  <c r="M1671" i="3" s="1"/>
  <c r="K1672" i="3"/>
  <c r="M1672" i="3" s="1"/>
  <c r="K1673" i="3"/>
  <c r="M1673" i="3" s="1"/>
  <c r="K1674" i="3"/>
  <c r="M1674" i="3" s="1"/>
  <c r="K1675" i="3"/>
  <c r="M1675" i="3" s="1"/>
  <c r="K1676" i="3"/>
  <c r="M1676" i="3" s="1"/>
  <c r="K1677" i="3"/>
  <c r="M1677" i="3" s="1"/>
  <c r="K1678" i="3"/>
  <c r="M1678" i="3" s="1"/>
  <c r="K1679" i="3"/>
  <c r="M1679" i="3" s="1"/>
  <c r="K1680" i="3"/>
  <c r="M1680" i="3" s="1"/>
  <c r="K1681" i="3"/>
  <c r="M1681" i="3" s="1"/>
  <c r="K1682" i="3"/>
  <c r="M1682" i="3" s="1"/>
  <c r="K1683" i="3"/>
  <c r="K1684" i="3"/>
  <c r="M1684" i="3" s="1"/>
  <c r="K1685" i="3"/>
  <c r="M1685" i="3" s="1"/>
  <c r="K1686" i="3"/>
  <c r="M1686" i="3" s="1"/>
  <c r="K1687" i="3"/>
  <c r="M1687" i="3" s="1"/>
  <c r="K1688" i="3"/>
  <c r="M1688" i="3" s="1"/>
  <c r="K1689" i="3"/>
  <c r="M1689" i="3" s="1"/>
  <c r="K1690" i="3"/>
  <c r="M1690" i="3" s="1"/>
  <c r="K1691" i="3"/>
  <c r="M1691" i="3" s="1"/>
  <c r="K1692" i="3"/>
  <c r="M1692" i="3" s="1"/>
  <c r="K1693" i="3"/>
  <c r="M1693" i="3" s="1"/>
  <c r="K1694" i="3"/>
  <c r="M1694" i="3" s="1"/>
  <c r="K1695" i="3"/>
  <c r="M1695" i="3" s="1"/>
  <c r="K1696" i="3"/>
  <c r="M1696" i="3" s="1"/>
  <c r="K1697" i="3"/>
  <c r="M1697" i="3" s="1"/>
  <c r="K1698" i="3"/>
  <c r="M1698" i="3" s="1"/>
  <c r="K1699" i="3"/>
  <c r="K1700" i="3"/>
  <c r="M1700" i="3" s="1"/>
  <c r="K1701" i="3"/>
  <c r="M1701" i="3" s="1"/>
  <c r="K1702" i="3"/>
  <c r="M1702" i="3" s="1"/>
  <c r="K1703" i="3"/>
  <c r="M1703" i="3" s="1"/>
  <c r="K1704" i="3"/>
  <c r="M1704" i="3" s="1"/>
  <c r="K1705" i="3"/>
  <c r="M1705" i="3" s="1"/>
  <c r="K1706" i="3"/>
  <c r="M1706" i="3" s="1"/>
  <c r="K1707" i="3"/>
  <c r="M1707" i="3" s="1"/>
  <c r="K1708" i="3"/>
  <c r="M1708" i="3" s="1"/>
  <c r="K1709" i="3"/>
  <c r="M1709" i="3" s="1"/>
  <c r="K1710" i="3"/>
  <c r="M1710" i="3" s="1"/>
  <c r="K1711" i="3"/>
  <c r="M1711" i="3" s="1"/>
  <c r="K1712" i="3"/>
  <c r="M1712" i="3" s="1"/>
  <c r="K1713" i="3"/>
  <c r="M1713" i="3" s="1"/>
  <c r="K1714" i="3"/>
  <c r="M1714" i="3" s="1"/>
  <c r="K1715" i="3"/>
  <c r="K1716" i="3"/>
  <c r="M1716" i="3" s="1"/>
  <c r="K1717" i="3"/>
  <c r="M1717" i="3" s="1"/>
  <c r="K1718" i="3"/>
  <c r="M1718" i="3" s="1"/>
  <c r="K1719" i="3"/>
  <c r="M1719" i="3" s="1"/>
  <c r="K1720" i="3"/>
  <c r="M1720" i="3" s="1"/>
  <c r="K1721" i="3"/>
  <c r="M1721" i="3" s="1"/>
  <c r="K1722" i="3"/>
  <c r="M1722" i="3" s="1"/>
  <c r="K1723" i="3"/>
  <c r="M1723" i="3" s="1"/>
  <c r="K1724" i="3"/>
  <c r="M1724" i="3" s="1"/>
  <c r="K1725" i="3"/>
  <c r="M1725" i="3" s="1"/>
  <c r="K1726" i="3"/>
  <c r="M1726" i="3" s="1"/>
  <c r="K1727" i="3"/>
  <c r="M1727" i="3" s="1"/>
  <c r="K1728" i="3"/>
  <c r="M1728" i="3" s="1"/>
  <c r="K1729" i="3"/>
  <c r="M1729" i="3" s="1"/>
  <c r="K1730" i="3"/>
  <c r="M1730" i="3" s="1"/>
  <c r="K1731" i="3"/>
  <c r="K1732" i="3"/>
  <c r="M1732" i="3" s="1"/>
  <c r="K1733" i="3"/>
  <c r="M1733" i="3" s="1"/>
  <c r="K1734" i="3"/>
  <c r="M1734" i="3" s="1"/>
  <c r="K1735" i="3"/>
  <c r="M1735" i="3" s="1"/>
  <c r="K1736" i="3"/>
  <c r="M1736" i="3" s="1"/>
  <c r="K1737" i="3"/>
  <c r="M1737" i="3" s="1"/>
  <c r="K1738" i="3"/>
  <c r="M1738" i="3" s="1"/>
  <c r="K1739" i="3"/>
  <c r="M1739" i="3" s="1"/>
  <c r="K1740" i="3"/>
  <c r="M1740" i="3" s="1"/>
  <c r="K1741" i="3"/>
  <c r="M1741" i="3" s="1"/>
  <c r="K1742" i="3"/>
  <c r="M1742" i="3" s="1"/>
  <c r="K1743" i="3"/>
  <c r="M1743" i="3" s="1"/>
  <c r="K1744" i="3"/>
  <c r="M1744" i="3" s="1"/>
  <c r="K1745" i="3"/>
  <c r="M1745" i="3" s="1"/>
  <c r="K1746" i="3"/>
  <c r="M1746" i="3" s="1"/>
  <c r="K1747" i="3"/>
  <c r="K1748" i="3"/>
  <c r="M1748" i="3" s="1"/>
  <c r="K1749" i="3"/>
  <c r="M1749" i="3" s="1"/>
  <c r="K1750" i="3"/>
  <c r="M1750" i="3" s="1"/>
  <c r="K1751" i="3"/>
  <c r="M1751" i="3" s="1"/>
  <c r="K1752" i="3"/>
  <c r="M1752" i="3" s="1"/>
  <c r="K1753" i="3"/>
  <c r="M1753" i="3" s="1"/>
  <c r="K1754" i="3"/>
  <c r="M1754" i="3" s="1"/>
  <c r="K1755" i="3"/>
  <c r="M1755" i="3" s="1"/>
  <c r="K1756" i="3"/>
  <c r="M1756" i="3" s="1"/>
  <c r="K1757" i="3"/>
  <c r="M1757" i="3" s="1"/>
  <c r="K1758" i="3"/>
  <c r="M1758" i="3" s="1"/>
  <c r="K1759" i="3"/>
  <c r="K1760" i="3"/>
  <c r="M1760" i="3" s="1"/>
  <c r="K1761" i="3"/>
  <c r="M1761" i="3" s="1"/>
  <c r="K1762" i="3"/>
  <c r="M1762" i="3" s="1"/>
  <c r="K1763" i="3"/>
  <c r="M1763" i="3" s="1"/>
  <c r="K1764" i="3"/>
  <c r="M1764" i="3" s="1"/>
  <c r="K1765" i="3"/>
  <c r="M1765" i="3" s="1"/>
  <c r="K1766" i="3"/>
  <c r="M1766" i="3" s="1"/>
  <c r="K1767" i="3"/>
  <c r="K1768" i="3"/>
  <c r="M1768" i="3" s="1"/>
  <c r="K1769" i="3"/>
  <c r="M1769" i="3" s="1"/>
  <c r="K1770" i="3"/>
  <c r="M1770" i="3" s="1"/>
  <c r="K1771" i="3"/>
  <c r="M1771" i="3" s="1"/>
  <c r="K1772" i="3"/>
  <c r="M1772" i="3" s="1"/>
  <c r="K1773" i="3"/>
  <c r="M1773" i="3" s="1"/>
  <c r="K1774" i="3"/>
  <c r="M1774" i="3" s="1"/>
  <c r="K1775" i="3"/>
  <c r="K1776" i="3"/>
  <c r="M1776" i="3" s="1"/>
  <c r="K1777" i="3"/>
  <c r="M1777" i="3" s="1"/>
  <c r="K1778" i="3"/>
  <c r="M1778" i="3" s="1"/>
  <c r="K1779" i="3"/>
  <c r="M1779" i="3" s="1"/>
  <c r="K1780" i="3"/>
  <c r="M1780" i="3" s="1"/>
  <c r="K1781" i="3"/>
  <c r="M1781" i="3" s="1"/>
  <c r="K1782" i="3"/>
  <c r="M1782" i="3" s="1"/>
  <c r="K1783" i="3"/>
  <c r="K1784" i="3"/>
  <c r="M1784" i="3" s="1"/>
  <c r="K1785" i="3"/>
  <c r="M1785" i="3" s="1"/>
  <c r="K1786" i="3"/>
  <c r="M1786" i="3" s="1"/>
  <c r="K1787" i="3"/>
  <c r="M1787" i="3" s="1"/>
  <c r="K1788" i="3"/>
  <c r="M1788" i="3" s="1"/>
  <c r="K1789" i="3"/>
  <c r="M1789" i="3" s="1"/>
  <c r="K1790" i="3"/>
  <c r="M1790" i="3" s="1"/>
  <c r="K1791" i="3"/>
  <c r="K1792" i="3"/>
  <c r="M1792" i="3" s="1"/>
  <c r="K1793" i="3"/>
  <c r="M1793" i="3" s="1"/>
  <c r="K1794" i="3"/>
  <c r="M1794" i="3" s="1"/>
  <c r="K1795" i="3"/>
  <c r="M1795" i="3" s="1"/>
  <c r="K1796" i="3"/>
  <c r="M1796" i="3" s="1"/>
  <c r="K1797" i="3"/>
  <c r="M1797" i="3" s="1"/>
  <c r="K1798" i="3"/>
  <c r="M1798" i="3" s="1"/>
  <c r="K1799" i="3"/>
  <c r="K1800" i="3"/>
  <c r="M1800" i="3" s="1"/>
  <c r="K1801" i="3"/>
  <c r="M1801" i="3" s="1"/>
  <c r="K1802" i="3"/>
  <c r="M1802" i="3" s="1"/>
  <c r="K1803" i="3"/>
  <c r="M1803" i="3" s="1"/>
  <c r="K1804" i="3"/>
  <c r="M1804" i="3" s="1"/>
  <c r="K1805" i="3"/>
  <c r="M1805" i="3" s="1"/>
  <c r="K1806" i="3"/>
  <c r="M1806" i="3" s="1"/>
  <c r="K1807" i="3"/>
  <c r="K1808" i="3"/>
  <c r="M1808" i="3" s="1"/>
  <c r="K1809" i="3"/>
  <c r="M1809" i="3" s="1"/>
  <c r="K1810" i="3"/>
  <c r="M1810" i="3" s="1"/>
  <c r="K1811" i="3"/>
  <c r="M1811" i="3" s="1"/>
  <c r="K1812" i="3"/>
  <c r="M1812" i="3" s="1"/>
  <c r="K1813" i="3"/>
  <c r="M1813" i="3" s="1"/>
  <c r="K1814" i="3"/>
  <c r="M1814" i="3" s="1"/>
  <c r="K1815" i="3"/>
  <c r="K1816" i="3"/>
  <c r="M1816" i="3" s="1"/>
  <c r="K1817" i="3"/>
  <c r="M1817" i="3" s="1"/>
  <c r="K1818" i="3"/>
  <c r="M1818" i="3" s="1"/>
  <c r="K1819" i="3"/>
  <c r="M1819" i="3" s="1"/>
  <c r="K1820" i="3"/>
  <c r="M1820" i="3" s="1"/>
  <c r="K1821" i="3"/>
  <c r="M1821" i="3" s="1"/>
  <c r="K1822" i="3"/>
  <c r="M1822" i="3" s="1"/>
  <c r="K1823" i="3"/>
  <c r="M1823" i="3" s="1"/>
  <c r="K1824" i="3"/>
  <c r="M1824" i="3" s="1"/>
  <c r="K1825" i="3"/>
  <c r="M1825" i="3" s="1"/>
  <c r="K1826" i="3"/>
  <c r="M1826" i="3" s="1"/>
  <c r="K1827" i="3"/>
  <c r="M1827" i="3" s="1"/>
  <c r="K1828" i="3"/>
  <c r="M1828" i="3" s="1"/>
  <c r="K1829" i="3"/>
  <c r="M1829" i="3" s="1"/>
  <c r="K1830" i="3"/>
  <c r="M1830" i="3" s="1"/>
  <c r="K1831" i="3"/>
  <c r="M1831" i="3" s="1"/>
  <c r="K1832" i="3"/>
  <c r="M1832" i="3" s="1"/>
  <c r="K1833" i="3"/>
  <c r="M1833" i="3" s="1"/>
  <c r="K1834" i="3"/>
  <c r="M1834" i="3" s="1"/>
  <c r="K1835" i="3"/>
  <c r="M1835" i="3" s="1"/>
  <c r="K1836" i="3"/>
  <c r="M1836" i="3" s="1"/>
  <c r="K1837" i="3"/>
  <c r="M1837" i="3" s="1"/>
  <c r="K1838" i="3"/>
  <c r="M1838" i="3" s="1"/>
  <c r="K1839" i="3"/>
  <c r="M1839" i="3" s="1"/>
  <c r="K1840" i="3"/>
  <c r="M1840" i="3" s="1"/>
  <c r="K1841" i="3"/>
  <c r="M1841" i="3" s="1"/>
  <c r="K1842" i="3"/>
  <c r="M1842" i="3" s="1"/>
  <c r="K1843" i="3"/>
  <c r="M1843" i="3" s="1"/>
  <c r="K1844" i="3"/>
  <c r="M1844" i="3" s="1"/>
  <c r="K1845" i="3"/>
  <c r="M1845" i="3" s="1"/>
  <c r="K1846" i="3"/>
  <c r="M1846" i="3" s="1"/>
  <c r="K1847" i="3"/>
  <c r="M1847" i="3" s="1"/>
  <c r="K1848" i="3"/>
  <c r="M1848" i="3" s="1"/>
  <c r="K1849" i="3"/>
  <c r="M1849" i="3" s="1"/>
  <c r="K1850" i="3"/>
  <c r="M1850" i="3" s="1"/>
  <c r="K1851" i="3"/>
  <c r="M1851" i="3" s="1"/>
  <c r="K1852" i="3"/>
  <c r="M1852" i="3" s="1"/>
  <c r="K1853" i="3"/>
  <c r="M1853" i="3" s="1"/>
  <c r="K1854" i="3"/>
  <c r="M1854" i="3" s="1"/>
  <c r="K1855" i="3"/>
  <c r="M1855" i="3" s="1"/>
  <c r="K1856" i="3"/>
  <c r="M1856" i="3" s="1"/>
  <c r="K1857" i="3"/>
  <c r="M1857" i="3" s="1"/>
  <c r="K1858" i="3"/>
  <c r="M1858" i="3" s="1"/>
  <c r="K1859" i="3"/>
  <c r="M1859" i="3" s="1"/>
  <c r="K1860" i="3"/>
  <c r="M1860" i="3" s="1"/>
  <c r="K1861" i="3"/>
  <c r="M1861" i="3" s="1"/>
  <c r="K1862" i="3"/>
  <c r="M1862" i="3" s="1"/>
  <c r="K1863" i="3"/>
  <c r="M1863" i="3" s="1"/>
  <c r="K1864" i="3"/>
  <c r="M1864" i="3" s="1"/>
  <c r="K1865" i="3"/>
  <c r="M1865" i="3" s="1"/>
  <c r="K1866" i="3"/>
  <c r="M1866" i="3" s="1"/>
  <c r="K1867" i="3"/>
  <c r="M1867" i="3" s="1"/>
  <c r="K1868" i="3"/>
  <c r="M1868" i="3" s="1"/>
  <c r="K1869" i="3"/>
  <c r="M1869" i="3" s="1"/>
  <c r="K1870" i="3"/>
  <c r="M1870" i="3" s="1"/>
  <c r="K1871" i="3"/>
  <c r="M1871" i="3" s="1"/>
  <c r="K1872" i="3"/>
  <c r="M1872" i="3" s="1"/>
  <c r="K1873" i="3"/>
  <c r="M1873" i="3" s="1"/>
  <c r="K1874" i="3"/>
  <c r="M1874" i="3" s="1"/>
  <c r="K1875" i="3"/>
  <c r="M1875" i="3" s="1"/>
  <c r="K1876" i="3"/>
  <c r="M1876" i="3" s="1"/>
  <c r="K1877" i="3"/>
  <c r="M1877" i="3" s="1"/>
  <c r="K1878" i="3"/>
  <c r="M1878" i="3" s="1"/>
  <c r="K1879" i="3"/>
  <c r="M1879" i="3" s="1"/>
  <c r="K1880" i="3"/>
  <c r="M1880" i="3" s="1"/>
  <c r="K1881" i="3"/>
  <c r="M1881" i="3" s="1"/>
  <c r="K1882" i="3"/>
  <c r="M1882" i="3" s="1"/>
  <c r="K1883" i="3"/>
  <c r="M1883" i="3" s="1"/>
  <c r="K1884" i="3"/>
  <c r="M1884" i="3" s="1"/>
  <c r="K1885" i="3"/>
  <c r="M1885" i="3" s="1"/>
  <c r="K1886" i="3"/>
  <c r="M1886" i="3" s="1"/>
  <c r="K1887" i="3"/>
  <c r="M1887" i="3" s="1"/>
  <c r="K1888" i="3"/>
  <c r="M1888" i="3" s="1"/>
  <c r="K1889" i="3"/>
  <c r="M1889" i="3" s="1"/>
  <c r="K1890" i="3"/>
  <c r="M1890" i="3" s="1"/>
  <c r="K1891" i="3"/>
  <c r="M1891" i="3" s="1"/>
  <c r="K1892" i="3"/>
  <c r="M1892" i="3" s="1"/>
  <c r="K1893" i="3"/>
  <c r="M1893" i="3" s="1"/>
  <c r="K1894" i="3"/>
  <c r="M1894" i="3" s="1"/>
  <c r="K1895" i="3"/>
  <c r="M1895" i="3" s="1"/>
  <c r="K1896" i="3"/>
  <c r="M1896" i="3" s="1"/>
  <c r="K1897" i="3"/>
  <c r="M1897" i="3" s="1"/>
  <c r="K1898" i="3"/>
  <c r="M1898" i="3" s="1"/>
  <c r="K1899" i="3"/>
  <c r="M1899" i="3" s="1"/>
  <c r="K1900" i="3"/>
  <c r="M1900" i="3" s="1"/>
  <c r="K1901" i="3"/>
  <c r="M1901" i="3" s="1"/>
  <c r="K1902" i="3"/>
  <c r="M1902" i="3" s="1"/>
  <c r="K1903" i="3"/>
  <c r="M1903" i="3" s="1"/>
  <c r="K1904" i="3"/>
  <c r="M1904" i="3" s="1"/>
  <c r="K1905" i="3"/>
  <c r="M1905" i="3" s="1"/>
  <c r="K1906" i="3"/>
  <c r="M1906" i="3" s="1"/>
  <c r="K1907" i="3"/>
  <c r="M1907" i="3" s="1"/>
  <c r="K1908" i="3"/>
  <c r="M1908" i="3" s="1"/>
  <c r="K1909" i="3"/>
  <c r="M1909" i="3" s="1"/>
  <c r="K1910" i="3"/>
  <c r="M1910" i="3" s="1"/>
  <c r="K1911" i="3"/>
  <c r="M1911" i="3" s="1"/>
  <c r="K1912" i="3"/>
  <c r="M1912" i="3" s="1"/>
  <c r="K1913" i="3"/>
  <c r="M1913" i="3" s="1"/>
  <c r="K1914" i="3"/>
  <c r="M1914" i="3" s="1"/>
  <c r="K1915" i="3"/>
  <c r="M1915" i="3" s="1"/>
  <c r="K1916" i="3"/>
  <c r="M1916" i="3" s="1"/>
  <c r="K1917" i="3"/>
  <c r="M1917" i="3" s="1"/>
  <c r="K1918" i="3"/>
  <c r="M1918" i="3" s="1"/>
  <c r="K1919" i="3"/>
  <c r="M1919" i="3" s="1"/>
  <c r="K1920" i="3"/>
  <c r="M1920" i="3" s="1"/>
  <c r="K1921" i="3"/>
  <c r="M1921" i="3" s="1"/>
  <c r="K1922" i="3"/>
  <c r="M1922" i="3" s="1"/>
  <c r="K1923" i="3"/>
  <c r="M1923" i="3" s="1"/>
  <c r="K1924" i="3"/>
  <c r="M1924" i="3" s="1"/>
  <c r="K1925" i="3"/>
  <c r="M1925" i="3" s="1"/>
  <c r="K1926" i="3"/>
  <c r="M1926" i="3" s="1"/>
  <c r="K1927" i="3"/>
  <c r="M1927" i="3" s="1"/>
  <c r="K1928" i="3"/>
  <c r="M1928" i="3" s="1"/>
  <c r="K1929" i="3"/>
  <c r="M1929" i="3" s="1"/>
  <c r="K1930" i="3"/>
  <c r="M1930" i="3" s="1"/>
  <c r="K1931" i="3"/>
  <c r="M1931" i="3" s="1"/>
  <c r="K1932" i="3"/>
  <c r="M1932" i="3" s="1"/>
  <c r="K1933" i="3"/>
  <c r="M1933" i="3" s="1"/>
  <c r="K1934" i="3"/>
  <c r="M1934" i="3" s="1"/>
  <c r="K1935" i="3"/>
  <c r="M1935" i="3" s="1"/>
  <c r="K1936" i="3"/>
  <c r="M1936" i="3" s="1"/>
  <c r="K1937" i="3"/>
  <c r="M1937" i="3" s="1"/>
  <c r="K1938" i="3"/>
  <c r="M1938" i="3" s="1"/>
  <c r="K1939" i="3"/>
  <c r="M1939" i="3" s="1"/>
  <c r="K1940" i="3"/>
  <c r="M1940" i="3" s="1"/>
  <c r="K1941" i="3"/>
  <c r="M1941" i="3" s="1"/>
  <c r="K1942" i="3"/>
  <c r="M1942" i="3" s="1"/>
  <c r="K1943" i="3"/>
  <c r="M1943" i="3" s="1"/>
  <c r="K1944" i="3"/>
  <c r="M1944" i="3" s="1"/>
  <c r="K1945" i="3"/>
  <c r="M1945" i="3" s="1"/>
  <c r="K1946" i="3"/>
  <c r="M1946" i="3" s="1"/>
  <c r="K1947" i="3"/>
  <c r="M1947" i="3" s="1"/>
  <c r="K1948" i="3"/>
  <c r="M1948" i="3" s="1"/>
  <c r="K1949" i="3"/>
  <c r="M1949" i="3" s="1"/>
  <c r="K1950" i="3"/>
  <c r="M1950" i="3" s="1"/>
  <c r="K1951" i="3"/>
  <c r="M1951" i="3" s="1"/>
  <c r="K1952" i="3"/>
  <c r="M1952" i="3" s="1"/>
  <c r="K1953" i="3"/>
  <c r="M1953" i="3" s="1"/>
  <c r="K1954" i="3"/>
  <c r="M1954" i="3" s="1"/>
  <c r="K1955" i="3"/>
  <c r="M1955" i="3" s="1"/>
  <c r="K1956" i="3"/>
  <c r="M1956" i="3" s="1"/>
  <c r="K1957" i="3"/>
  <c r="M1957" i="3" s="1"/>
  <c r="K1958" i="3"/>
  <c r="M1958" i="3" s="1"/>
  <c r="K1959" i="3"/>
  <c r="M1959" i="3" s="1"/>
  <c r="K1960" i="3"/>
  <c r="M1960" i="3" s="1"/>
  <c r="K1961" i="3"/>
  <c r="M1961" i="3" s="1"/>
  <c r="K1962" i="3"/>
  <c r="M1962" i="3" s="1"/>
  <c r="K1963" i="3"/>
  <c r="M1963" i="3" s="1"/>
  <c r="K1964" i="3"/>
  <c r="M1964" i="3" s="1"/>
  <c r="K1965" i="3"/>
  <c r="M1965" i="3" s="1"/>
  <c r="K1966" i="3"/>
  <c r="M1966" i="3" s="1"/>
  <c r="K1967" i="3"/>
  <c r="M1967" i="3" s="1"/>
  <c r="K1968" i="3"/>
  <c r="M1968" i="3" s="1"/>
  <c r="K1969" i="3"/>
  <c r="M1969" i="3" s="1"/>
  <c r="K1970" i="3"/>
  <c r="M1970" i="3" s="1"/>
  <c r="K1971" i="3"/>
  <c r="M1971" i="3" s="1"/>
  <c r="K1972" i="3"/>
  <c r="M1972" i="3" s="1"/>
  <c r="K1973" i="3"/>
  <c r="M1973" i="3" s="1"/>
  <c r="K1974" i="3"/>
  <c r="M1974" i="3" s="1"/>
  <c r="K1975" i="3"/>
  <c r="M1975" i="3" s="1"/>
  <c r="K1976" i="3"/>
  <c r="M1976" i="3" s="1"/>
  <c r="K1977" i="3"/>
  <c r="M1977" i="3" s="1"/>
  <c r="K1978" i="3"/>
  <c r="M1978" i="3" s="1"/>
  <c r="K1979" i="3"/>
  <c r="M1979" i="3" s="1"/>
  <c r="K1980" i="3"/>
  <c r="M1980" i="3" s="1"/>
  <c r="K1981" i="3"/>
  <c r="M1981" i="3" s="1"/>
  <c r="K1982" i="3"/>
  <c r="M1982" i="3" s="1"/>
  <c r="K1983" i="3"/>
  <c r="M1983" i="3" s="1"/>
  <c r="K1984" i="3"/>
  <c r="M1984" i="3" s="1"/>
  <c r="K1985" i="3"/>
  <c r="M1985" i="3" s="1"/>
  <c r="K1986" i="3"/>
  <c r="M1986" i="3" s="1"/>
  <c r="K1987" i="3"/>
  <c r="M1987" i="3" s="1"/>
  <c r="K1988" i="3"/>
  <c r="M1988" i="3" s="1"/>
  <c r="K1989" i="3"/>
  <c r="M1989" i="3" s="1"/>
  <c r="K1990" i="3"/>
  <c r="M1990" i="3" s="1"/>
  <c r="K1991" i="3"/>
  <c r="M1991" i="3" s="1"/>
  <c r="K1992" i="3"/>
  <c r="M1992" i="3" s="1"/>
  <c r="K1993" i="3"/>
  <c r="M1993" i="3" s="1"/>
  <c r="K1994" i="3"/>
  <c r="M1994" i="3" s="1"/>
  <c r="K1995" i="3"/>
  <c r="M1995" i="3" s="1"/>
  <c r="K1996" i="3"/>
  <c r="M1996" i="3" s="1"/>
  <c r="K1997" i="3"/>
  <c r="M1997" i="3" s="1"/>
  <c r="K1998" i="3"/>
  <c r="M1998" i="3" s="1"/>
  <c r="K1999" i="3"/>
  <c r="M1999" i="3" s="1"/>
  <c r="K2000" i="3"/>
  <c r="M2000" i="3" s="1"/>
  <c r="K2001" i="3"/>
  <c r="M2001" i="3" s="1"/>
  <c r="K2002" i="3"/>
  <c r="M2002" i="3" s="1"/>
  <c r="K2003" i="3"/>
  <c r="M2003" i="3" s="1"/>
  <c r="K2004" i="3"/>
  <c r="M2004" i="3" s="1"/>
  <c r="K2005" i="3"/>
  <c r="M2005" i="3" s="1"/>
  <c r="K2006" i="3"/>
  <c r="M2006" i="3" s="1"/>
  <c r="K2007" i="3"/>
  <c r="M2007" i="3" s="1"/>
  <c r="K2008" i="3"/>
  <c r="M2008" i="3" s="1"/>
  <c r="K2009" i="3"/>
  <c r="M2009" i="3" s="1"/>
  <c r="K2010" i="3"/>
  <c r="M2010" i="3" s="1"/>
  <c r="K2011" i="3"/>
  <c r="M2011" i="3" s="1"/>
  <c r="K2012" i="3"/>
  <c r="M2012" i="3" s="1"/>
  <c r="K2013" i="3"/>
  <c r="M2013" i="3" s="1"/>
  <c r="K2014" i="3"/>
  <c r="M2014" i="3" s="1"/>
  <c r="K2015" i="3"/>
  <c r="M2015" i="3" s="1"/>
  <c r="K2016" i="3"/>
  <c r="M2016" i="3" s="1"/>
  <c r="K2017" i="3"/>
  <c r="M2017" i="3" s="1"/>
  <c r="K2018" i="3"/>
  <c r="M2018" i="3" s="1"/>
  <c r="K2019" i="3"/>
  <c r="M2019" i="3" s="1"/>
  <c r="K2020" i="3"/>
  <c r="M2020" i="3" s="1"/>
  <c r="K2021" i="3"/>
  <c r="M2021" i="3" s="1"/>
  <c r="K2022" i="3"/>
  <c r="M2022" i="3" s="1"/>
  <c r="K2023" i="3"/>
  <c r="M2023" i="3" s="1"/>
  <c r="K2024" i="3"/>
  <c r="M2024" i="3" s="1"/>
  <c r="K2025" i="3"/>
  <c r="M2025" i="3" s="1"/>
  <c r="K2026" i="3"/>
  <c r="M2026" i="3" s="1"/>
  <c r="K2027" i="3"/>
  <c r="M2027" i="3" s="1"/>
  <c r="K2028" i="3"/>
  <c r="M2028" i="3" s="1"/>
  <c r="K2029" i="3"/>
  <c r="M2029" i="3" s="1"/>
  <c r="K2030" i="3"/>
  <c r="M2030" i="3" s="1"/>
  <c r="K2031" i="3"/>
  <c r="M2031" i="3" s="1"/>
  <c r="K2032" i="3"/>
  <c r="M2032" i="3" s="1"/>
  <c r="K2033" i="3"/>
  <c r="M2033" i="3" s="1"/>
  <c r="K2034" i="3"/>
  <c r="M2034" i="3" s="1"/>
  <c r="K2035" i="3"/>
  <c r="M2035" i="3" s="1"/>
  <c r="K2036" i="3"/>
  <c r="M2036" i="3" s="1"/>
  <c r="K2037" i="3"/>
  <c r="M2037" i="3" s="1"/>
  <c r="K2038" i="3"/>
  <c r="M2038" i="3" s="1"/>
  <c r="K2039" i="3"/>
  <c r="M2039" i="3" s="1"/>
  <c r="K2040" i="3"/>
  <c r="M2040" i="3" s="1"/>
  <c r="K2041" i="3"/>
  <c r="M2041" i="3" s="1"/>
  <c r="K2042" i="3"/>
  <c r="M2042" i="3" s="1"/>
  <c r="K2043" i="3"/>
  <c r="M2043" i="3" s="1"/>
  <c r="K2044" i="3"/>
  <c r="M2044" i="3" s="1"/>
  <c r="K2045" i="3"/>
  <c r="M2045" i="3" s="1"/>
  <c r="K2046" i="3"/>
  <c r="M2046" i="3" s="1"/>
  <c r="K2047" i="3"/>
  <c r="M2047" i="3" s="1"/>
  <c r="K2048" i="3"/>
  <c r="M2048" i="3" s="1"/>
  <c r="K2049" i="3"/>
  <c r="M2049" i="3" s="1"/>
  <c r="K2050" i="3"/>
  <c r="M2050" i="3" s="1"/>
  <c r="K2051" i="3"/>
  <c r="M2051" i="3" s="1"/>
  <c r="K2052" i="3"/>
  <c r="M2052" i="3" s="1"/>
  <c r="K2053" i="3"/>
  <c r="M2053" i="3" s="1"/>
  <c r="K2054" i="3"/>
  <c r="K2055" i="3"/>
  <c r="M2055" i="3" s="1"/>
  <c r="K2056" i="3"/>
  <c r="M2056" i="3" s="1"/>
  <c r="K2057" i="3"/>
  <c r="M2057" i="3" s="1"/>
  <c r="K2058" i="3"/>
  <c r="M2058" i="3" s="1"/>
  <c r="K2059" i="3"/>
  <c r="M2059" i="3" s="1"/>
  <c r="K2060" i="3"/>
  <c r="M2060" i="3" s="1"/>
  <c r="K2061" i="3"/>
  <c r="M2061" i="3" s="1"/>
  <c r="K2062" i="3"/>
  <c r="M2062" i="3" s="1"/>
  <c r="K2063" i="3"/>
  <c r="M2063" i="3" s="1"/>
  <c r="K2064" i="3"/>
  <c r="M2064" i="3" s="1"/>
  <c r="K2065" i="3"/>
  <c r="M2065" i="3" s="1"/>
  <c r="K2066" i="3"/>
  <c r="M2066" i="3" s="1"/>
  <c r="K2067" i="3"/>
  <c r="M2067" i="3" s="1"/>
  <c r="K2068" i="3"/>
  <c r="M2068" i="3" s="1"/>
  <c r="K2069" i="3"/>
  <c r="M2069" i="3" s="1"/>
  <c r="K2070" i="3"/>
  <c r="K2071" i="3"/>
  <c r="M2071" i="3" s="1"/>
  <c r="K2072" i="3"/>
  <c r="M2072" i="3" s="1"/>
  <c r="K2073" i="3"/>
  <c r="M2073" i="3" s="1"/>
  <c r="K2074" i="3"/>
  <c r="M2074" i="3" s="1"/>
  <c r="K2075" i="3"/>
  <c r="M2075" i="3" s="1"/>
  <c r="K2076" i="3"/>
  <c r="M2076" i="3" s="1"/>
  <c r="K2077" i="3"/>
  <c r="M2077" i="3" s="1"/>
  <c r="K2078" i="3"/>
  <c r="M2078" i="3" s="1"/>
  <c r="K2079" i="3"/>
  <c r="M2079" i="3" s="1"/>
  <c r="K2080" i="3"/>
  <c r="M2080" i="3" s="1"/>
  <c r="K2081" i="3"/>
  <c r="M2081" i="3" s="1"/>
  <c r="K2082" i="3"/>
  <c r="M2082" i="3" s="1"/>
  <c r="K2083" i="3"/>
  <c r="M2083" i="3" s="1"/>
  <c r="K2084" i="3"/>
  <c r="M2084" i="3" s="1"/>
  <c r="K2085" i="3"/>
  <c r="M2085" i="3" s="1"/>
  <c r="K2086" i="3"/>
  <c r="K2087" i="3"/>
  <c r="M2087" i="3" s="1"/>
  <c r="K2088" i="3"/>
  <c r="M2088" i="3" s="1"/>
  <c r="K2089" i="3"/>
  <c r="M2089" i="3" s="1"/>
  <c r="K2090" i="3"/>
  <c r="M2090" i="3" s="1"/>
  <c r="K2091" i="3"/>
  <c r="M2091" i="3" s="1"/>
  <c r="K2092" i="3"/>
  <c r="M2092" i="3" s="1"/>
  <c r="K2093" i="3"/>
  <c r="M2093" i="3" s="1"/>
  <c r="K2094" i="3"/>
  <c r="M2094" i="3" s="1"/>
  <c r="K2095" i="3"/>
  <c r="M2095" i="3" s="1"/>
  <c r="K2096" i="3"/>
  <c r="M2096" i="3" s="1"/>
  <c r="K2097" i="3"/>
  <c r="M2097" i="3" s="1"/>
  <c r="K2098" i="3"/>
  <c r="M2098" i="3" s="1"/>
  <c r="K2099" i="3"/>
  <c r="M2099" i="3" s="1"/>
  <c r="K2100" i="3"/>
  <c r="M2100" i="3" s="1"/>
  <c r="K2101" i="3"/>
  <c r="M2101" i="3" s="1"/>
  <c r="K2102" i="3"/>
  <c r="K2103" i="3"/>
  <c r="M2103" i="3" s="1"/>
  <c r="K2104" i="3"/>
  <c r="M2104" i="3" s="1"/>
  <c r="K2105" i="3"/>
  <c r="M2105" i="3" s="1"/>
  <c r="K2106" i="3"/>
  <c r="M2106" i="3" s="1"/>
  <c r="K2107" i="3"/>
  <c r="M2107" i="3" s="1"/>
  <c r="K2108" i="3"/>
  <c r="M2108" i="3" s="1"/>
  <c r="K2109" i="3"/>
  <c r="M2109" i="3" s="1"/>
  <c r="K2110" i="3"/>
  <c r="M2110" i="3" s="1"/>
  <c r="K2111" i="3"/>
  <c r="M2111" i="3" s="1"/>
  <c r="K2112" i="3"/>
  <c r="M2112" i="3" s="1"/>
  <c r="K2113" i="3"/>
  <c r="M2113" i="3" s="1"/>
  <c r="K2114" i="3"/>
  <c r="M2114" i="3" s="1"/>
  <c r="K2115" i="3"/>
  <c r="M2115" i="3" s="1"/>
  <c r="K2116" i="3"/>
  <c r="M2116" i="3" s="1"/>
  <c r="K2117" i="3"/>
  <c r="M2117" i="3" s="1"/>
  <c r="K2118" i="3"/>
  <c r="K2119" i="3"/>
  <c r="M2119" i="3" s="1"/>
  <c r="K2120" i="3"/>
  <c r="M2120" i="3" s="1"/>
  <c r="K2121" i="3"/>
  <c r="M2121" i="3" s="1"/>
  <c r="K2122" i="3"/>
  <c r="M2122" i="3" s="1"/>
  <c r="K2123" i="3"/>
  <c r="M2123" i="3" s="1"/>
  <c r="K2124" i="3"/>
  <c r="M2124" i="3" s="1"/>
  <c r="K2125" i="3"/>
  <c r="M2125" i="3" s="1"/>
  <c r="K2126" i="3"/>
  <c r="M2126" i="3" s="1"/>
  <c r="K2127" i="3"/>
  <c r="M2127" i="3" s="1"/>
  <c r="K2128" i="3"/>
  <c r="M2128" i="3" s="1"/>
  <c r="K2129" i="3"/>
  <c r="M2129" i="3" s="1"/>
  <c r="K2130" i="3"/>
  <c r="M2130" i="3" s="1"/>
  <c r="K2131" i="3"/>
  <c r="M2131" i="3" s="1"/>
  <c r="K2132" i="3"/>
  <c r="M2132" i="3" s="1"/>
  <c r="K2133" i="3"/>
  <c r="M2133" i="3" s="1"/>
  <c r="K2134" i="3"/>
  <c r="K2135" i="3"/>
  <c r="M2135" i="3" s="1"/>
  <c r="K2136" i="3"/>
  <c r="M2136" i="3" s="1"/>
  <c r="K2137" i="3"/>
  <c r="M2137" i="3" s="1"/>
  <c r="K2138" i="3"/>
  <c r="M2138" i="3" s="1"/>
  <c r="K2139" i="3"/>
  <c r="M2139" i="3" s="1"/>
  <c r="K2140" i="3"/>
  <c r="M2140" i="3" s="1"/>
  <c r="K2141" i="3"/>
  <c r="M2141" i="3" s="1"/>
  <c r="K2142" i="3"/>
  <c r="M2142" i="3" s="1"/>
  <c r="K2143" i="3"/>
  <c r="M2143" i="3" s="1"/>
  <c r="K2144" i="3"/>
  <c r="M2144" i="3" s="1"/>
  <c r="K2145" i="3"/>
  <c r="M2145" i="3" s="1"/>
  <c r="K2146" i="3"/>
  <c r="M2146" i="3" s="1"/>
  <c r="K2147" i="3"/>
  <c r="M2147" i="3" s="1"/>
  <c r="K2148" i="3"/>
  <c r="M2148" i="3" s="1"/>
  <c r="K2149" i="3"/>
  <c r="M2149" i="3" s="1"/>
  <c r="K2150" i="3"/>
  <c r="K2151" i="3"/>
  <c r="M2151" i="3" s="1"/>
  <c r="K2152" i="3"/>
  <c r="M2152" i="3" s="1"/>
  <c r="K2153" i="3"/>
  <c r="M2153" i="3" s="1"/>
  <c r="K2154" i="3"/>
  <c r="M2154" i="3" s="1"/>
  <c r="K2155" i="3"/>
  <c r="M2155" i="3" s="1"/>
  <c r="K2156" i="3"/>
  <c r="M2156" i="3" s="1"/>
  <c r="K2157" i="3"/>
  <c r="M2157" i="3" s="1"/>
  <c r="K2158" i="3"/>
  <c r="M2158" i="3" s="1"/>
  <c r="K2159" i="3"/>
  <c r="M2159" i="3" s="1"/>
  <c r="K2160" i="3"/>
  <c r="M2160" i="3" s="1"/>
  <c r="K2161" i="3"/>
  <c r="M2161" i="3" s="1"/>
  <c r="K2162" i="3"/>
  <c r="M2162" i="3" s="1"/>
  <c r="K2163" i="3"/>
  <c r="M2163" i="3" s="1"/>
  <c r="K2164" i="3"/>
  <c r="M2164" i="3" s="1"/>
  <c r="K2165" i="3"/>
  <c r="M2165" i="3" s="1"/>
  <c r="K2166" i="3"/>
  <c r="K2167" i="3"/>
  <c r="M2167" i="3" s="1"/>
  <c r="K2168" i="3"/>
  <c r="M2168" i="3" s="1"/>
  <c r="K2169" i="3"/>
  <c r="M2169" i="3" s="1"/>
  <c r="K2170" i="3"/>
  <c r="M2170" i="3" s="1"/>
  <c r="K2171" i="3"/>
  <c r="M2171" i="3" s="1"/>
  <c r="K2172" i="3"/>
  <c r="M2172" i="3" s="1"/>
  <c r="K2173" i="3"/>
  <c r="M2173" i="3" s="1"/>
  <c r="K2174" i="3"/>
  <c r="M2174" i="3" s="1"/>
  <c r="K2175" i="3"/>
  <c r="M2175" i="3" s="1"/>
  <c r="K2176" i="3"/>
  <c r="M2176" i="3" s="1"/>
  <c r="K2177" i="3"/>
  <c r="M2177" i="3" s="1"/>
  <c r="K2178" i="3"/>
  <c r="M2178" i="3" s="1"/>
  <c r="K2179" i="3"/>
  <c r="M2179" i="3" s="1"/>
  <c r="K2180" i="3"/>
  <c r="M2180" i="3" s="1"/>
  <c r="K2181" i="3"/>
  <c r="M2181" i="3" s="1"/>
  <c r="K2182" i="3"/>
  <c r="K2183" i="3"/>
  <c r="M2183" i="3" s="1"/>
  <c r="K2184" i="3"/>
  <c r="M2184" i="3" s="1"/>
  <c r="K2185" i="3"/>
  <c r="M2185" i="3" s="1"/>
  <c r="K2186" i="3"/>
  <c r="M2186" i="3" s="1"/>
  <c r="K2187" i="3"/>
  <c r="M2187" i="3" s="1"/>
  <c r="K2188" i="3"/>
  <c r="M2188" i="3" s="1"/>
  <c r="K2189" i="3"/>
  <c r="M2189" i="3" s="1"/>
  <c r="K2190" i="3"/>
  <c r="M2190" i="3" s="1"/>
  <c r="K2191" i="3"/>
  <c r="M2191" i="3" s="1"/>
  <c r="K2192" i="3"/>
  <c r="M2192" i="3" s="1"/>
  <c r="K2193" i="3"/>
  <c r="M2193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" i="3"/>
  <c r="I10" i="4" a="1"/>
  <c r="I10" i="4"/>
  <c r="S2" i="4" a="1"/>
  <c r="S2" i="4" s="1"/>
  <c r="R2" i="4" a="1"/>
  <c r="R2" i="4" s="1"/>
  <c r="Q2" i="4" a="1"/>
  <c r="Q2" i="4" s="1"/>
  <c r="P2" i="4" a="1"/>
  <c r="P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<sst xmlns="http://schemas.openxmlformats.org/spreadsheetml/2006/main" count="13202" uniqueCount="2238">
  <si>
    <t>Transaction ID</t>
  </si>
  <si>
    <t>Date</t>
  </si>
  <si>
    <t>Year</t>
  </si>
  <si>
    <t>Month</t>
  </si>
  <si>
    <t>City</t>
  </si>
  <si>
    <t>Branch</t>
  </si>
  <si>
    <t>Service</t>
  </si>
  <si>
    <t>Emp</t>
  </si>
  <si>
    <t>Customer Type</t>
  </si>
  <si>
    <t>Price</t>
  </si>
  <si>
    <t>Qty</t>
  </si>
  <si>
    <t>Revenue</t>
  </si>
  <si>
    <t>Profit</t>
  </si>
  <si>
    <t>New York</t>
  </si>
  <si>
    <t>Manhattan Central</t>
  </si>
  <si>
    <t>Hair Coloring</t>
  </si>
  <si>
    <t>Johnson</t>
  </si>
  <si>
    <t>New Customer</t>
  </si>
  <si>
    <t>Facial</t>
  </si>
  <si>
    <t>Martinez</t>
  </si>
  <si>
    <t>Chicago</t>
  </si>
  <si>
    <t>Downtown Chicago</t>
  </si>
  <si>
    <t>Hair Cut</t>
  </si>
  <si>
    <t>Clark</t>
  </si>
  <si>
    <t>Shaving</t>
  </si>
  <si>
    <t>Walk-in Customer</t>
  </si>
  <si>
    <t>Head Massage</t>
  </si>
  <si>
    <t>Dallas</t>
  </si>
  <si>
    <t>Plano Branch</t>
  </si>
  <si>
    <t>Lincoln Park</t>
  </si>
  <si>
    <t>Los Angeles</t>
  </si>
  <si>
    <t>Santa Monica</t>
  </si>
  <si>
    <t>Regular Customer</t>
  </si>
  <si>
    <t>Brooklyn Heights</t>
  </si>
  <si>
    <t>Beard Trim</t>
  </si>
  <si>
    <t>Harris</t>
  </si>
  <si>
    <t>Pasadena</t>
  </si>
  <si>
    <t>Walker</t>
  </si>
  <si>
    <t>Scott</t>
  </si>
  <si>
    <t>River North</t>
  </si>
  <si>
    <t>Uptown</t>
  </si>
  <si>
    <t>Rodriguez</t>
  </si>
  <si>
    <t>Williams</t>
  </si>
  <si>
    <t>Anderson</t>
  </si>
  <si>
    <t>BS-001</t>
  </si>
  <si>
    <t>BS-002</t>
  </si>
  <si>
    <t>BS-003</t>
  </si>
  <si>
    <t>BS-004</t>
  </si>
  <si>
    <t>BS-005</t>
  </si>
  <si>
    <t>BS-006</t>
  </si>
  <si>
    <t>BS-007</t>
  </si>
  <si>
    <t>BS-008</t>
  </si>
  <si>
    <t>BS-009</t>
  </si>
  <si>
    <t>BS-010</t>
  </si>
  <si>
    <t>BS-011</t>
  </si>
  <si>
    <t>BS-012</t>
  </si>
  <si>
    <t>BS-013</t>
  </si>
  <si>
    <t>BS-014</t>
  </si>
  <si>
    <t>BS-015</t>
  </si>
  <si>
    <t>BS-016</t>
  </si>
  <si>
    <t>BS-017</t>
  </si>
  <si>
    <t>BS-018</t>
  </si>
  <si>
    <t>BS-019</t>
  </si>
  <si>
    <t>BS-020</t>
  </si>
  <si>
    <t>BS-021</t>
  </si>
  <si>
    <t>BS-022</t>
  </si>
  <si>
    <t>BS-023</t>
  </si>
  <si>
    <t>BS-024</t>
  </si>
  <si>
    <t>BS-025</t>
  </si>
  <si>
    <t>BS-026</t>
  </si>
  <si>
    <t>BS-027</t>
  </si>
  <si>
    <t>BS-028</t>
  </si>
  <si>
    <t>BS-029</t>
  </si>
  <si>
    <t>BS-030</t>
  </si>
  <si>
    <t>BS-031</t>
  </si>
  <si>
    <t>BS-032</t>
  </si>
  <si>
    <t>BS-033</t>
  </si>
  <si>
    <t>BS-034</t>
  </si>
  <si>
    <t>BS-035</t>
  </si>
  <si>
    <t>BS-036</t>
  </si>
  <si>
    <t>BS-037</t>
  </si>
  <si>
    <t>BS-038</t>
  </si>
  <si>
    <t>BS-039</t>
  </si>
  <si>
    <t>BS-040</t>
  </si>
  <si>
    <t>BS-041</t>
  </si>
  <si>
    <t>BS-042</t>
  </si>
  <si>
    <t>BS-043</t>
  </si>
  <si>
    <t>BS-044</t>
  </si>
  <si>
    <t>BS-045</t>
  </si>
  <si>
    <t>BS-046</t>
  </si>
  <si>
    <t>BS-047</t>
  </si>
  <si>
    <t>BS-048</t>
  </si>
  <si>
    <t>BS-049</t>
  </si>
  <si>
    <t>BS-050</t>
  </si>
  <si>
    <t>BS-051</t>
  </si>
  <si>
    <t>BS-052</t>
  </si>
  <si>
    <t>BS-053</t>
  </si>
  <si>
    <t>BS-054</t>
  </si>
  <si>
    <t>BS-055</t>
  </si>
  <si>
    <t>BS-056</t>
  </si>
  <si>
    <t>BS-057</t>
  </si>
  <si>
    <t>BS-058</t>
  </si>
  <si>
    <t>BS-059</t>
  </si>
  <si>
    <t>BS-060</t>
  </si>
  <si>
    <t>BS-061</t>
  </si>
  <si>
    <t>BS-062</t>
  </si>
  <si>
    <t>BS-063</t>
  </si>
  <si>
    <t>BS-064</t>
  </si>
  <si>
    <t>BS-065</t>
  </si>
  <si>
    <t>BS-066</t>
  </si>
  <si>
    <t>BS-067</t>
  </si>
  <si>
    <t>BS-068</t>
  </si>
  <si>
    <t>BS-069</t>
  </si>
  <si>
    <t>BS-070</t>
  </si>
  <si>
    <t>BS-071</t>
  </si>
  <si>
    <t>BS-072</t>
  </si>
  <si>
    <t>BS-073</t>
  </si>
  <si>
    <t>BS-074</t>
  </si>
  <si>
    <t>BS-075</t>
  </si>
  <si>
    <t>BS-076</t>
  </si>
  <si>
    <t>BS-077</t>
  </si>
  <si>
    <t>BS-078</t>
  </si>
  <si>
    <t>BS-079</t>
  </si>
  <si>
    <t>BS-080</t>
  </si>
  <si>
    <t>BS-081</t>
  </si>
  <si>
    <t>BS-082</t>
  </si>
  <si>
    <t>BS-083</t>
  </si>
  <si>
    <t>BS-084</t>
  </si>
  <si>
    <t>BS-085</t>
  </si>
  <si>
    <t>BS-086</t>
  </si>
  <si>
    <t>BS-087</t>
  </si>
  <si>
    <t>BS-088</t>
  </si>
  <si>
    <t>BS-089</t>
  </si>
  <si>
    <t>BS-090</t>
  </si>
  <si>
    <t>BS-091</t>
  </si>
  <si>
    <t>BS-092</t>
  </si>
  <si>
    <t>BS-093</t>
  </si>
  <si>
    <t>BS-094</t>
  </si>
  <si>
    <t>BS-095</t>
  </si>
  <si>
    <t>BS-096</t>
  </si>
  <si>
    <t>BS-097</t>
  </si>
  <si>
    <t>BS-098</t>
  </si>
  <si>
    <t>BS-099</t>
  </si>
  <si>
    <t>BS-100</t>
  </si>
  <si>
    <t>BS-101</t>
  </si>
  <si>
    <t>BS-102</t>
  </si>
  <si>
    <t>BS-103</t>
  </si>
  <si>
    <t>BS-104</t>
  </si>
  <si>
    <t>BS-105</t>
  </si>
  <si>
    <t>BS-106</t>
  </si>
  <si>
    <t>BS-107</t>
  </si>
  <si>
    <t>BS-108</t>
  </si>
  <si>
    <t>BS-109</t>
  </si>
  <si>
    <t>BS-110</t>
  </si>
  <si>
    <t>BS-111</t>
  </si>
  <si>
    <t>BS-112</t>
  </si>
  <si>
    <t>BS-113</t>
  </si>
  <si>
    <t>BS-114</t>
  </si>
  <si>
    <t>BS-115</t>
  </si>
  <si>
    <t>BS-116</t>
  </si>
  <si>
    <t>BS-117</t>
  </si>
  <si>
    <t>BS-118</t>
  </si>
  <si>
    <t>BS-119</t>
  </si>
  <si>
    <t>BS-120</t>
  </si>
  <si>
    <t>BS-121</t>
  </si>
  <si>
    <t>BS-122</t>
  </si>
  <si>
    <t>BS-123</t>
  </si>
  <si>
    <t>BS-124</t>
  </si>
  <si>
    <t>BS-125</t>
  </si>
  <si>
    <t>BS-126</t>
  </si>
  <si>
    <t>BS-127</t>
  </si>
  <si>
    <t>BS-128</t>
  </si>
  <si>
    <t>BS-129</t>
  </si>
  <si>
    <t>BS-130</t>
  </si>
  <si>
    <t>BS-131</t>
  </si>
  <si>
    <t>BS-132</t>
  </si>
  <si>
    <t>BS-133</t>
  </si>
  <si>
    <t>BS-134</t>
  </si>
  <si>
    <t>BS-135</t>
  </si>
  <si>
    <t>BS-136</t>
  </si>
  <si>
    <t>BS-137</t>
  </si>
  <si>
    <t>BS-138</t>
  </si>
  <si>
    <t>BS-139</t>
  </si>
  <si>
    <t>BS-140</t>
  </si>
  <si>
    <t>BS-141</t>
  </si>
  <si>
    <t>BS-142</t>
  </si>
  <si>
    <t>BS-143</t>
  </si>
  <si>
    <t>BS-144</t>
  </si>
  <si>
    <t>BS-145</t>
  </si>
  <si>
    <t>BS-146</t>
  </si>
  <si>
    <t>BS-147</t>
  </si>
  <si>
    <t>BS-148</t>
  </si>
  <si>
    <t>BS-149</t>
  </si>
  <si>
    <t>BS-150</t>
  </si>
  <si>
    <t>BS-151</t>
  </si>
  <si>
    <t>BS-152</t>
  </si>
  <si>
    <t>BS-153</t>
  </si>
  <si>
    <t>BS-154</t>
  </si>
  <si>
    <t>BS-155</t>
  </si>
  <si>
    <t>BS-156</t>
  </si>
  <si>
    <t>BS-157</t>
  </si>
  <si>
    <t>BS-158</t>
  </si>
  <si>
    <t>BS-159</t>
  </si>
  <si>
    <t>BS-160</t>
  </si>
  <si>
    <t>BS-161</t>
  </si>
  <si>
    <t>BS-162</t>
  </si>
  <si>
    <t>BS-163</t>
  </si>
  <si>
    <t>BS-164</t>
  </si>
  <si>
    <t>BS-165</t>
  </si>
  <si>
    <t>BS-166</t>
  </si>
  <si>
    <t>BS-167</t>
  </si>
  <si>
    <t>BS-168</t>
  </si>
  <si>
    <t>BS-169</t>
  </si>
  <si>
    <t>BS-170</t>
  </si>
  <si>
    <t>BS-171</t>
  </si>
  <si>
    <t>BS-172</t>
  </si>
  <si>
    <t>BS-173</t>
  </si>
  <si>
    <t>BS-174</t>
  </si>
  <si>
    <t>BS-175</t>
  </si>
  <si>
    <t>BS-176</t>
  </si>
  <si>
    <t>BS-177</t>
  </si>
  <si>
    <t>BS-178</t>
  </si>
  <si>
    <t>BS-179</t>
  </si>
  <si>
    <t>BS-180</t>
  </si>
  <si>
    <t>BS-181</t>
  </si>
  <si>
    <t>BS-182</t>
  </si>
  <si>
    <t>BS-183</t>
  </si>
  <si>
    <t>BS-184</t>
  </si>
  <si>
    <t>BS-185</t>
  </si>
  <si>
    <t>BS-186</t>
  </si>
  <si>
    <t>BS-187</t>
  </si>
  <si>
    <t>BS-188</t>
  </si>
  <si>
    <t>BS-189</t>
  </si>
  <si>
    <t>BS-190</t>
  </si>
  <si>
    <t>BS-191</t>
  </si>
  <si>
    <t>BS-192</t>
  </si>
  <si>
    <t>BS-193</t>
  </si>
  <si>
    <t>BS-194</t>
  </si>
  <si>
    <t>BS-195</t>
  </si>
  <si>
    <t>BS-196</t>
  </si>
  <si>
    <t>BS-197</t>
  </si>
  <si>
    <t>BS-198</t>
  </si>
  <si>
    <t>BS-199</t>
  </si>
  <si>
    <t>BS-200</t>
  </si>
  <si>
    <t>BS-201</t>
  </si>
  <si>
    <t>BS-202</t>
  </si>
  <si>
    <t>BS-203</t>
  </si>
  <si>
    <t>BS-204</t>
  </si>
  <si>
    <t>BS-205</t>
  </si>
  <si>
    <t>BS-206</t>
  </si>
  <si>
    <t>BS-207</t>
  </si>
  <si>
    <t>BS-208</t>
  </si>
  <si>
    <t>BS-209</t>
  </si>
  <si>
    <t>BS-210</t>
  </si>
  <si>
    <t>BS-211</t>
  </si>
  <si>
    <t>BS-212</t>
  </si>
  <si>
    <t>BS-213</t>
  </si>
  <si>
    <t>BS-214</t>
  </si>
  <si>
    <t>BS-215</t>
  </si>
  <si>
    <t>BS-216</t>
  </si>
  <si>
    <t>BS-217</t>
  </si>
  <si>
    <t>BS-218</t>
  </si>
  <si>
    <t>BS-219</t>
  </si>
  <si>
    <t>BS-220</t>
  </si>
  <si>
    <t>BS-221</t>
  </si>
  <si>
    <t>BS-222</t>
  </si>
  <si>
    <t>BS-223</t>
  </si>
  <si>
    <t>BS-224</t>
  </si>
  <si>
    <t>BS-225</t>
  </si>
  <si>
    <t>BS-226</t>
  </si>
  <si>
    <t>BS-227</t>
  </si>
  <si>
    <t>BS-228</t>
  </si>
  <si>
    <t>BS-229</t>
  </si>
  <si>
    <t>BS-230</t>
  </si>
  <si>
    <t>BS-231</t>
  </si>
  <si>
    <t>BS-232</t>
  </si>
  <si>
    <t>BS-233</t>
  </si>
  <si>
    <t>BS-234</t>
  </si>
  <si>
    <t>BS-235</t>
  </si>
  <si>
    <t>BS-236</t>
  </si>
  <si>
    <t>BS-237</t>
  </si>
  <si>
    <t>BS-238</t>
  </si>
  <si>
    <t>BS-239</t>
  </si>
  <si>
    <t>BS-240</t>
  </si>
  <si>
    <t>BS-241</t>
  </si>
  <si>
    <t>BS-242</t>
  </si>
  <si>
    <t>BS-243</t>
  </si>
  <si>
    <t>BS-244</t>
  </si>
  <si>
    <t>BS-245</t>
  </si>
  <si>
    <t>BS-246</t>
  </si>
  <si>
    <t>BS-247</t>
  </si>
  <si>
    <t>BS-248</t>
  </si>
  <si>
    <t>BS-249</t>
  </si>
  <si>
    <t>BS-250</t>
  </si>
  <si>
    <t>BS-251</t>
  </si>
  <si>
    <t>BS-252</t>
  </si>
  <si>
    <t>BS-253</t>
  </si>
  <si>
    <t>BS-254</t>
  </si>
  <si>
    <t>BS-255</t>
  </si>
  <si>
    <t>BS-256</t>
  </si>
  <si>
    <t>BS-257</t>
  </si>
  <si>
    <t>BS-258</t>
  </si>
  <si>
    <t>BS-259</t>
  </si>
  <si>
    <t>BS-260</t>
  </si>
  <si>
    <t>BS-261</t>
  </si>
  <si>
    <t>BS-262</t>
  </si>
  <si>
    <t>BS-263</t>
  </si>
  <si>
    <t>BS-264</t>
  </si>
  <si>
    <t>BS-265</t>
  </si>
  <si>
    <t>BS-266</t>
  </si>
  <si>
    <t>BS-267</t>
  </si>
  <si>
    <t>BS-268</t>
  </si>
  <si>
    <t>BS-269</t>
  </si>
  <si>
    <t>BS-270</t>
  </si>
  <si>
    <t>BS-271</t>
  </si>
  <si>
    <t>BS-272</t>
  </si>
  <si>
    <t>BS-273</t>
  </si>
  <si>
    <t>BS-274</t>
  </si>
  <si>
    <t>BS-275</t>
  </si>
  <si>
    <t>BS-276</t>
  </si>
  <si>
    <t>BS-277</t>
  </si>
  <si>
    <t>BS-278</t>
  </si>
  <si>
    <t>BS-279</t>
  </si>
  <si>
    <t>BS-280</t>
  </si>
  <si>
    <t>BS-281</t>
  </si>
  <si>
    <t>BS-282</t>
  </si>
  <si>
    <t>BS-283</t>
  </si>
  <si>
    <t>BS-284</t>
  </si>
  <si>
    <t>BS-285</t>
  </si>
  <si>
    <t>BS-286</t>
  </si>
  <si>
    <t>BS-287</t>
  </si>
  <si>
    <t>BS-288</t>
  </si>
  <si>
    <t>BS-289</t>
  </si>
  <si>
    <t>BS-290</t>
  </si>
  <si>
    <t>BS-291</t>
  </si>
  <si>
    <t>BS-292</t>
  </si>
  <si>
    <t>BS-293</t>
  </si>
  <si>
    <t>BS-294</t>
  </si>
  <si>
    <t>BS-295</t>
  </si>
  <si>
    <t>BS-296</t>
  </si>
  <si>
    <t>BS-297</t>
  </si>
  <si>
    <t>BS-298</t>
  </si>
  <si>
    <t>BS-299</t>
  </si>
  <si>
    <t>BS-300</t>
  </si>
  <si>
    <t>BS-301</t>
  </si>
  <si>
    <t>BS-302</t>
  </si>
  <si>
    <t>BS-303</t>
  </si>
  <si>
    <t>BS-304</t>
  </si>
  <si>
    <t>BS-305</t>
  </si>
  <si>
    <t>BS-306</t>
  </si>
  <si>
    <t>BS-307</t>
  </si>
  <si>
    <t>BS-308</t>
  </si>
  <si>
    <t>BS-309</t>
  </si>
  <si>
    <t>BS-310</t>
  </si>
  <si>
    <t>BS-311</t>
  </si>
  <si>
    <t>BS-312</t>
  </si>
  <si>
    <t>BS-313</t>
  </si>
  <si>
    <t>BS-314</t>
  </si>
  <si>
    <t>BS-315</t>
  </si>
  <si>
    <t>BS-316</t>
  </si>
  <si>
    <t>BS-317</t>
  </si>
  <si>
    <t>BS-318</t>
  </si>
  <si>
    <t>BS-319</t>
  </si>
  <si>
    <t>BS-320</t>
  </si>
  <si>
    <t>BS-321</t>
  </si>
  <si>
    <t>BS-322</t>
  </si>
  <si>
    <t>BS-323</t>
  </si>
  <si>
    <t>BS-324</t>
  </si>
  <si>
    <t>BS-325</t>
  </si>
  <si>
    <t>BS-326</t>
  </si>
  <si>
    <t>BS-327</t>
  </si>
  <si>
    <t>BS-328</t>
  </si>
  <si>
    <t>BS-329</t>
  </si>
  <si>
    <t>BS-330</t>
  </si>
  <si>
    <t>BS-331</t>
  </si>
  <si>
    <t>BS-332</t>
  </si>
  <si>
    <t>BS-333</t>
  </si>
  <si>
    <t>BS-334</t>
  </si>
  <si>
    <t>BS-335</t>
  </si>
  <si>
    <t>BS-336</t>
  </si>
  <si>
    <t>BS-337</t>
  </si>
  <si>
    <t>BS-338</t>
  </si>
  <si>
    <t>BS-339</t>
  </si>
  <si>
    <t>BS-340</t>
  </si>
  <si>
    <t>BS-341</t>
  </si>
  <si>
    <t>BS-342</t>
  </si>
  <si>
    <t>BS-343</t>
  </si>
  <si>
    <t>BS-344</t>
  </si>
  <si>
    <t>BS-345</t>
  </si>
  <si>
    <t>BS-346</t>
  </si>
  <si>
    <t>BS-347</t>
  </si>
  <si>
    <t>BS-348</t>
  </si>
  <si>
    <t>BS-349</t>
  </si>
  <si>
    <t>BS-350</t>
  </si>
  <si>
    <t>BS-351</t>
  </si>
  <si>
    <t>BS-352</t>
  </si>
  <si>
    <t>BS-353</t>
  </si>
  <si>
    <t>BS-354</t>
  </si>
  <si>
    <t>BS-355</t>
  </si>
  <si>
    <t>BS-356</t>
  </si>
  <si>
    <t>BS-357</t>
  </si>
  <si>
    <t>BS-358</t>
  </si>
  <si>
    <t>BS-359</t>
  </si>
  <si>
    <t>BS-360</t>
  </si>
  <si>
    <t>BS-361</t>
  </si>
  <si>
    <t>BS-362</t>
  </si>
  <si>
    <t>BS-363</t>
  </si>
  <si>
    <t>BS-364</t>
  </si>
  <si>
    <t>BS-365</t>
  </si>
  <si>
    <t>BS-366</t>
  </si>
  <si>
    <t>BS-367</t>
  </si>
  <si>
    <t>BS-368</t>
  </si>
  <si>
    <t>BS-369</t>
  </si>
  <si>
    <t>BS-370</t>
  </si>
  <si>
    <t>BS-371</t>
  </si>
  <si>
    <t>BS-372</t>
  </si>
  <si>
    <t>BS-373</t>
  </si>
  <si>
    <t>BS-374</t>
  </si>
  <si>
    <t>BS-375</t>
  </si>
  <si>
    <t>BS-376</t>
  </si>
  <si>
    <t>BS-377</t>
  </si>
  <si>
    <t>BS-378</t>
  </si>
  <si>
    <t>BS-379</t>
  </si>
  <si>
    <t>BS-380</t>
  </si>
  <si>
    <t>BS-381</t>
  </si>
  <si>
    <t>BS-382</t>
  </si>
  <si>
    <t>BS-383</t>
  </si>
  <si>
    <t>BS-384</t>
  </si>
  <si>
    <t>BS-385</t>
  </si>
  <si>
    <t>BS-386</t>
  </si>
  <si>
    <t>BS-387</t>
  </si>
  <si>
    <t>BS-388</t>
  </si>
  <si>
    <t>BS-389</t>
  </si>
  <si>
    <t>BS-390</t>
  </si>
  <si>
    <t>BS-391</t>
  </si>
  <si>
    <t>BS-392</t>
  </si>
  <si>
    <t>BS-393</t>
  </si>
  <si>
    <t>BS-394</t>
  </si>
  <si>
    <t>BS-395</t>
  </si>
  <si>
    <t>BS-396</t>
  </si>
  <si>
    <t>BS-397</t>
  </si>
  <si>
    <t>BS-398</t>
  </si>
  <si>
    <t>BS-399</t>
  </si>
  <si>
    <t>BS-400</t>
  </si>
  <si>
    <t>BS-401</t>
  </si>
  <si>
    <t>BS-402</t>
  </si>
  <si>
    <t>BS-403</t>
  </si>
  <si>
    <t>BS-404</t>
  </si>
  <si>
    <t>BS-405</t>
  </si>
  <si>
    <t>BS-406</t>
  </si>
  <si>
    <t>BS-407</t>
  </si>
  <si>
    <t>BS-408</t>
  </si>
  <si>
    <t>BS-409</t>
  </si>
  <si>
    <t>BS-410</t>
  </si>
  <si>
    <t>BS-411</t>
  </si>
  <si>
    <t>BS-412</t>
  </si>
  <si>
    <t>BS-413</t>
  </si>
  <si>
    <t>BS-414</t>
  </si>
  <si>
    <t>BS-415</t>
  </si>
  <si>
    <t>BS-416</t>
  </si>
  <si>
    <t>BS-417</t>
  </si>
  <si>
    <t>BS-418</t>
  </si>
  <si>
    <t>BS-419</t>
  </si>
  <si>
    <t>BS-420</t>
  </si>
  <si>
    <t>BS-421</t>
  </si>
  <si>
    <t>BS-422</t>
  </si>
  <si>
    <t>BS-423</t>
  </si>
  <si>
    <t>BS-424</t>
  </si>
  <si>
    <t>BS-425</t>
  </si>
  <si>
    <t>BS-426</t>
  </si>
  <si>
    <t>BS-427</t>
  </si>
  <si>
    <t>BS-428</t>
  </si>
  <si>
    <t>BS-429</t>
  </si>
  <si>
    <t>BS-430</t>
  </si>
  <si>
    <t>BS-431</t>
  </si>
  <si>
    <t>BS-432</t>
  </si>
  <si>
    <t>BS-433</t>
  </si>
  <si>
    <t>BS-434</t>
  </si>
  <si>
    <t>BS-435</t>
  </si>
  <si>
    <t>BS-436</t>
  </si>
  <si>
    <t>BS-437</t>
  </si>
  <si>
    <t>BS-438</t>
  </si>
  <si>
    <t>BS-439</t>
  </si>
  <si>
    <t>BS-440</t>
  </si>
  <si>
    <t>BS-441</t>
  </si>
  <si>
    <t>BS-442</t>
  </si>
  <si>
    <t>BS-443</t>
  </si>
  <si>
    <t>BS-444</t>
  </si>
  <si>
    <t>BS-445</t>
  </si>
  <si>
    <t>BS-446</t>
  </si>
  <si>
    <t>BS-447</t>
  </si>
  <si>
    <t>BS-448</t>
  </si>
  <si>
    <t>BS-449</t>
  </si>
  <si>
    <t>BS-450</t>
  </si>
  <si>
    <t>BS-451</t>
  </si>
  <si>
    <t>BS-452</t>
  </si>
  <si>
    <t>BS-453</t>
  </si>
  <si>
    <t>BS-454</t>
  </si>
  <si>
    <t>BS-455</t>
  </si>
  <si>
    <t>BS-456</t>
  </si>
  <si>
    <t>BS-457</t>
  </si>
  <si>
    <t>BS-458</t>
  </si>
  <si>
    <t>BS-459</t>
  </si>
  <si>
    <t>BS-460</t>
  </si>
  <si>
    <t>BS-461</t>
  </si>
  <si>
    <t>BS-462</t>
  </si>
  <si>
    <t>BS-463</t>
  </si>
  <si>
    <t>BS-464</t>
  </si>
  <si>
    <t>BS-465</t>
  </si>
  <si>
    <t>BS-466</t>
  </si>
  <si>
    <t>BS-467</t>
  </si>
  <si>
    <t>BS-468</t>
  </si>
  <si>
    <t>BS-469</t>
  </si>
  <si>
    <t>BS-470</t>
  </si>
  <si>
    <t>BS-471</t>
  </si>
  <si>
    <t>BS-472</t>
  </si>
  <si>
    <t>BS-473</t>
  </si>
  <si>
    <t>BS-474</t>
  </si>
  <si>
    <t>BS-475</t>
  </si>
  <si>
    <t>BS-476</t>
  </si>
  <si>
    <t>BS-477</t>
  </si>
  <si>
    <t>BS-478</t>
  </si>
  <si>
    <t>BS-479</t>
  </si>
  <si>
    <t>BS-480</t>
  </si>
  <si>
    <t>BS-481</t>
  </si>
  <si>
    <t>BS-482</t>
  </si>
  <si>
    <t>BS-483</t>
  </si>
  <si>
    <t>BS-484</t>
  </si>
  <si>
    <t>BS-485</t>
  </si>
  <si>
    <t>BS-486</t>
  </si>
  <si>
    <t>BS-487</t>
  </si>
  <si>
    <t>BS-488</t>
  </si>
  <si>
    <t>BS-489</t>
  </si>
  <si>
    <t>BS-490</t>
  </si>
  <si>
    <t>BS-491</t>
  </si>
  <si>
    <t>BS-492</t>
  </si>
  <si>
    <t>BS-493</t>
  </si>
  <si>
    <t>BS-494</t>
  </si>
  <si>
    <t>BS-495</t>
  </si>
  <si>
    <t>BS-496</t>
  </si>
  <si>
    <t>BS-497</t>
  </si>
  <si>
    <t>BS-498</t>
  </si>
  <si>
    <t>BS-499</t>
  </si>
  <si>
    <t>BS-500</t>
  </si>
  <si>
    <t>BS-501</t>
  </si>
  <si>
    <t>BS-502</t>
  </si>
  <si>
    <t>BS-503</t>
  </si>
  <si>
    <t>BS-504</t>
  </si>
  <si>
    <t>BS-505</t>
  </si>
  <si>
    <t>BS-506</t>
  </si>
  <si>
    <t>BS-507</t>
  </si>
  <si>
    <t>BS-508</t>
  </si>
  <si>
    <t>BS-509</t>
  </si>
  <si>
    <t>BS-510</t>
  </si>
  <si>
    <t>BS-511</t>
  </si>
  <si>
    <t>BS-512</t>
  </si>
  <si>
    <t>BS-513</t>
  </si>
  <si>
    <t>BS-514</t>
  </si>
  <si>
    <t>BS-515</t>
  </si>
  <si>
    <t>BS-516</t>
  </si>
  <si>
    <t>BS-517</t>
  </si>
  <si>
    <t>BS-518</t>
  </si>
  <si>
    <t>BS-519</t>
  </si>
  <si>
    <t>BS-520</t>
  </si>
  <si>
    <t>BS-521</t>
  </si>
  <si>
    <t>BS-522</t>
  </si>
  <si>
    <t>BS-523</t>
  </si>
  <si>
    <t>BS-524</t>
  </si>
  <si>
    <t>BS-525</t>
  </si>
  <si>
    <t>BS-526</t>
  </si>
  <si>
    <t>BS-527</t>
  </si>
  <si>
    <t>BS-528</t>
  </si>
  <si>
    <t>BS-529</t>
  </si>
  <si>
    <t>BS-530</t>
  </si>
  <si>
    <t>BS-531</t>
  </si>
  <si>
    <t>BS-532</t>
  </si>
  <si>
    <t>BS-533</t>
  </si>
  <si>
    <t>BS-534</t>
  </si>
  <si>
    <t>BS-535</t>
  </si>
  <si>
    <t>BS-536</t>
  </si>
  <si>
    <t>BS-537</t>
  </si>
  <si>
    <t>BS-538</t>
  </si>
  <si>
    <t>BS-539</t>
  </si>
  <si>
    <t>BS-540</t>
  </si>
  <si>
    <t>BS-541</t>
  </si>
  <si>
    <t>BS-542</t>
  </si>
  <si>
    <t>BS-543</t>
  </si>
  <si>
    <t>BS-544</t>
  </si>
  <si>
    <t>BS-545</t>
  </si>
  <si>
    <t>BS-546</t>
  </si>
  <si>
    <t>BS-547</t>
  </si>
  <si>
    <t>BS-548</t>
  </si>
  <si>
    <t>BS-549</t>
  </si>
  <si>
    <t>BS-550</t>
  </si>
  <si>
    <t>BS-551</t>
  </si>
  <si>
    <t>BS-552</t>
  </si>
  <si>
    <t>BS-553</t>
  </si>
  <si>
    <t>BS-554</t>
  </si>
  <si>
    <t>BS-555</t>
  </si>
  <si>
    <t>BS-556</t>
  </si>
  <si>
    <t>BS-557</t>
  </si>
  <si>
    <t>BS-558</t>
  </si>
  <si>
    <t>BS-559</t>
  </si>
  <si>
    <t>BS-560</t>
  </si>
  <si>
    <t>BS-561</t>
  </si>
  <si>
    <t>BS-562</t>
  </si>
  <si>
    <t>BS-563</t>
  </si>
  <si>
    <t>BS-564</t>
  </si>
  <si>
    <t>BS-565</t>
  </si>
  <si>
    <t>BS-566</t>
  </si>
  <si>
    <t>BS-567</t>
  </si>
  <si>
    <t>BS-568</t>
  </si>
  <si>
    <t>BS-569</t>
  </si>
  <si>
    <t>BS-570</t>
  </si>
  <si>
    <t>BS-571</t>
  </si>
  <si>
    <t>BS-572</t>
  </si>
  <si>
    <t>BS-573</t>
  </si>
  <si>
    <t>BS-574</t>
  </si>
  <si>
    <t>BS-575</t>
  </si>
  <si>
    <t>BS-576</t>
  </si>
  <si>
    <t>BS-577</t>
  </si>
  <si>
    <t>BS-578</t>
  </si>
  <si>
    <t>BS-579</t>
  </si>
  <si>
    <t>BS-580</t>
  </si>
  <si>
    <t>BS-581</t>
  </si>
  <si>
    <t>BS-582</t>
  </si>
  <si>
    <t>BS-583</t>
  </si>
  <si>
    <t>BS-584</t>
  </si>
  <si>
    <t>BS-585</t>
  </si>
  <si>
    <t>BS-586</t>
  </si>
  <si>
    <t>BS-587</t>
  </si>
  <si>
    <t>BS-588</t>
  </si>
  <si>
    <t>BS-589</t>
  </si>
  <si>
    <t>BS-590</t>
  </si>
  <si>
    <t>BS-591</t>
  </si>
  <si>
    <t>BS-592</t>
  </si>
  <si>
    <t>BS-593</t>
  </si>
  <si>
    <t>BS-594</t>
  </si>
  <si>
    <t>BS-595</t>
  </si>
  <si>
    <t>BS-596</t>
  </si>
  <si>
    <t>BS-597</t>
  </si>
  <si>
    <t>BS-598</t>
  </si>
  <si>
    <t>BS-599</t>
  </si>
  <si>
    <t>BS-600</t>
  </si>
  <si>
    <t>BS-601</t>
  </si>
  <si>
    <t>BS-602</t>
  </si>
  <si>
    <t>BS-603</t>
  </si>
  <si>
    <t>BS-604</t>
  </si>
  <si>
    <t>BS-605</t>
  </si>
  <si>
    <t>BS-606</t>
  </si>
  <si>
    <t>BS-607</t>
  </si>
  <si>
    <t>BS-608</t>
  </si>
  <si>
    <t>BS-609</t>
  </si>
  <si>
    <t>BS-610</t>
  </si>
  <si>
    <t>BS-611</t>
  </si>
  <si>
    <t>BS-612</t>
  </si>
  <si>
    <t>BS-613</t>
  </si>
  <si>
    <t>BS-614</t>
  </si>
  <si>
    <t>BS-615</t>
  </si>
  <si>
    <t>BS-616</t>
  </si>
  <si>
    <t>BS-617</t>
  </si>
  <si>
    <t>BS-618</t>
  </si>
  <si>
    <t>BS-619</t>
  </si>
  <si>
    <t>BS-620</t>
  </si>
  <si>
    <t>BS-621</t>
  </si>
  <si>
    <t>BS-622</t>
  </si>
  <si>
    <t>BS-623</t>
  </si>
  <si>
    <t>BS-624</t>
  </si>
  <si>
    <t>BS-625</t>
  </si>
  <si>
    <t>BS-626</t>
  </si>
  <si>
    <t>BS-627</t>
  </si>
  <si>
    <t>BS-628</t>
  </si>
  <si>
    <t>BS-629</t>
  </si>
  <si>
    <t>BS-630</t>
  </si>
  <si>
    <t>BS-631</t>
  </si>
  <si>
    <t>BS-632</t>
  </si>
  <si>
    <t>BS-633</t>
  </si>
  <si>
    <t>BS-634</t>
  </si>
  <si>
    <t>BS-635</t>
  </si>
  <si>
    <t>BS-636</t>
  </si>
  <si>
    <t>BS-637</t>
  </si>
  <si>
    <t>BS-638</t>
  </si>
  <si>
    <t>BS-639</t>
  </si>
  <si>
    <t>BS-640</t>
  </si>
  <si>
    <t>BS-641</t>
  </si>
  <si>
    <t>BS-642</t>
  </si>
  <si>
    <t>BS-643</t>
  </si>
  <si>
    <t>BS-644</t>
  </si>
  <si>
    <t>BS-645</t>
  </si>
  <si>
    <t>BS-646</t>
  </si>
  <si>
    <t>BS-647</t>
  </si>
  <si>
    <t>BS-648</t>
  </si>
  <si>
    <t>BS-649</t>
  </si>
  <si>
    <t>BS-650</t>
  </si>
  <si>
    <t>BS-651</t>
  </si>
  <si>
    <t>BS-652</t>
  </si>
  <si>
    <t>BS-653</t>
  </si>
  <si>
    <t>BS-654</t>
  </si>
  <si>
    <t>BS-655</t>
  </si>
  <si>
    <t>BS-656</t>
  </si>
  <si>
    <t>BS-657</t>
  </si>
  <si>
    <t>BS-658</t>
  </si>
  <si>
    <t>BS-659</t>
  </si>
  <si>
    <t>BS-660</t>
  </si>
  <si>
    <t>BS-661</t>
  </si>
  <si>
    <t>BS-662</t>
  </si>
  <si>
    <t>BS-663</t>
  </si>
  <si>
    <t>BS-664</t>
  </si>
  <si>
    <t>BS-665</t>
  </si>
  <si>
    <t>BS-666</t>
  </si>
  <si>
    <t>BS-667</t>
  </si>
  <si>
    <t>BS-668</t>
  </si>
  <si>
    <t>BS-669</t>
  </si>
  <si>
    <t>BS-670</t>
  </si>
  <si>
    <t>BS-671</t>
  </si>
  <si>
    <t>BS-672</t>
  </si>
  <si>
    <t>BS-673</t>
  </si>
  <si>
    <t>BS-674</t>
  </si>
  <si>
    <t>BS-675</t>
  </si>
  <si>
    <t>BS-676</t>
  </si>
  <si>
    <t>BS-677</t>
  </si>
  <si>
    <t>BS-678</t>
  </si>
  <si>
    <t>BS-679</t>
  </si>
  <si>
    <t>BS-680</t>
  </si>
  <si>
    <t>BS-681</t>
  </si>
  <si>
    <t>BS-682</t>
  </si>
  <si>
    <t>BS-683</t>
  </si>
  <si>
    <t>BS-684</t>
  </si>
  <si>
    <t>BS-685</t>
  </si>
  <si>
    <t>BS-686</t>
  </si>
  <si>
    <t>BS-687</t>
  </si>
  <si>
    <t>BS-688</t>
  </si>
  <si>
    <t>BS-689</t>
  </si>
  <si>
    <t>BS-690</t>
  </si>
  <si>
    <t>BS-691</t>
  </si>
  <si>
    <t>BS-692</t>
  </si>
  <si>
    <t>BS-693</t>
  </si>
  <si>
    <t>BS-694</t>
  </si>
  <si>
    <t>BS-695</t>
  </si>
  <si>
    <t>BS-696</t>
  </si>
  <si>
    <t>BS-697</t>
  </si>
  <si>
    <t>BS-698</t>
  </si>
  <si>
    <t>BS-699</t>
  </si>
  <si>
    <t>BS-700</t>
  </si>
  <si>
    <t>BS-701</t>
  </si>
  <si>
    <t>BS-702</t>
  </si>
  <si>
    <t>BS-703</t>
  </si>
  <si>
    <t>BS-704</t>
  </si>
  <si>
    <t>BS-705</t>
  </si>
  <si>
    <t>BS-706</t>
  </si>
  <si>
    <t>BS-707</t>
  </si>
  <si>
    <t>BS-708</t>
  </si>
  <si>
    <t>BS-709</t>
  </si>
  <si>
    <t>BS-710</t>
  </si>
  <si>
    <t>BS-711</t>
  </si>
  <si>
    <t>BS-712</t>
  </si>
  <si>
    <t>BS-713</t>
  </si>
  <si>
    <t>BS-714</t>
  </si>
  <si>
    <t>BS-715</t>
  </si>
  <si>
    <t>BS-716</t>
  </si>
  <si>
    <t>BS-717</t>
  </si>
  <si>
    <t>BS-718</t>
  </si>
  <si>
    <t>BS-719</t>
  </si>
  <si>
    <t>BS-720</t>
  </si>
  <si>
    <t>BS-721</t>
  </si>
  <si>
    <t>BS-722</t>
  </si>
  <si>
    <t>BS-723</t>
  </si>
  <si>
    <t>BS-724</t>
  </si>
  <si>
    <t>BS-725</t>
  </si>
  <si>
    <t>BS-726</t>
  </si>
  <si>
    <t>BS-727</t>
  </si>
  <si>
    <t>BS-728</t>
  </si>
  <si>
    <t>BS-729</t>
  </si>
  <si>
    <t>BS-730</t>
  </si>
  <si>
    <t>BS-731</t>
  </si>
  <si>
    <t>BS-732</t>
  </si>
  <si>
    <t>BS-733</t>
  </si>
  <si>
    <t>BS-734</t>
  </si>
  <si>
    <t>BS-735</t>
  </si>
  <si>
    <t>BS-736</t>
  </si>
  <si>
    <t>BS-737</t>
  </si>
  <si>
    <t>BS-738</t>
  </si>
  <si>
    <t>BS-739</t>
  </si>
  <si>
    <t>BS-740</t>
  </si>
  <si>
    <t>BS-741</t>
  </si>
  <si>
    <t>BS-742</t>
  </si>
  <si>
    <t>BS-743</t>
  </si>
  <si>
    <t>BS-744</t>
  </si>
  <si>
    <t>BS-745</t>
  </si>
  <si>
    <t>BS-746</t>
  </si>
  <si>
    <t>BS-747</t>
  </si>
  <si>
    <t>BS-748</t>
  </si>
  <si>
    <t>BS-749</t>
  </si>
  <si>
    <t>BS-750</t>
  </si>
  <si>
    <t>BS-751</t>
  </si>
  <si>
    <t>BS-752</t>
  </si>
  <si>
    <t>BS-753</t>
  </si>
  <si>
    <t>BS-754</t>
  </si>
  <si>
    <t>BS-755</t>
  </si>
  <si>
    <t>BS-756</t>
  </si>
  <si>
    <t>BS-757</t>
  </si>
  <si>
    <t>BS-758</t>
  </si>
  <si>
    <t>BS-759</t>
  </si>
  <si>
    <t>BS-760</t>
  </si>
  <si>
    <t>BS-761</t>
  </si>
  <si>
    <t>BS-762</t>
  </si>
  <si>
    <t>BS-763</t>
  </si>
  <si>
    <t>BS-764</t>
  </si>
  <si>
    <t>BS-765</t>
  </si>
  <si>
    <t>BS-766</t>
  </si>
  <si>
    <t>BS-767</t>
  </si>
  <si>
    <t>BS-768</t>
  </si>
  <si>
    <t>BS-769</t>
  </si>
  <si>
    <t>BS-770</t>
  </si>
  <si>
    <t>BS-771</t>
  </si>
  <si>
    <t>BS-772</t>
  </si>
  <si>
    <t>BS-773</t>
  </si>
  <si>
    <t>BS-774</t>
  </si>
  <si>
    <t>BS-775</t>
  </si>
  <si>
    <t>BS-776</t>
  </si>
  <si>
    <t>BS-777</t>
  </si>
  <si>
    <t>BS-778</t>
  </si>
  <si>
    <t>BS-779</t>
  </si>
  <si>
    <t>BS-780</t>
  </si>
  <si>
    <t>BS-781</t>
  </si>
  <si>
    <t>BS-782</t>
  </si>
  <si>
    <t>BS-783</t>
  </si>
  <si>
    <t>BS-784</t>
  </si>
  <si>
    <t>BS-785</t>
  </si>
  <si>
    <t>BS-786</t>
  </si>
  <si>
    <t>BS-787</t>
  </si>
  <si>
    <t>BS-788</t>
  </si>
  <si>
    <t>BS-789</t>
  </si>
  <si>
    <t>BS-790</t>
  </si>
  <si>
    <t>BS-791</t>
  </si>
  <si>
    <t>BS-792</t>
  </si>
  <si>
    <t>BS-793</t>
  </si>
  <si>
    <t>BS-794</t>
  </si>
  <si>
    <t>BS-795</t>
  </si>
  <si>
    <t>BS-796</t>
  </si>
  <si>
    <t>BS-797</t>
  </si>
  <si>
    <t>BS-798</t>
  </si>
  <si>
    <t>BS-799</t>
  </si>
  <si>
    <t>BS-800</t>
  </si>
  <si>
    <t>BS-801</t>
  </si>
  <si>
    <t>BS-802</t>
  </si>
  <si>
    <t>BS-803</t>
  </si>
  <si>
    <t>BS-804</t>
  </si>
  <si>
    <t>BS-805</t>
  </si>
  <si>
    <t>BS-806</t>
  </si>
  <si>
    <t>BS-807</t>
  </si>
  <si>
    <t>BS-808</t>
  </si>
  <si>
    <t>BS-809</t>
  </si>
  <si>
    <t>BS-810</t>
  </si>
  <si>
    <t>BS-811</t>
  </si>
  <si>
    <t>BS-812</t>
  </si>
  <si>
    <t>BS-813</t>
  </si>
  <si>
    <t>BS-814</t>
  </si>
  <si>
    <t>BS-815</t>
  </si>
  <si>
    <t>BS-816</t>
  </si>
  <si>
    <t>BS-817</t>
  </si>
  <si>
    <t>BS-818</t>
  </si>
  <si>
    <t>BS-819</t>
  </si>
  <si>
    <t>BS-820</t>
  </si>
  <si>
    <t>BS-821</t>
  </si>
  <si>
    <t>BS-822</t>
  </si>
  <si>
    <t>BS-823</t>
  </si>
  <si>
    <t>BS-824</t>
  </si>
  <si>
    <t>BS-825</t>
  </si>
  <si>
    <t>BS-826</t>
  </si>
  <si>
    <t>BS-827</t>
  </si>
  <si>
    <t>BS-828</t>
  </si>
  <si>
    <t>BS-829</t>
  </si>
  <si>
    <t>BS-830</t>
  </si>
  <si>
    <t>BS-831</t>
  </si>
  <si>
    <t>BS-832</t>
  </si>
  <si>
    <t>BS-833</t>
  </si>
  <si>
    <t>BS-834</t>
  </si>
  <si>
    <t>BS-835</t>
  </si>
  <si>
    <t>BS-836</t>
  </si>
  <si>
    <t>BS-837</t>
  </si>
  <si>
    <t>BS-838</t>
  </si>
  <si>
    <t>BS-839</t>
  </si>
  <si>
    <t>BS-840</t>
  </si>
  <si>
    <t>BS-841</t>
  </si>
  <si>
    <t>BS-842</t>
  </si>
  <si>
    <t>BS-843</t>
  </si>
  <si>
    <t>BS-844</t>
  </si>
  <si>
    <t>BS-845</t>
  </si>
  <si>
    <t>BS-846</t>
  </si>
  <si>
    <t>BS-847</t>
  </si>
  <si>
    <t>BS-848</t>
  </si>
  <si>
    <t>BS-849</t>
  </si>
  <si>
    <t>BS-850</t>
  </si>
  <si>
    <t>BS-851</t>
  </si>
  <si>
    <t>BS-852</t>
  </si>
  <si>
    <t>BS-853</t>
  </si>
  <si>
    <t>BS-854</t>
  </si>
  <si>
    <t>BS-855</t>
  </si>
  <si>
    <t>BS-856</t>
  </si>
  <si>
    <t>BS-857</t>
  </si>
  <si>
    <t>BS-858</t>
  </si>
  <si>
    <t>BS-859</t>
  </si>
  <si>
    <t>BS-860</t>
  </si>
  <si>
    <t>BS-861</t>
  </si>
  <si>
    <t>BS-862</t>
  </si>
  <si>
    <t>BS-863</t>
  </si>
  <si>
    <t>BS-864</t>
  </si>
  <si>
    <t>BS-865</t>
  </si>
  <si>
    <t>BS-866</t>
  </si>
  <si>
    <t>BS-867</t>
  </si>
  <si>
    <t>BS-868</t>
  </si>
  <si>
    <t>BS-869</t>
  </si>
  <si>
    <t>BS-870</t>
  </si>
  <si>
    <t>BS-871</t>
  </si>
  <si>
    <t>BS-872</t>
  </si>
  <si>
    <t>BS-873</t>
  </si>
  <si>
    <t>BS-874</t>
  </si>
  <si>
    <t>BS-875</t>
  </si>
  <si>
    <t>BS-876</t>
  </si>
  <si>
    <t>BS-877</t>
  </si>
  <si>
    <t>BS-878</t>
  </si>
  <si>
    <t>BS-879</t>
  </si>
  <si>
    <t>BS-880</t>
  </si>
  <si>
    <t>BS-881</t>
  </si>
  <si>
    <t>BS-882</t>
  </si>
  <si>
    <t>BS-883</t>
  </si>
  <si>
    <t>BS-884</t>
  </si>
  <si>
    <t>BS-885</t>
  </si>
  <si>
    <t>BS-886</t>
  </si>
  <si>
    <t>BS-887</t>
  </si>
  <si>
    <t>BS-888</t>
  </si>
  <si>
    <t>BS-889</t>
  </si>
  <si>
    <t>BS-890</t>
  </si>
  <si>
    <t>BS-891</t>
  </si>
  <si>
    <t>BS-892</t>
  </si>
  <si>
    <t>BS-893</t>
  </si>
  <si>
    <t>BS-894</t>
  </si>
  <si>
    <t>BS-895</t>
  </si>
  <si>
    <t>BS-896</t>
  </si>
  <si>
    <t>BS-897</t>
  </si>
  <si>
    <t>BS-898</t>
  </si>
  <si>
    <t>BS-899</t>
  </si>
  <si>
    <t>BS-900</t>
  </si>
  <si>
    <t>BS-901</t>
  </si>
  <si>
    <t>BS-902</t>
  </si>
  <si>
    <t>BS-903</t>
  </si>
  <si>
    <t>BS-904</t>
  </si>
  <si>
    <t>BS-905</t>
  </si>
  <si>
    <t>BS-906</t>
  </si>
  <si>
    <t>BS-907</t>
  </si>
  <si>
    <t>BS-908</t>
  </si>
  <si>
    <t>BS-909</t>
  </si>
  <si>
    <t>BS-910</t>
  </si>
  <si>
    <t>BS-911</t>
  </si>
  <si>
    <t>BS-912</t>
  </si>
  <si>
    <t>BS-913</t>
  </si>
  <si>
    <t>BS-914</t>
  </si>
  <si>
    <t>BS-915</t>
  </si>
  <si>
    <t>BS-916</t>
  </si>
  <si>
    <t>BS-917</t>
  </si>
  <si>
    <t>BS-918</t>
  </si>
  <si>
    <t>BS-919</t>
  </si>
  <si>
    <t>BS-920</t>
  </si>
  <si>
    <t>BS-921</t>
  </si>
  <si>
    <t>BS-922</t>
  </si>
  <si>
    <t>BS-923</t>
  </si>
  <si>
    <t>BS-924</t>
  </si>
  <si>
    <t>BS-925</t>
  </si>
  <si>
    <t>BS-926</t>
  </si>
  <si>
    <t>BS-927</t>
  </si>
  <si>
    <t>BS-928</t>
  </si>
  <si>
    <t>BS-929</t>
  </si>
  <si>
    <t>BS-930</t>
  </si>
  <si>
    <t>BS-931</t>
  </si>
  <si>
    <t>BS-932</t>
  </si>
  <si>
    <t>BS-933</t>
  </si>
  <si>
    <t>BS-934</t>
  </si>
  <si>
    <t>BS-935</t>
  </si>
  <si>
    <t>BS-936</t>
  </si>
  <si>
    <t>BS-937</t>
  </si>
  <si>
    <t>BS-938</t>
  </si>
  <si>
    <t>BS-939</t>
  </si>
  <si>
    <t>BS-940</t>
  </si>
  <si>
    <t>BS-941</t>
  </si>
  <si>
    <t>BS-942</t>
  </si>
  <si>
    <t>BS-943</t>
  </si>
  <si>
    <t>BS-944</t>
  </si>
  <si>
    <t>BS-945</t>
  </si>
  <si>
    <t>BS-946</t>
  </si>
  <si>
    <t>BS-947</t>
  </si>
  <si>
    <t>BS-948</t>
  </si>
  <si>
    <t>BS-949</t>
  </si>
  <si>
    <t>BS-950</t>
  </si>
  <si>
    <t>BS-951</t>
  </si>
  <si>
    <t>BS-952</t>
  </si>
  <si>
    <t>BS-953</t>
  </si>
  <si>
    <t>BS-954</t>
  </si>
  <si>
    <t>BS-955</t>
  </si>
  <si>
    <t>BS-956</t>
  </si>
  <si>
    <t>BS-957</t>
  </si>
  <si>
    <t>BS-958</t>
  </si>
  <si>
    <t>BS-959</t>
  </si>
  <si>
    <t>BS-960</t>
  </si>
  <si>
    <t>BS-961</t>
  </si>
  <si>
    <t>BS-962</t>
  </si>
  <si>
    <t>BS-963</t>
  </si>
  <si>
    <t>BS-964</t>
  </si>
  <si>
    <t>BS-965</t>
  </si>
  <si>
    <t>BS-966</t>
  </si>
  <si>
    <t>BS-967</t>
  </si>
  <si>
    <t>BS-968</t>
  </si>
  <si>
    <t>BS-969</t>
  </si>
  <si>
    <t>BS-970</t>
  </si>
  <si>
    <t>BS-971</t>
  </si>
  <si>
    <t>BS-972</t>
  </si>
  <si>
    <t>BS-973</t>
  </si>
  <si>
    <t>BS-974</t>
  </si>
  <si>
    <t>BS-975</t>
  </si>
  <si>
    <t>BS-976</t>
  </si>
  <si>
    <t>BS-977</t>
  </si>
  <si>
    <t>BS-978</t>
  </si>
  <si>
    <t>BS-979</t>
  </si>
  <si>
    <t>BS-980</t>
  </si>
  <si>
    <t>BS-981</t>
  </si>
  <si>
    <t>BS-982</t>
  </si>
  <si>
    <t>BS-983</t>
  </si>
  <si>
    <t>BS-984</t>
  </si>
  <si>
    <t>BS-985</t>
  </si>
  <si>
    <t>BS-986</t>
  </si>
  <si>
    <t>BS-987</t>
  </si>
  <si>
    <t>BS-988</t>
  </si>
  <si>
    <t>BS-989</t>
  </si>
  <si>
    <t>BS-990</t>
  </si>
  <si>
    <t>BS-991</t>
  </si>
  <si>
    <t>BS-992</t>
  </si>
  <si>
    <t>BS-993</t>
  </si>
  <si>
    <t>BS-994</t>
  </si>
  <si>
    <t>BS-995</t>
  </si>
  <si>
    <t>BS-996</t>
  </si>
  <si>
    <t>BS-997</t>
  </si>
  <si>
    <t>BS-998</t>
  </si>
  <si>
    <t>BS-999</t>
  </si>
  <si>
    <t>BS-1000</t>
  </si>
  <si>
    <t>BS-1001</t>
  </si>
  <si>
    <t>BS-1002</t>
  </si>
  <si>
    <t>BS-1003</t>
  </si>
  <si>
    <t>BS-1004</t>
  </si>
  <si>
    <t>BS-1005</t>
  </si>
  <si>
    <t>BS-1006</t>
  </si>
  <si>
    <t>BS-1007</t>
  </si>
  <si>
    <t>BS-1008</t>
  </si>
  <si>
    <t>BS-1009</t>
  </si>
  <si>
    <t>BS-1010</t>
  </si>
  <si>
    <t>BS-1011</t>
  </si>
  <si>
    <t>BS-1012</t>
  </si>
  <si>
    <t>BS-1013</t>
  </si>
  <si>
    <t>BS-1014</t>
  </si>
  <si>
    <t>BS-1015</t>
  </si>
  <si>
    <t>BS-1016</t>
  </si>
  <si>
    <t>BS-1017</t>
  </si>
  <si>
    <t>BS-1018</t>
  </si>
  <si>
    <t>BS-1019</t>
  </si>
  <si>
    <t>BS-1020</t>
  </si>
  <si>
    <t>BS-1021</t>
  </si>
  <si>
    <t>BS-1022</t>
  </si>
  <si>
    <t>BS-1023</t>
  </si>
  <si>
    <t>BS-1024</t>
  </si>
  <si>
    <t>BS-1025</t>
  </si>
  <si>
    <t>BS-1026</t>
  </si>
  <si>
    <t>BS-1027</t>
  </si>
  <si>
    <t>BS-1028</t>
  </si>
  <si>
    <t>BS-1029</t>
  </si>
  <si>
    <t>BS-1030</t>
  </si>
  <si>
    <t>BS-1031</t>
  </si>
  <si>
    <t>BS-1032</t>
  </si>
  <si>
    <t>BS-1033</t>
  </si>
  <si>
    <t>BS-1034</t>
  </si>
  <si>
    <t>BS-1035</t>
  </si>
  <si>
    <t>BS-1036</t>
  </si>
  <si>
    <t>BS-1037</t>
  </si>
  <si>
    <t>BS-1038</t>
  </si>
  <si>
    <t>BS-1039</t>
  </si>
  <si>
    <t>BS-1040</t>
  </si>
  <si>
    <t>BS-1041</t>
  </si>
  <si>
    <t>BS-1042</t>
  </si>
  <si>
    <t>BS-1043</t>
  </si>
  <si>
    <t>BS-1044</t>
  </si>
  <si>
    <t>BS-1045</t>
  </si>
  <si>
    <t>BS-1046</t>
  </si>
  <si>
    <t>BS-1047</t>
  </si>
  <si>
    <t>BS-1048</t>
  </si>
  <si>
    <t>BS-1049</t>
  </si>
  <si>
    <t>BS-1050</t>
  </si>
  <si>
    <t>BS-1051</t>
  </si>
  <si>
    <t>BS-1052</t>
  </si>
  <si>
    <t>BS-1053</t>
  </si>
  <si>
    <t>BS-1054</t>
  </si>
  <si>
    <t>BS-1055</t>
  </si>
  <si>
    <t>BS-1056</t>
  </si>
  <si>
    <t>BS-1057</t>
  </si>
  <si>
    <t>BS-1058</t>
  </si>
  <si>
    <t>BS-1059</t>
  </si>
  <si>
    <t>BS-1060</t>
  </si>
  <si>
    <t>BS-1061</t>
  </si>
  <si>
    <t>BS-1062</t>
  </si>
  <si>
    <t>BS-1063</t>
  </si>
  <si>
    <t>BS-1064</t>
  </si>
  <si>
    <t>BS-1065</t>
  </si>
  <si>
    <t>BS-1066</t>
  </si>
  <si>
    <t>BS-1067</t>
  </si>
  <si>
    <t>BS-1068</t>
  </si>
  <si>
    <t>BS-1069</t>
  </si>
  <si>
    <t>BS-1070</t>
  </si>
  <si>
    <t>BS-1071</t>
  </si>
  <si>
    <t>BS-1072</t>
  </si>
  <si>
    <t>BS-1073</t>
  </si>
  <si>
    <t>BS-1074</t>
  </si>
  <si>
    <t>BS-1075</t>
  </si>
  <si>
    <t>BS-1076</t>
  </si>
  <si>
    <t>BS-1077</t>
  </si>
  <si>
    <t>BS-1078</t>
  </si>
  <si>
    <t>BS-1079</t>
  </si>
  <si>
    <t>BS-1080</t>
  </si>
  <si>
    <t>BS-1081</t>
  </si>
  <si>
    <t>BS-1082</t>
  </si>
  <si>
    <t>BS-1083</t>
  </si>
  <si>
    <t>BS-1084</t>
  </si>
  <si>
    <t>BS-1085</t>
  </si>
  <si>
    <t>BS-1086</t>
  </si>
  <si>
    <t>BS-1087</t>
  </si>
  <si>
    <t>BS-1088</t>
  </si>
  <si>
    <t>BS-1089</t>
  </si>
  <si>
    <t>BS-1090</t>
  </si>
  <si>
    <t>BS-1091</t>
  </si>
  <si>
    <t>BS-1092</t>
  </si>
  <si>
    <t>BS-1093</t>
  </si>
  <si>
    <t>BS-1094</t>
  </si>
  <si>
    <t>BS-1095</t>
  </si>
  <si>
    <t>BS-1096</t>
  </si>
  <si>
    <t>BS-1097</t>
  </si>
  <si>
    <t>BS-1098</t>
  </si>
  <si>
    <t>BS-1099</t>
  </si>
  <si>
    <t>BS-1100</t>
  </si>
  <si>
    <t>BS-1101</t>
  </si>
  <si>
    <t>BS-1102</t>
  </si>
  <si>
    <t>BS-1103</t>
  </si>
  <si>
    <t>BS-1104</t>
  </si>
  <si>
    <t>BS-1105</t>
  </si>
  <si>
    <t>BS-1106</t>
  </si>
  <si>
    <t>BS-1107</t>
  </si>
  <si>
    <t>BS-1108</t>
  </si>
  <si>
    <t>BS-1109</t>
  </si>
  <si>
    <t>BS-1110</t>
  </si>
  <si>
    <t>BS-1111</t>
  </si>
  <si>
    <t>BS-1112</t>
  </si>
  <si>
    <t>BS-1113</t>
  </si>
  <si>
    <t>BS-1114</t>
  </si>
  <si>
    <t>BS-1115</t>
  </si>
  <si>
    <t>BS-1116</t>
  </si>
  <si>
    <t>BS-1117</t>
  </si>
  <si>
    <t>BS-1118</t>
  </si>
  <si>
    <t>BS-1119</t>
  </si>
  <si>
    <t>BS-1120</t>
  </si>
  <si>
    <t>BS-1121</t>
  </si>
  <si>
    <t>BS-1122</t>
  </si>
  <si>
    <t>BS-1123</t>
  </si>
  <si>
    <t>BS-1124</t>
  </si>
  <si>
    <t>BS-1125</t>
  </si>
  <si>
    <t>BS-1126</t>
  </si>
  <si>
    <t>BS-1127</t>
  </si>
  <si>
    <t>BS-1128</t>
  </si>
  <si>
    <t>BS-1129</t>
  </si>
  <si>
    <t>BS-1130</t>
  </si>
  <si>
    <t>BS-1131</t>
  </si>
  <si>
    <t>BS-1132</t>
  </si>
  <si>
    <t>BS-1133</t>
  </si>
  <si>
    <t>BS-1134</t>
  </si>
  <si>
    <t>BS-1135</t>
  </si>
  <si>
    <t>BS-1136</t>
  </si>
  <si>
    <t>BS-1137</t>
  </si>
  <si>
    <t>BS-1138</t>
  </si>
  <si>
    <t>BS-1139</t>
  </si>
  <si>
    <t>BS-1140</t>
  </si>
  <si>
    <t>BS-1141</t>
  </si>
  <si>
    <t>BS-1142</t>
  </si>
  <si>
    <t>BS-1143</t>
  </si>
  <si>
    <t>BS-1144</t>
  </si>
  <si>
    <t>BS-1145</t>
  </si>
  <si>
    <t>BS-1146</t>
  </si>
  <si>
    <t>BS-1147</t>
  </si>
  <si>
    <t>BS-1148</t>
  </si>
  <si>
    <t>BS-1149</t>
  </si>
  <si>
    <t>BS-1150</t>
  </si>
  <si>
    <t>BS-1151</t>
  </si>
  <si>
    <t>BS-1152</t>
  </si>
  <si>
    <t>BS-1153</t>
  </si>
  <si>
    <t>BS-1154</t>
  </si>
  <si>
    <t>BS-1155</t>
  </si>
  <si>
    <t>BS-1156</t>
  </si>
  <si>
    <t>BS-1157</t>
  </si>
  <si>
    <t>BS-1158</t>
  </si>
  <si>
    <t>BS-1159</t>
  </si>
  <si>
    <t>BS-1160</t>
  </si>
  <si>
    <t>BS-1161</t>
  </si>
  <si>
    <t>BS-1162</t>
  </si>
  <si>
    <t>BS-1163</t>
  </si>
  <si>
    <t>BS-1164</t>
  </si>
  <si>
    <t>BS-1165</t>
  </si>
  <si>
    <t>BS-1166</t>
  </si>
  <si>
    <t>BS-1167</t>
  </si>
  <si>
    <t>BS-1168</t>
  </si>
  <si>
    <t>BS-1169</t>
  </si>
  <si>
    <t>BS-1170</t>
  </si>
  <si>
    <t>BS-1171</t>
  </si>
  <si>
    <t>BS-1172</t>
  </si>
  <si>
    <t>BS-1173</t>
  </si>
  <si>
    <t>BS-1174</t>
  </si>
  <si>
    <t>BS-1175</t>
  </si>
  <si>
    <t>BS-1176</t>
  </si>
  <si>
    <t>BS-1177</t>
  </si>
  <si>
    <t>BS-1178</t>
  </si>
  <si>
    <t>BS-1179</t>
  </si>
  <si>
    <t>BS-1180</t>
  </si>
  <si>
    <t>BS-1181</t>
  </si>
  <si>
    <t>BS-1182</t>
  </si>
  <si>
    <t>BS-1183</t>
  </si>
  <si>
    <t>BS-1184</t>
  </si>
  <si>
    <t>BS-1185</t>
  </si>
  <si>
    <t>BS-1186</t>
  </si>
  <si>
    <t>BS-1187</t>
  </si>
  <si>
    <t>BS-1188</t>
  </si>
  <si>
    <t>BS-1189</t>
  </si>
  <si>
    <t>BS-1190</t>
  </si>
  <si>
    <t>BS-1191</t>
  </si>
  <si>
    <t>BS-1192</t>
  </si>
  <si>
    <t>BS-1193</t>
  </si>
  <si>
    <t>BS-1194</t>
  </si>
  <si>
    <t>BS-1195</t>
  </si>
  <si>
    <t>BS-1196</t>
  </si>
  <si>
    <t>BS-1197</t>
  </si>
  <si>
    <t>BS-1198</t>
  </si>
  <si>
    <t>BS-1199</t>
  </si>
  <si>
    <t>BS-1200</t>
  </si>
  <si>
    <t>BS-1201</t>
  </si>
  <si>
    <t>BS-1202</t>
  </si>
  <si>
    <t>BS-1203</t>
  </si>
  <si>
    <t>BS-1204</t>
  </si>
  <si>
    <t>BS-1205</t>
  </si>
  <si>
    <t>BS-1206</t>
  </si>
  <si>
    <t>BS-1207</t>
  </si>
  <si>
    <t>BS-1208</t>
  </si>
  <si>
    <t>BS-1209</t>
  </si>
  <si>
    <t>BS-1210</t>
  </si>
  <si>
    <t>BS-1211</t>
  </si>
  <si>
    <t>BS-1212</t>
  </si>
  <si>
    <t>BS-1213</t>
  </si>
  <si>
    <t>BS-1214</t>
  </si>
  <si>
    <t>BS-1215</t>
  </si>
  <si>
    <t>BS-1216</t>
  </si>
  <si>
    <t>BS-1217</t>
  </si>
  <si>
    <t>BS-1218</t>
  </si>
  <si>
    <t>BS-1219</t>
  </si>
  <si>
    <t>BS-1220</t>
  </si>
  <si>
    <t>BS-1221</t>
  </si>
  <si>
    <t>BS-1222</t>
  </si>
  <si>
    <t>BS-1223</t>
  </si>
  <si>
    <t>BS-1224</t>
  </si>
  <si>
    <t>BS-1225</t>
  </si>
  <si>
    <t>BS-1226</t>
  </si>
  <si>
    <t>BS-1227</t>
  </si>
  <si>
    <t>BS-1228</t>
  </si>
  <si>
    <t>BS-1229</t>
  </si>
  <si>
    <t>BS-1230</t>
  </si>
  <si>
    <t>BS-1231</t>
  </si>
  <si>
    <t>BS-1232</t>
  </si>
  <si>
    <t>BS-1233</t>
  </si>
  <si>
    <t>BS-1234</t>
  </si>
  <si>
    <t>BS-1235</t>
  </si>
  <si>
    <t>BS-1236</t>
  </si>
  <si>
    <t>BS-1237</t>
  </si>
  <si>
    <t>BS-1238</t>
  </si>
  <si>
    <t>BS-1239</t>
  </si>
  <si>
    <t>BS-1240</t>
  </si>
  <si>
    <t>BS-1241</t>
  </si>
  <si>
    <t>BS-1242</t>
  </si>
  <si>
    <t>BS-1243</t>
  </si>
  <si>
    <t>BS-1244</t>
  </si>
  <si>
    <t>BS-1245</t>
  </si>
  <si>
    <t>BS-1246</t>
  </si>
  <si>
    <t>BS-1247</t>
  </si>
  <si>
    <t>BS-1248</t>
  </si>
  <si>
    <t>BS-1249</t>
  </si>
  <si>
    <t>BS-1250</t>
  </si>
  <si>
    <t>BS-1251</t>
  </si>
  <si>
    <t>BS-1252</t>
  </si>
  <si>
    <t>BS-1253</t>
  </si>
  <si>
    <t>BS-1254</t>
  </si>
  <si>
    <t>BS-1255</t>
  </si>
  <si>
    <t>BS-1256</t>
  </si>
  <si>
    <t>BS-1257</t>
  </si>
  <si>
    <t>BS-1258</t>
  </si>
  <si>
    <t>BS-1259</t>
  </si>
  <si>
    <t>BS-1260</t>
  </si>
  <si>
    <t>BS-1261</t>
  </si>
  <si>
    <t>BS-1262</t>
  </si>
  <si>
    <t>BS-1263</t>
  </si>
  <si>
    <t>BS-1264</t>
  </si>
  <si>
    <t>BS-1265</t>
  </si>
  <si>
    <t>BS-1266</t>
  </si>
  <si>
    <t>BS-1267</t>
  </si>
  <si>
    <t>BS-1268</t>
  </si>
  <si>
    <t>BS-1269</t>
  </si>
  <si>
    <t>BS-1270</t>
  </si>
  <si>
    <t>BS-1271</t>
  </si>
  <si>
    <t>BS-1272</t>
  </si>
  <si>
    <t>BS-1273</t>
  </si>
  <si>
    <t>BS-1274</t>
  </si>
  <si>
    <t>BS-1275</t>
  </si>
  <si>
    <t>BS-1276</t>
  </si>
  <si>
    <t>BS-1277</t>
  </si>
  <si>
    <t>BS-1278</t>
  </si>
  <si>
    <t>BS-1279</t>
  </si>
  <si>
    <t>BS-1280</t>
  </si>
  <si>
    <t>BS-1281</t>
  </si>
  <si>
    <t>BS-1282</t>
  </si>
  <si>
    <t>BS-1283</t>
  </si>
  <si>
    <t>BS-1284</t>
  </si>
  <si>
    <t>BS-1285</t>
  </si>
  <si>
    <t>BS-1286</t>
  </si>
  <si>
    <t>BS-1287</t>
  </si>
  <si>
    <t>BS-1288</t>
  </si>
  <si>
    <t>BS-1289</t>
  </si>
  <si>
    <t>BS-1290</t>
  </si>
  <si>
    <t>BS-1291</t>
  </si>
  <si>
    <t>BS-1292</t>
  </si>
  <si>
    <t>BS-1293</t>
  </si>
  <si>
    <t>BS-1294</t>
  </si>
  <si>
    <t>BS-1295</t>
  </si>
  <si>
    <t>BS-1296</t>
  </si>
  <si>
    <t>BS-1297</t>
  </si>
  <si>
    <t>BS-1298</t>
  </si>
  <si>
    <t>BS-1299</t>
  </si>
  <si>
    <t>BS-1300</t>
  </si>
  <si>
    <t>BS-1301</t>
  </si>
  <si>
    <t>BS-1302</t>
  </si>
  <si>
    <t>BS-1303</t>
  </si>
  <si>
    <t>BS-1304</t>
  </si>
  <si>
    <t>BS-1305</t>
  </si>
  <si>
    <t>BS-1306</t>
  </si>
  <si>
    <t>BS-1307</t>
  </si>
  <si>
    <t>BS-1308</t>
  </si>
  <si>
    <t>BS-1309</t>
  </si>
  <si>
    <t>BS-1310</t>
  </si>
  <si>
    <t>BS-1311</t>
  </si>
  <si>
    <t>BS-1312</t>
  </si>
  <si>
    <t>BS-1313</t>
  </si>
  <si>
    <t>BS-1314</t>
  </si>
  <si>
    <t>BS-1315</t>
  </si>
  <si>
    <t>BS-1316</t>
  </si>
  <si>
    <t>BS-1317</t>
  </si>
  <si>
    <t>BS-1318</t>
  </si>
  <si>
    <t>BS-1319</t>
  </si>
  <si>
    <t>BS-1320</t>
  </si>
  <si>
    <t>BS-1321</t>
  </si>
  <si>
    <t>BS-1322</t>
  </si>
  <si>
    <t>BS-1323</t>
  </si>
  <si>
    <t>BS-1324</t>
  </si>
  <si>
    <t>BS-1325</t>
  </si>
  <si>
    <t>BS-1326</t>
  </si>
  <si>
    <t>BS-1327</t>
  </si>
  <si>
    <t>BS-1328</t>
  </si>
  <si>
    <t>BS-1329</t>
  </si>
  <si>
    <t>BS-1330</t>
  </si>
  <si>
    <t>BS-1331</t>
  </si>
  <si>
    <t>BS-1332</t>
  </si>
  <si>
    <t>BS-1333</t>
  </si>
  <si>
    <t>BS-1334</t>
  </si>
  <si>
    <t>BS-1335</t>
  </si>
  <si>
    <t>BS-1336</t>
  </si>
  <si>
    <t>BS-1337</t>
  </si>
  <si>
    <t>BS-1338</t>
  </si>
  <si>
    <t>BS-1339</t>
  </si>
  <si>
    <t>BS-1340</t>
  </si>
  <si>
    <t>BS-1341</t>
  </si>
  <si>
    <t>BS-1342</t>
  </si>
  <si>
    <t>BS-1343</t>
  </si>
  <si>
    <t>BS-1344</t>
  </si>
  <si>
    <t>BS-1345</t>
  </si>
  <si>
    <t>BS-1346</t>
  </si>
  <si>
    <t>BS-1347</t>
  </si>
  <si>
    <t>BS-1348</t>
  </si>
  <si>
    <t>BS-1349</t>
  </si>
  <si>
    <t>BS-1350</t>
  </si>
  <si>
    <t>BS-1351</t>
  </si>
  <si>
    <t>BS-1352</t>
  </si>
  <si>
    <t>BS-1353</t>
  </si>
  <si>
    <t>BS-1354</t>
  </si>
  <si>
    <t>BS-1355</t>
  </si>
  <si>
    <t>BS-1356</t>
  </si>
  <si>
    <t>BS-1357</t>
  </si>
  <si>
    <t>BS-1358</t>
  </si>
  <si>
    <t>BS-1359</t>
  </si>
  <si>
    <t>BS-1360</t>
  </si>
  <si>
    <t>BS-1361</t>
  </si>
  <si>
    <t>BS-1362</t>
  </si>
  <si>
    <t>BS-1363</t>
  </si>
  <si>
    <t>BS-1364</t>
  </si>
  <si>
    <t>BS-1365</t>
  </si>
  <si>
    <t>BS-1366</t>
  </si>
  <si>
    <t>BS-1367</t>
  </si>
  <si>
    <t>BS-1368</t>
  </si>
  <si>
    <t>BS-1369</t>
  </si>
  <si>
    <t>BS-1370</t>
  </si>
  <si>
    <t>BS-1371</t>
  </si>
  <si>
    <t>BS-1372</t>
  </si>
  <si>
    <t>BS-1373</t>
  </si>
  <si>
    <t>BS-1374</t>
  </si>
  <si>
    <t>BS-1375</t>
  </si>
  <si>
    <t>BS-1376</t>
  </si>
  <si>
    <t>BS-1377</t>
  </si>
  <si>
    <t>BS-1378</t>
  </si>
  <si>
    <t>BS-1379</t>
  </si>
  <si>
    <t>BS-1380</t>
  </si>
  <si>
    <t>BS-1381</t>
  </si>
  <si>
    <t>BS-1382</t>
  </si>
  <si>
    <t>BS-1383</t>
  </si>
  <si>
    <t>BS-1384</t>
  </si>
  <si>
    <t>BS-1385</t>
  </si>
  <si>
    <t>BS-1386</t>
  </si>
  <si>
    <t>BS-1387</t>
  </si>
  <si>
    <t>BS-1388</t>
  </si>
  <si>
    <t>BS-1389</t>
  </si>
  <si>
    <t>BS-1390</t>
  </si>
  <si>
    <t>BS-1391</t>
  </si>
  <si>
    <t>BS-1392</t>
  </si>
  <si>
    <t>BS-1393</t>
  </si>
  <si>
    <t>BS-1394</t>
  </si>
  <si>
    <t>BS-1395</t>
  </si>
  <si>
    <t>BS-1396</t>
  </si>
  <si>
    <t>BS-1397</t>
  </si>
  <si>
    <t>BS-1398</t>
  </si>
  <si>
    <t>BS-1399</t>
  </si>
  <si>
    <t>BS-1400</t>
  </si>
  <si>
    <t>BS-1401</t>
  </si>
  <si>
    <t>BS-1402</t>
  </si>
  <si>
    <t>BS-1403</t>
  </si>
  <si>
    <t>BS-1404</t>
  </si>
  <si>
    <t>BS-1405</t>
  </si>
  <si>
    <t>BS-1406</t>
  </si>
  <si>
    <t>BS-1407</t>
  </si>
  <si>
    <t>BS-1408</t>
  </si>
  <si>
    <t>BS-1409</t>
  </si>
  <si>
    <t>BS-1410</t>
  </si>
  <si>
    <t>BS-1411</t>
  </si>
  <si>
    <t>BS-1412</t>
  </si>
  <si>
    <t>BS-1413</t>
  </si>
  <si>
    <t>BS-1414</t>
  </si>
  <si>
    <t>BS-1415</t>
  </si>
  <si>
    <t>BS-1416</t>
  </si>
  <si>
    <t>BS-1417</t>
  </si>
  <si>
    <t>BS-1418</t>
  </si>
  <si>
    <t>BS-1419</t>
  </si>
  <si>
    <t>BS-1420</t>
  </si>
  <si>
    <t>BS-1421</t>
  </si>
  <si>
    <t>BS-1422</t>
  </si>
  <si>
    <t>BS-1423</t>
  </si>
  <si>
    <t>BS-1424</t>
  </si>
  <si>
    <t>BS-1425</t>
  </si>
  <si>
    <t>BS-1426</t>
  </si>
  <si>
    <t>BS-1427</t>
  </si>
  <si>
    <t>BS-1428</t>
  </si>
  <si>
    <t>BS-1429</t>
  </si>
  <si>
    <t>BS-1430</t>
  </si>
  <si>
    <t>BS-1431</t>
  </si>
  <si>
    <t>BS-1432</t>
  </si>
  <si>
    <t>BS-1433</t>
  </si>
  <si>
    <t>BS-1434</t>
  </si>
  <si>
    <t>BS-1435</t>
  </si>
  <si>
    <t>BS-1436</t>
  </si>
  <si>
    <t>BS-1437</t>
  </si>
  <si>
    <t>BS-1438</t>
  </si>
  <si>
    <t>BS-1439</t>
  </si>
  <si>
    <t>BS-1440</t>
  </si>
  <si>
    <t>BS-1441</t>
  </si>
  <si>
    <t>BS-1442</t>
  </si>
  <si>
    <t>BS-1443</t>
  </si>
  <si>
    <t>BS-1444</t>
  </si>
  <si>
    <t>BS-1445</t>
  </si>
  <si>
    <t>BS-1446</t>
  </si>
  <si>
    <t>BS-1447</t>
  </si>
  <si>
    <t>BS-1448</t>
  </si>
  <si>
    <t>BS-1449</t>
  </si>
  <si>
    <t>BS-1450</t>
  </si>
  <si>
    <t>BS-1451</t>
  </si>
  <si>
    <t>BS-1452</t>
  </si>
  <si>
    <t>BS-1453</t>
  </si>
  <si>
    <t>BS-1454</t>
  </si>
  <si>
    <t>BS-1455</t>
  </si>
  <si>
    <t>BS-1456</t>
  </si>
  <si>
    <t>BS-1457</t>
  </si>
  <si>
    <t>BS-1458</t>
  </si>
  <si>
    <t>BS-1459</t>
  </si>
  <si>
    <t>BS-1460</t>
  </si>
  <si>
    <t>BS-1461</t>
  </si>
  <si>
    <t>BS-1462</t>
  </si>
  <si>
    <t>BS-1463</t>
  </si>
  <si>
    <t>BS-1464</t>
  </si>
  <si>
    <t>BS-1465</t>
  </si>
  <si>
    <t>BS-1466</t>
  </si>
  <si>
    <t>BS-1467</t>
  </si>
  <si>
    <t>BS-1468</t>
  </si>
  <si>
    <t>BS-1469</t>
  </si>
  <si>
    <t>BS-1470</t>
  </si>
  <si>
    <t>BS-1471</t>
  </si>
  <si>
    <t>BS-1472</t>
  </si>
  <si>
    <t>BS-1473</t>
  </si>
  <si>
    <t>BS-1474</t>
  </si>
  <si>
    <t>BS-1475</t>
  </si>
  <si>
    <t>BS-1476</t>
  </si>
  <si>
    <t>BS-1477</t>
  </si>
  <si>
    <t>BS-1478</t>
  </si>
  <si>
    <t>BS-1479</t>
  </si>
  <si>
    <t>BS-1480</t>
  </si>
  <si>
    <t>BS-1481</t>
  </si>
  <si>
    <t>BS-1482</t>
  </si>
  <si>
    <t>BS-1483</t>
  </si>
  <si>
    <t>BS-1484</t>
  </si>
  <si>
    <t>BS-1485</t>
  </si>
  <si>
    <t>BS-1486</t>
  </si>
  <si>
    <t>BS-1487</t>
  </si>
  <si>
    <t>BS-1488</t>
  </si>
  <si>
    <t>BS-1489</t>
  </si>
  <si>
    <t>BS-1490</t>
  </si>
  <si>
    <t>BS-1491</t>
  </si>
  <si>
    <t>BS-1492</t>
  </si>
  <si>
    <t>BS-1493</t>
  </si>
  <si>
    <t>BS-1494</t>
  </si>
  <si>
    <t>BS-1495</t>
  </si>
  <si>
    <t>BS-1496</t>
  </si>
  <si>
    <t>BS-1497</t>
  </si>
  <si>
    <t>BS-1498</t>
  </si>
  <si>
    <t>BS-1499</t>
  </si>
  <si>
    <t>BS-1500</t>
  </si>
  <si>
    <t>BS-1501</t>
  </si>
  <si>
    <t>BS-1502</t>
  </si>
  <si>
    <t>BS-1503</t>
  </si>
  <si>
    <t>BS-1504</t>
  </si>
  <si>
    <t>BS-1505</t>
  </si>
  <si>
    <t>BS-1506</t>
  </si>
  <si>
    <t>BS-1507</t>
  </si>
  <si>
    <t>BS-1508</t>
  </si>
  <si>
    <t>BS-1509</t>
  </si>
  <si>
    <t>BS-1510</t>
  </si>
  <si>
    <t>BS-1511</t>
  </si>
  <si>
    <t>BS-1512</t>
  </si>
  <si>
    <t>BS-1513</t>
  </si>
  <si>
    <t>BS-1514</t>
  </si>
  <si>
    <t>BS-1515</t>
  </si>
  <si>
    <t>BS-1516</t>
  </si>
  <si>
    <t>BS-1517</t>
  </si>
  <si>
    <t>BS-1518</t>
  </si>
  <si>
    <t>BS-1519</t>
  </si>
  <si>
    <t>BS-1520</t>
  </si>
  <si>
    <t>BS-1521</t>
  </si>
  <si>
    <t>BS-1522</t>
  </si>
  <si>
    <t>BS-1523</t>
  </si>
  <si>
    <t>BS-1524</t>
  </si>
  <si>
    <t>BS-1525</t>
  </si>
  <si>
    <t>BS-1526</t>
  </si>
  <si>
    <t>BS-1527</t>
  </si>
  <si>
    <t>BS-1528</t>
  </si>
  <si>
    <t>BS-1529</t>
  </si>
  <si>
    <t>BS-1530</t>
  </si>
  <si>
    <t>BS-1531</t>
  </si>
  <si>
    <t>BS-1532</t>
  </si>
  <si>
    <t>BS-1533</t>
  </si>
  <si>
    <t>BS-1534</t>
  </si>
  <si>
    <t>BS-1535</t>
  </si>
  <si>
    <t>BS-1536</t>
  </si>
  <si>
    <t>BS-1537</t>
  </si>
  <si>
    <t>BS-1538</t>
  </si>
  <si>
    <t>BS-1539</t>
  </si>
  <si>
    <t>BS-1540</t>
  </si>
  <si>
    <t>BS-1541</t>
  </si>
  <si>
    <t>BS-1542</t>
  </si>
  <si>
    <t>BS-1543</t>
  </si>
  <si>
    <t>BS-1544</t>
  </si>
  <si>
    <t>BS-1545</t>
  </si>
  <si>
    <t>BS-1546</t>
  </si>
  <si>
    <t>BS-1547</t>
  </si>
  <si>
    <t>BS-1548</t>
  </si>
  <si>
    <t>BS-1549</t>
  </si>
  <si>
    <t>BS-1550</t>
  </si>
  <si>
    <t>BS-1551</t>
  </si>
  <si>
    <t>BS-1552</t>
  </si>
  <si>
    <t>BS-1553</t>
  </si>
  <si>
    <t>BS-1554</t>
  </si>
  <si>
    <t>BS-1555</t>
  </si>
  <si>
    <t>BS-1556</t>
  </si>
  <si>
    <t>BS-1557</t>
  </si>
  <si>
    <t>BS-1558</t>
  </si>
  <si>
    <t>BS-1559</t>
  </si>
  <si>
    <t>BS-1560</t>
  </si>
  <si>
    <t>BS-1561</t>
  </si>
  <si>
    <t>BS-1562</t>
  </si>
  <si>
    <t>BS-1563</t>
  </si>
  <si>
    <t>BS-1564</t>
  </si>
  <si>
    <t>BS-1565</t>
  </si>
  <si>
    <t>BS-1566</t>
  </si>
  <si>
    <t>BS-1567</t>
  </si>
  <si>
    <t>BS-1568</t>
  </si>
  <si>
    <t>BS-1569</t>
  </si>
  <si>
    <t>BS-1570</t>
  </si>
  <si>
    <t>BS-1571</t>
  </si>
  <si>
    <t>BS-1572</t>
  </si>
  <si>
    <t>BS-1573</t>
  </si>
  <si>
    <t>BS-1574</t>
  </si>
  <si>
    <t>BS-1575</t>
  </si>
  <si>
    <t>BS-1576</t>
  </si>
  <si>
    <t>BS-1577</t>
  </si>
  <si>
    <t>BS-1578</t>
  </si>
  <si>
    <t>BS-1579</t>
  </si>
  <si>
    <t>BS-1580</t>
  </si>
  <si>
    <t>BS-1581</t>
  </si>
  <si>
    <t>BS-1582</t>
  </si>
  <si>
    <t>BS-1583</t>
  </si>
  <si>
    <t>BS-1584</t>
  </si>
  <si>
    <t>BS-1585</t>
  </si>
  <si>
    <t>BS-1586</t>
  </si>
  <si>
    <t>BS-1587</t>
  </si>
  <si>
    <t>BS-1588</t>
  </si>
  <si>
    <t>BS-1589</t>
  </si>
  <si>
    <t>BS-1590</t>
  </si>
  <si>
    <t>BS-1591</t>
  </si>
  <si>
    <t>BS-1592</t>
  </si>
  <si>
    <t>BS-1593</t>
  </si>
  <si>
    <t>BS-1594</t>
  </si>
  <si>
    <t>BS-1595</t>
  </si>
  <si>
    <t>BS-1596</t>
  </si>
  <si>
    <t>BS-1597</t>
  </si>
  <si>
    <t>BS-1598</t>
  </si>
  <si>
    <t>BS-1599</t>
  </si>
  <si>
    <t>BS-1600</t>
  </si>
  <si>
    <t>BS-1601</t>
  </si>
  <si>
    <t>BS-1602</t>
  </si>
  <si>
    <t>BS-1603</t>
  </si>
  <si>
    <t>BS-1604</t>
  </si>
  <si>
    <t>BS-1605</t>
  </si>
  <si>
    <t>BS-1606</t>
  </si>
  <si>
    <t>BS-1607</t>
  </si>
  <si>
    <t>BS-1608</t>
  </si>
  <si>
    <t>BS-1609</t>
  </si>
  <si>
    <t>BS-1610</t>
  </si>
  <si>
    <t>BS-1611</t>
  </si>
  <si>
    <t>BS-1612</t>
  </si>
  <si>
    <t>BS-1613</t>
  </si>
  <si>
    <t>BS-1614</t>
  </si>
  <si>
    <t>BS-1615</t>
  </si>
  <si>
    <t>BS-1616</t>
  </si>
  <si>
    <t>BS-1617</t>
  </si>
  <si>
    <t>BS-1618</t>
  </si>
  <si>
    <t>BS-1619</t>
  </si>
  <si>
    <t>BS-1620</t>
  </si>
  <si>
    <t>BS-1621</t>
  </si>
  <si>
    <t>BS-1622</t>
  </si>
  <si>
    <t>BS-1623</t>
  </si>
  <si>
    <t>BS-1624</t>
  </si>
  <si>
    <t>BS-1625</t>
  </si>
  <si>
    <t>BS-1626</t>
  </si>
  <si>
    <t>BS-1627</t>
  </si>
  <si>
    <t>BS-1628</t>
  </si>
  <si>
    <t>BS-1629</t>
  </si>
  <si>
    <t>BS-1630</t>
  </si>
  <si>
    <t>BS-1631</t>
  </si>
  <si>
    <t>BS-1632</t>
  </si>
  <si>
    <t>BS-1633</t>
  </si>
  <si>
    <t>BS-1634</t>
  </si>
  <si>
    <t>BS-1635</t>
  </si>
  <si>
    <t>BS-1636</t>
  </si>
  <si>
    <t>BS-1637</t>
  </si>
  <si>
    <t>BS-1638</t>
  </si>
  <si>
    <t>BS-1639</t>
  </si>
  <si>
    <t>BS-1640</t>
  </si>
  <si>
    <t>BS-1641</t>
  </si>
  <si>
    <t>BS-1642</t>
  </si>
  <si>
    <t>BS-1643</t>
  </si>
  <si>
    <t>BS-1644</t>
  </si>
  <si>
    <t>BS-1645</t>
  </si>
  <si>
    <t>BS-1646</t>
  </si>
  <si>
    <t>BS-1647</t>
  </si>
  <si>
    <t>BS-1648</t>
  </si>
  <si>
    <t>BS-1649</t>
  </si>
  <si>
    <t>BS-1650</t>
  </si>
  <si>
    <t>BS-1651</t>
  </si>
  <si>
    <t>BS-1652</t>
  </si>
  <si>
    <t>BS-1653</t>
  </si>
  <si>
    <t>BS-1654</t>
  </si>
  <si>
    <t>BS-1655</t>
  </si>
  <si>
    <t>BS-1656</t>
  </si>
  <si>
    <t>BS-1657</t>
  </si>
  <si>
    <t>BS-1658</t>
  </si>
  <si>
    <t>BS-1659</t>
  </si>
  <si>
    <t>BS-1660</t>
  </si>
  <si>
    <t>BS-1661</t>
  </si>
  <si>
    <t>BS-1662</t>
  </si>
  <si>
    <t>BS-1663</t>
  </si>
  <si>
    <t>BS-1664</t>
  </si>
  <si>
    <t>BS-1665</t>
  </si>
  <si>
    <t>BS-1666</t>
  </si>
  <si>
    <t>BS-1667</t>
  </si>
  <si>
    <t>BS-1668</t>
  </si>
  <si>
    <t>BS-1669</t>
  </si>
  <si>
    <t>BS-1670</t>
  </si>
  <si>
    <t>BS-1671</t>
  </si>
  <si>
    <t>BS-1672</t>
  </si>
  <si>
    <t>BS-1673</t>
  </si>
  <si>
    <t>BS-1674</t>
  </si>
  <si>
    <t>BS-1675</t>
  </si>
  <si>
    <t>BS-1676</t>
  </si>
  <si>
    <t>BS-1677</t>
  </si>
  <si>
    <t>BS-1678</t>
  </si>
  <si>
    <t>BS-1679</t>
  </si>
  <si>
    <t>BS-1680</t>
  </si>
  <si>
    <t>BS-1681</t>
  </si>
  <si>
    <t>BS-1682</t>
  </si>
  <si>
    <t>BS-1683</t>
  </si>
  <si>
    <t>BS-1684</t>
  </si>
  <si>
    <t>BS-1685</t>
  </si>
  <si>
    <t>BS-1686</t>
  </si>
  <si>
    <t>BS-1687</t>
  </si>
  <si>
    <t>BS-1688</t>
  </si>
  <si>
    <t>BS-1689</t>
  </si>
  <si>
    <t>BS-1690</t>
  </si>
  <si>
    <t>BS-1691</t>
  </si>
  <si>
    <t>BS-1692</t>
  </si>
  <si>
    <t>BS-1693</t>
  </si>
  <si>
    <t>BS-1694</t>
  </si>
  <si>
    <t>BS-1695</t>
  </si>
  <si>
    <t>BS-1696</t>
  </si>
  <si>
    <t>BS-1697</t>
  </si>
  <si>
    <t>BS-1698</t>
  </si>
  <si>
    <t>BS-1699</t>
  </si>
  <si>
    <t>BS-1700</t>
  </si>
  <si>
    <t>BS-1701</t>
  </si>
  <si>
    <t>BS-1702</t>
  </si>
  <si>
    <t>BS-1703</t>
  </si>
  <si>
    <t>BS-1704</t>
  </si>
  <si>
    <t>BS-1705</t>
  </si>
  <si>
    <t>BS-1706</t>
  </si>
  <si>
    <t>BS-1707</t>
  </si>
  <si>
    <t>BS-1708</t>
  </si>
  <si>
    <t>BS-1709</t>
  </si>
  <si>
    <t>BS-1710</t>
  </si>
  <si>
    <t>BS-1711</t>
  </si>
  <si>
    <t>BS-1712</t>
  </si>
  <si>
    <t>BS-1713</t>
  </si>
  <si>
    <t>BS-1714</t>
  </si>
  <si>
    <t>BS-1715</t>
  </si>
  <si>
    <t>BS-1716</t>
  </si>
  <si>
    <t>BS-1717</t>
  </si>
  <si>
    <t>BS-1718</t>
  </si>
  <si>
    <t>BS-1719</t>
  </si>
  <si>
    <t>BS-1720</t>
  </si>
  <si>
    <t>BS-1721</t>
  </si>
  <si>
    <t>BS-1722</t>
  </si>
  <si>
    <t>BS-1723</t>
  </si>
  <si>
    <t>BS-1724</t>
  </si>
  <si>
    <t>BS-1725</t>
  </si>
  <si>
    <t>BS-1726</t>
  </si>
  <si>
    <t>BS-1727</t>
  </si>
  <si>
    <t>BS-1728</t>
  </si>
  <si>
    <t>BS-1729</t>
  </si>
  <si>
    <t>BS-1730</t>
  </si>
  <si>
    <t>BS-1731</t>
  </si>
  <si>
    <t>BS-1732</t>
  </si>
  <si>
    <t>BS-1733</t>
  </si>
  <si>
    <t>BS-1734</t>
  </si>
  <si>
    <t>BS-1735</t>
  </si>
  <si>
    <t>BS-1736</t>
  </si>
  <si>
    <t>BS-1737</t>
  </si>
  <si>
    <t>BS-1738</t>
  </si>
  <si>
    <t>BS-1739</t>
  </si>
  <si>
    <t>BS-1740</t>
  </si>
  <si>
    <t>BS-1741</t>
  </si>
  <si>
    <t>BS-1742</t>
  </si>
  <si>
    <t>BS-1743</t>
  </si>
  <si>
    <t>BS-1744</t>
  </si>
  <si>
    <t>BS-1745</t>
  </si>
  <si>
    <t>BS-1746</t>
  </si>
  <si>
    <t>BS-1747</t>
  </si>
  <si>
    <t>BS-1748</t>
  </si>
  <si>
    <t>BS-1749</t>
  </si>
  <si>
    <t>BS-1750</t>
  </si>
  <si>
    <t>BS-1751</t>
  </si>
  <si>
    <t>BS-1752</t>
  </si>
  <si>
    <t>BS-1753</t>
  </si>
  <si>
    <t>BS-1754</t>
  </si>
  <si>
    <t>BS-1755</t>
  </si>
  <si>
    <t>BS-1756</t>
  </si>
  <si>
    <t>BS-1757</t>
  </si>
  <si>
    <t>BS-1758</t>
  </si>
  <si>
    <t>BS-1759</t>
  </si>
  <si>
    <t>BS-1760</t>
  </si>
  <si>
    <t>BS-1761</t>
  </si>
  <si>
    <t>BS-1762</t>
  </si>
  <si>
    <t>BS-1763</t>
  </si>
  <si>
    <t>BS-1764</t>
  </si>
  <si>
    <t>BS-1765</t>
  </si>
  <si>
    <t>BS-1766</t>
  </si>
  <si>
    <t>BS-1767</t>
  </si>
  <si>
    <t>BS-1768</t>
  </si>
  <si>
    <t>BS-1769</t>
  </si>
  <si>
    <t>BS-1770</t>
  </si>
  <si>
    <t>BS-1771</t>
  </si>
  <si>
    <t>BS-1772</t>
  </si>
  <si>
    <t>BS-1773</t>
  </si>
  <si>
    <t>BS-1774</t>
  </si>
  <si>
    <t>BS-1775</t>
  </si>
  <si>
    <t>BS-1776</t>
  </si>
  <si>
    <t>BS-1777</t>
  </si>
  <si>
    <t>BS-1778</t>
  </si>
  <si>
    <t>BS-1779</t>
  </si>
  <si>
    <t>BS-1780</t>
  </si>
  <si>
    <t>BS-1781</t>
  </si>
  <si>
    <t>BS-1782</t>
  </si>
  <si>
    <t>BS-1783</t>
  </si>
  <si>
    <t>BS-1784</t>
  </si>
  <si>
    <t>BS-1785</t>
  </si>
  <si>
    <t>BS-1786</t>
  </si>
  <si>
    <t>BS-1787</t>
  </si>
  <si>
    <t>BS-1788</t>
  </si>
  <si>
    <t>BS-1789</t>
  </si>
  <si>
    <t>BS-1790</t>
  </si>
  <si>
    <t>BS-1791</t>
  </si>
  <si>
    <t>BS-1792</t>
  </si>
  <si>
    <t>BS-1793</t>
  </si>
  <si>
    <t>BS-1794</t>
  </si>
  <si>
    <t>BS-1795</t>
  </si>
  <si>
    <t>BS-1796</t>
  </si>
  <si>
    <t>BS-1797</t>
  </si>
  <si>
    <t>BS-1798</t>
  </si>
  <si>
    <t>BS-1799</t>
  </si>
  <si>
    <t>BS-1800</t>
  </si>
  <si>
    <t>BS-1801</t>
  </si>
  <si>
    <t>BS-1802</t>
  </si>
  <si>
    <t>BS-1803</t>
  </si>
  <si>
    <t>BS-1804</t>
  </si>
  <si>
    <t>BS-1805</t>
  </si>
  <si>
    <t>BS-1806</t>
  </si>
  <si>
    <t>BS-1807</t>
  </si>
  <si>
    <t>BS-1808</t>
  </si>
  <si>
    <t>BS-1809</t>
  </si>
  <si>
    <t>BS-1810</t>
  </si>
  <si>
    <t>BS-1811</t>
  </si>
  <si>
    <t>BS-1812</t>
  </si>
  <si>
    <t>BS-1813</t>
  </si>
  <si>
    <t>BS-1814</t>
  </si>
  <si>
    <t>BS-1815</t>
  </si>
  <si>
    <t>BS-1816</t>
  </si>
  <si>
    <t>BS-1817</t>
  </si>
  <si>
    <t>BS-1818</t>
  </si>
  <si>
    <t>BS-1819</t>
  </si>
  <si>
    <t>BS-1820</t>
  </si>
  <si>
    <t>BS-1821</t>
  </si>
  <si>
    <t>BS-1822</t>
  </si>
  <si>
    <t>BS-1823</t>
  </si>
  <si>
    <t>BS-1824</t>
  </si>
  <si>
    <t>BS-1825</t>
  </si>
  <si>
    <t>BS-1826</t>
  </si>
  <si>
    <t>BS-1827</t>
  </si>
  <si>
    <t>BS-1828</t>
  </si>
  <si>
    <t>BS-1829</t>
  </si>
  <si>
    <t>BS-1830</t>
  </si>
  <si>
    <t>BS-1831</t>
  </si>
  <si>
    <t>BS-1832</t>
  </si>
  <si>
    <t>BS-1833</t>
  </si>
  <si>
    <t>BS-1834</t>
  </si>
  <si>
    <t>BS-1835</t>
  </si>
  <si>
    <t>BS-1836</t>
  </si>
  <si>
    <t>BS-1837</t>
  </si>
  <si>
    <t>BS-1838</t>
  </si>
  <si>
    <t>BS-1839</t>
  </si>
  <si>
    <t>BS-1840</t>
  </si>
  <si>
    <t>BS-1841</t>
  </si>
  <si>
    <t>BS-1842</t>
  </si>
  <si>
    <t>BS-1843</t>
  </si>
  <si>
    <t>BS-1844</t>
  </si>
  <si>
    <t>BS-1845</t>
  </si>
  <si>
    <t>BS-1846</t>
  </si>
  <si>
    <t>BS-1847</t>
  </si>
  <si>
    <t>BS-1848</t>
  </si>
  <si>
    <t>BS-1849</t>
  </si>
  <si>
    <t>BS-1850</t>
  </si>
  <si>
    <t>BS-1851</t>
  </si>
  <si>
    <t>BS-1852</t>
  </si>
  <si>
    <t>BS-1853</t>
  </si>
  <si>
    <t>BS-1854</t>
  </si>
  <si>
    <t>BS-1855</t>
  </si>
  <si>
    <t>BS-1856</t>
  </si>
  <si>
    <t>BS-1857</t>
  </si>
  <si>
    <t>BS-1858</t>
  </si>
  <si>
    <t>BS-1859</t>
  </si>
  <si>
    <t>BS-1860</t>
  </si>
  <si>
    <t>BS-1861</t>
  </si>
  <si>
    <t>BS-1862</t>
  </si>
  <si>
    <t>BS-1863</t>
  </si>
  <si>
    <t>BS-1864</t>
  </si>
  <si>
    <t>BS-1865</t>
  </si>
  <si>
    <t>BS-1866</t>
  </si>
  <si>
    <t>BS-1867</t>
  </si>
  <si>
    <t>BS-1868</t>
  </si>
  <si>
    <t>BS-1869</t>
  </si>
  <si>
    <t>BS-1870</t>
  </si>
  <si>
    <t>BS-1871</t>
  </si>
  <si>
    <t>BS-1872</t>
  </si>
  <si>
    <t>BS-1873</t>
  </si>
  <si>
    <t>BS-1874</t>
  </si>
  <si>
    <t>BS-1875</t>
  </si>
  <si>
    <t>BS-1876</t>
  </si>
  <si>
    <t>BS-1877</t>
  </si>
  <si>
    <t>BS-1878</t>
  </si>
  <si>
    <t>BS-1879</t>
  </si>
  <si>
    <t>BS-1880</t>
  </si>
  <si>
    <t>BS-1881</t>
  </si>
  <si>
    <t>BS-1882</t>
  </si>
  <si>
    <t>BS-1883</t>
  </si>
  <si>
    <t>BS-1884</t>
  </si>
  <si>
    <t>BS-1885</t>
  </si>
  <si>
    <t>BS-1886</t>
  </si>
  <si>
    <t>BS-1887</t>
  </si>
  <si>
    <t>BS-1888</t>
  </si>
  <si>
    <t>BS-1889</t>
  </si>
  <si>
    <t>BS-1890</t>
  </si>
  <si>
    <t>BS-1891</t>
  </si>
  <si>
    <t>BS-1892</t>
  </si>
  <si>
    <t>BS-1893</t>
  </si>
  <si>
    <t>BS-1894</t>
  </si>
  <si>
    <t>BS-1895</t>
  </si>
  <si>
    <t>BS-1896</t>
  </si>
  <si>
    <t>BS-1897</t>
  </si>
  <si>
    <t>BS-1898</t>
  </si>
  <si>
    <t>BS-1899</t>
  </si>
  <si>
    <t>BS-1900</t>
  </si>
  <si>
    <t>BS-1901</t>
  </si>
  <si>
    <t>BS-1902</t>
  </si>
  <si>
    <t>BS-1903</t>
  </si>
  <si>
    <t>BS-1904</t>
  </si>
  <si>
    <t>BS-1905</t>
  </si>
  <si>
    <t>BS-1906</t>
  </si>
  <si>
    <t>BS-1907</t>
  </si>
  <si>
    <t>BS-1908</t>
  </si>
  <si>
    <t>BS-1909</t>
  </si>
  <si>
    <t>BS-1910</t>
  </si>
  <si>
    <t>BS-1911</t>
  </si>
  <si>
    <t>BS-1912</t>
  </si>
  <si>
    <t>BS-1913</t>
  </si>
  <si>
    <t>BS-1914</t>
  </si>
  <si>
    <t>BS-1915</t>
  </si>
  <si>
    <t>BS-1916</t>
  </si>
  <si>
    <t>BS-1917</t>
  </si>
  <si>
    <t>BS-1918</t>
  </si>
  <si>
    <t>BS-1919</t>
  </si>
  <si>
    <t>BS-1920</t>
  </si>
  <si>
    <t>BS-1921</t>
  </si>
  <si>
    <t>BS-1922</t>
  </si>
  <si>
    <t>BS-1923</t>
  </si>
  <si>
    <t>BS-1924</t>
  </si>
  <si>
    <t>BS-1925</t>
  </si>
  <si>
    <t>BS-1926</t>
  </si>
  <si>
    <t>BS-1927</t>
  </si>
  <si>
    <t>BS-1928</t>
  </si>
  <si>
    <t>BS-1929</t>
  </si>
  <si>
    <t>BS-1930</t>
  </si>
  <si>
    <t>BS-1931</t>
  </si>
  <si>
    <t>BS-1932</t>
  </si>
  <si>
    <t>BS-1933</t>
  </si>
  <si>
    <t>BS-1934</t>
  </si>
  <si>
    <t>BS-1935</t>
  </si>
  <si>
    <t>BS-1936</t>
  </si>
  <si>
    <t>BS-1937</t>
  </si>
  <si>
    <t>BS-1938</t>
  </si>
  <si>
    <t>BS-1939</t>
  </si>
  <si>
    <t>BS-1940</t>
  </si>
  <si>
    <t>BS-1941</t>
  </si>
  <si>
    <t>BS-1942</t>
  </si>
  <si>
    <t>BS-1943</t>
  </si>
  <si>
    <t>BS-1944</t>
  </si>
  <si>
    <t>BS-1945</t>
  </si>
  <si>
    <t>BS-1946</t>
  </si>
  <si>
    <t>BS-1947</t>
  </si>
  <si>
    <t>BS-1948</t>
  </si>
  <si>
    <t>BS-1949</t>
  </si>
  <si>
    <t>BS-1950</t>
  </si>
  <si>
    <t>BS-1951</t>
  </si>
  <si>
    <t>BS-1952</t>
  </si>
  <si>
    <t>BS-1953</t>
  </si>
  <si>
    <t>BS-1954</t>
  </si>
  <si>
    <t>BS-1955</t>
  </si>
  <si>
    <t>BS-1956</t>
  </si>
  <si>
    <t>BS-1957</t>
  </si>
  <si>
    <t>BS-1958</t>
  </si>
  <si>
    <t>BS-1959</t>
  </si>
  <si>
    <t>BS-1960</t>
  </si>
  <si>
    <t>BS-1961</t>
  </si>
  <si>
    <t>BS-1962</t>
  </si>
  <si>
    <t>BS-1963</t>
  </si>
  <si>
    <t>BS-1964</t>
  </si>
  <si>
    <t>BS-1965</t>
  </si>
  <si>
    <t>BS-1966</t>
  </si>
  <si>
    <t>BS-1967</t>
  </si>
  <si>
    <t>BS-1968</t>
  </si>
  <si>
    <t>BS-1969</t>
  </si>
  <si>
    <t>BS-1970</t>
  </si>
  <si>
    <t>BS-1971</t>
  </si>
  <si>
    <t>BS-1972</t>
  </si>
  <si>
    <t>BS-1973</t>
  </si>
  <si>
    <t>BS-1974</t>
  </si>
  <si>
    <t>BS-1975</t>
  </si>
  <si>
    <t>BS-1976</t>
  </si>
  <si>
    <t>BS-1977</t>
  </si>
  <si>
    <t>BS-1978</t>
  </si>
  <si>
    <t>BS-1979</t>
  </si>
  <si>
    <t>BS-1980</t>
  </si>
  <si>
    <t>BS-1981</t>
  </si>
  <si>
    <t>BS-1982</t>
  </si>
  <si>
    <t>BS-1983</t>
  </si>
  <si>
    <t>BS-1984</t>
  </si>
  <si>
    <t>BS-1985</t>
  </si>
  <si>
    <t>BS-1986</t>
  </si>
  <si>
    <t>BS-1987</t>
  </si>
  <si>
    <t>BS-1988</t>
  </si>
  <si>
    <t>BS-1989</t>
  </si>
  <si>
    <t>BS-1990</t>
  </si>
  <si>
    <t>BS-1991</t>
  </si>
  <si>
    <t>BS-1992</t>
  </si>
  <si>
    <t>BS-1993</t>
  </si>
  <si>
    <t>BS-1994</t>
  </si>
  <si>
    <t>BS-1995</t>
  </si>
  <si>
    <t>BS-1996</t>
  </si>
  <si>
    <t>BS-1997</t>
  </si>
  <si>
    <t>BS-1998</t>
  </si>
  <si>
    <t>BS-1999</t>
  </si>
  <si>
    <t>BS-2000</t>
  </si>
  <si>
    <t>BS-2001</t>
  </si>
  <si>
    <t>BS-2002</t>
  </si>
  <si>
    <t>BS-2003</t>
  </si>
  <si>
    <t>BS-2004</t>
  </si>
  <si>
    <t>BS-2005</t>
  </si>
  <si>
    <t>BS-2006</t>
  </si>
  <si>
    <t>BS-2007</t>
  </si>
  <si>
    <t>BS-2008</t>
  </si>
  <si>
    <t>BS-2009</t>
  </si>
  <si>
    <t>BS-2010</t>
  </si>
  <si>
    <t>BS-2011</t>
  </si>
  <si>
    <t>BS-2012</t>
  </si>
  <si>
    <t>BS-2013</t>
  </si>
  <si>
    <t>BS-2014</t>
  </si>
  <si>
    <t>BS-2015</t>
  </si>
  <si>
    <t>BS-2016</t>
  </si>
  <si>
    <t>BS-2017</t>
  </si>
  <si>
    <t>BS-2018</t>
  </si>
  <si>
    <t>BS-2019</t>
  </si>
  <si>
    <t>BS-2020</t>
  </si>
  <si>
    <t>BS-2021</t>
  </si>
  <si>
    <t>BS-2022</t>
  </si>
  <si>
    <t>BS-2023</t>
  </si>
  <si>
    <t>BS-2024</t>
  </si>
  <si>
    <t>BS-2025</t>
  </si>
  <si>
    <t>BS-2026</t>
  </si>
  <si>
    <t>BS-2027</t>
  </si>
  <si>
    <t>BS-2028</t>
  </si>
  <si>
    <t>BS-2029</t>
  </si>
  <si>
    <t>BS-2030</t>
  </si>
  <si>
    <t>BS-2031</t>
  </si>
  <si>
    <t>BS-2032</t>
  </si>
  <si>
    <t>BS-2033</t>
  </si>
  <si>
    <t>BS-2034</t>
  </si>
  <si>
    <t>BS-2035</t>
  </si>
  <si>
    <t>BS-2036</t>
  </si>
  <si>
    <t>BS-2037</t>
  </si>
  <si>
    <t>BS-2038</t>
  </si>
  <si>
    <t>BS-2039</t>
  </si>
  <si>
    <t>BS-2040</t>
  </si>
  <si>
    <t>BS-2041</t>
  </si>
  <si>
    <t>BS-2042</t>
  </si>
  <si>
    <t>BS-2043</t>
  </si>
  <si>
    <t>BS-2044</t>
  </si>
  <si>
    <t>BS-2045</t>
  </si>
  <si>
    <t>BS-2046</t>
  </si>
  <si>
    <t>BS-2047</t>
  </si>
  <si>
    <t>BS-2048</t>
  </si>
  <si>
    <t>BS-2049</t>
  </si>
  <si>
    <t>BS-2050</t>
  </si>
  <si>
    <t>BS-2051</t>
  </si>
  <si>
    <t>BS-2052</t>
  </si>
  <si>
    <t>BS-2053</t>
  </si>
  <si>
    <t>BS-2054</t>
  </si>
  <si>
    <t>BS-2055</t>
  </si>
  <si>
    <t>BS-2056</t>
  </si>
  <si>
    <t>BS-2057</t>
  </si>
  <si>
    <t>BS-2058</t>
  </si>
  <si>
    <t>BS-2059</t>
  </si>
  <si>
    <t>BS-2060</t>
  </si>
  <si>
    <t>BS-2061</t>
  </si>
  <si>
    <t>BS-2062</t>
  </si>
  <si>
    <t>BS-2063</t>
  </si>
  <si>
    <t>BS-2064</t>
  </si>
  <si>
    <t>BS-2065</t>
  </si>
  <si>
    <t>BS-2066</t>
  </si>
  <si>
    <t>BS-2067</t>
  </si>
  <si>
    <t>BS-2068</t>
  </si>
  <si>
    <t>BS-2069</t>
  </si>
  <si>
    <t>BS-2070</t>
  </si>
  <si>
    <t>BS-2071</t>
  </si>
  <si>
    <t>BS-2072</t>
  </si>
  <si>
    <t>BS-2073</t>
  </si>
  <si>
    <t>BS-2074</t>
  </si>
  <si>
    <t>BS-2075</t>
  </si>
  <si>
    <t>BS-2076</t>
  </si>
  <si>
    <t>BS-2077</t>
  </si>
  <si>
    <t>BS-2078</t>
  </si>
  <si>
    <t>BS-2079</t>
  </si>
  <si>
    <t>BS-2080</t>
  </si>
  <si>
    <t>BS-2081</t>
  </si>
  <si>
    <t>BS-2082</t>
  </si>
  <si>
    <t>BS-2083</t>
  </si>
  <si>
    <t>BS-2084</t>
  </si>
  <si>
    <t>BS-2085</t>
  </si>
  <si>
    <t>BS-2086</t>
  </si>
  <si>
    <t>BS-2087</t>
  </si>
  <si>
    <t>BS-2088</t>
  </si>
  <si>
    <t>BS-2089</t>
  </si>
  <si>
    <t>BS-2090</t>
  </si>
  <si>
    <t>BS-2091</t>
  </si>
  <si>
    <t>BS-2092</t>
  </si>
  <si>
    <t>BS-2093</t>
  </si>
  <si>
    <t>BS-2094</t>
  </si>
  <si>
    <t>BS-2095</t>
  </si>
  <si>
    <t>BS-2096</t>
  </si>
  <si>
    <t>BS-2097</t>
  </si>
  <si>
    <t>BS-2098</t>
  </si>
  <si>
    <t>BS-2099</t>
  </si>
  <si>
    <t>BS-2100</t>
  </si>
  <si>
    <t>BS-2101</t>
  </si>
  <si>
    <t>BS-2102</t>
  </si>
  <si>
    <t>BS-2103</t>
  </si>
  <si>
    <t>BS-2104</t>
  </si>
  <si>
    <t>BS-2105</t>
  </si>
  <si>
    <t>BS-2106</t>
  </si>
  <si>
    <t>BS-2107</t>
  </si>
  <si>
    <t>BS-2108</t>
  </si>
  <si>
    <t>BS-2109</t>
  </si>
  <si>
    <t>BS-2110</t>
  </si>
  <si>
    <t>BS-2111</t>
  </si>
  <si>
    <t>BS-2112</t>
  </si>
  <si>
    <t>BS-2113</t>
  </si>
  <si>
    <t>BS-2114</t>
  </si>
  <si>
    <t>BS-2115</t>
  </si>
  <si>
    <t>BS-2116</t>
  </si>
  <si>
    <t>BS-2117</t>
  </si>
  <si>
    <t>BS-2118</t>
  </si>
  <si>
    <t>BS-2119</t>
  </si>
  <si>
    <t>BS-2120</t>
  </si>
  <si>
    <t>BS-2121</t>
  </si>
  <si>
    <t>BS-2122</t>
  </si>
  <si>
    <t>BS-2123</t>
  </si>
  <si>
    <t>BS-2124</t>
  </si>
  <si>
    <t>BS-2125</t>
  </si>
  <si>
    <t>BS-2126</t>
  </si>
  <si>
    <t>BS-2127</t>
  </si>
  <si>
    <t>BS-2128</t>
  </si>
  <si>
    <t>BS-2129</t>
  </si>
  <si>
    <t>BS-2130</t>
  </si>
  <si>
    <t>BS-2131</t>
  </si>
  <si>
    <t>BS-2132</t>
  </si>
  <si>
    <t>BS-2133</t>
  </si>
  <si>
    <t>BS-2134</t>
  </si>
  <si>
    <t>BS-2135</t>
  </si>
  <si>
    <t>BS-2136</t>
  </si>
  <si>
    <t>BS-2137</t>
  </si>
  <si>
    <t>BS-2138</t>
  </si>
  <si>
    <t>BS-2139</t>
  </si>
  <si>
    <t>BS-2140</t>
  </si>
  <si>
    <t>BS-2141</t>
  </si>
  <si>
    <t>BS-2142</t>
  </si>
  <si>
    <t>BS-2143</t>
  </si>
  <si>
    <t>BS-2144</t>
  </si>
  <si>
    <t>BS-2145</t>
  </si>
  <si>
    <t>BS-2146</t>
  </si>
  <si>
    <t>BS-2147</t>
  </si>
  <si>
    <t>BS-2148</t>
  </si>
  <si>
    <t>BS-2149</t>
  </si>
  <si>
    <t>BS-2150</t>
  </si>
  <si>
    <t>BS-2151</t>
  </si>
  <si>
    <t>BS-2152</t>
  </si>
  <si>
    <t>BS-2153</t>
  </si>
  <si>
    <t>BS-2154</t>
  </si>
  <si>
    <t>BS-2155</t>
  </si>
  <si>
    <t>BS-2156</t>
  </si>
  <si>
    <t>BS-2157</t>
  </si>
  <si>
    <t>BS-2158</t>
  </si>
  <si>
    <t>BS-2159</t>
  </si>
  <si>
    <t>BS-2160</t>
  </si>
  <si>
    <t>BS-2161</t>
  </si>
  <si>
    <t>BS-2162</t>
  </si>
  <si>
    <t>BS-2163</t>
  </si>
  <si>
    <t>BS-2164</t>
  </si>
  <si>
    <t>BS-2165</t>
  </si>
  <si>
    <t>BS-2166</t>
  </si>
  <si>
    <t>BS-2167</t>
  </si>
  <si>
    <t>BS-2168</t>
  </si>
  <si>
    <t>BS-2169</t>
  </si>
  <si>
    <t>BS-2170</t>
  </si>
  <si>
    <t>BS-2171</t>
  </si>
  <si>
    <t>BS-2172</t>
  </si>
  <si>
    <t>BS-2173</t>
  </si>
  <si>
    <t>BS-2174</t>
  </si>
  <si>
    <t>BS-2175</t>
  </si>
  <si>
    <t>BS-2176</t>
  </si>
  <si>
    <t>BS-2177</t>
  </si>
  <si>
    <t>BS-2178</t>
  </si>
  <si>
    <t>BS-2179</t>
  </si>
  <si>
    <t>BS-2180</t>
  </si>
  <si>
    <t>BS-2181</t>
  </si>
  <si>
    <t>BS-2182</t>
  </si>
  <si>
    <t>BS-2183</t>
  </si>
  <si>
    <t>BS-2184</t>
  </si>
  <si>
    <t>BS-2185</t>
  </si>
  <si>
    <t>BS-2186</t>
  </si>
  <si>
    <t>BS-2187</t>
  </si>
  <si>
    <t>BS-2188</t>
  </si>
  <si>
    <t>BS-2189</t>
  </si>
  <si>
    <t>BS-2190</t>
  </si>
  <si>
    <t>BS-2191</t>
  </si>
  <si>
    <t>BS-2192</t>
  </si>
  <si>
    <t>Day</t>
  </si>
  <si>
    <t>Employeer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</si>
</sst>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F0F4E-28ED-44CB-B8F5-B6D0D268BE88}" name="tbl_service" displayName="tbl_service" ref="A1:C7" totalsRowShown="0" headerRowDxfId="11">
  <tableColumns count="3">
    <tableColumn id="1" xr3:uid="{F4B94B18-316D-42DC-B7C7-9B3BF0D09A59}" name="Service"/>
    <tableColumn id="2" xr3:uid="{E5692C21-6DF5-48AF-8EE0-E8023C761288}" name="Price"/>
    <tableColumn id="3" xr3:uid="{6BDA0B6E-5493-4477-B9C6-0C8A2D22BDC2}" name="Profit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AC7D7-9DB1-4DFC-9CF3-0AF59EF26EE1}" name="tbl_employee" displayName="tbl_employee" ref="E1:E10" totalsRowShown="0">
  <tableColumns count="1">
    <tableColumn id="1" xr3:uid="{B2AC4322-8CA4-463B-8F00-1F40CEA16FAC}" name="Employeer Nam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13145E-10B6-4F24-9610-28E9C9219230}" name="tbl_customertype" displayName="tbl_customertype" ref="G1:G4" totalsRowShown="0">
  <tableColumns count="1">
    <tableColumn id="1" xr3:uid="{45ED1BA0-0AE8-47AE-AC7E-6363963CC24F}" name="Customer Typ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902EAE-2750-4EDA-9620-3347A7D41F1F}" name="tbl_state" displayName="tbl_state" ref="I1:L4" totalsRowShown="0">
  <tableColumns count="4">
    <tableColumn id="1" xr3:uid="{39304D2F-41F9-4CBC-A6FC-119C87E66FC0}" name="New York"/>
    <tableColumn id="2" xr3:uid="{3E204B65-3B9F-4084-8221-5B483782583E}" name="Chicago"/>
    <tableColumn id="3" xr3:uid="{72FDE95C-3E73-43DF-82FF-CE6FBD82A509}" name="Dallas"/>
    <tableColumn id="4" xr3:uid="{E6F8BE60-9384-4F58-B5A1-6D0A6E340F6B}" name="Los Ange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B37500-68C6-45F8-AE95-DDCA3E30734C}" name="tbl_main" displayName="tbl_main" ref="A1:N2193" totalsRowShown="0">
  <autoFilter ref="A1:N2193" xr:uid="{74B37500-68C6-45F8-AE95-DDCA3E30734C}"/>
  <tableColumns count="14">
    <tableColumn id="1" xr3:uid="{4096CFCC-02D0-46E4-8B41-CAFCA0FBDB8C}" name="Transaction ID"/>
    <tableColumn id="2" xr3:uid="{F69ABAAE-1F22-44A2-B112-3F7805919C85}" name="Date" dataDxfId="10"/>
    <tableColumn id="3" xr3:uid="{A9ED8B89-A470-4E99-A10A-F906A76906BB}" name="Year" dataDxfId="9">
      <calculatedColumnFormula>IF(tbl_main[[#This Row],[Date]]="","",YEAR(B2))</calculatedColumnFormula>
    </tableColumn>
    <tableColumn id="4" xr3:uid="{DE32F2A9-030F-41B9-A143-8BCCB5C25EAB}" name="Month" dataDxfId="8">
      <calculatedColumnFormula>IF(tbl_main[[#This Row],[Date]]="","",TEXT(B2,"mmm"))</calculatedColumnFormula>
    </tableColumn>
    <tableColumn id="5" xr3:uid="{8A12F41E-ABD2-4EF0-A9A2-8DD90C835312}" name="Day" dataDxfId="7">
      <calculatedColumnFormula>IF(tbl_main[[#This Row],[Date]]="","",TEXT(B2,"DDD"))</calculatedColumnFormula>
    </tableColumn>
    <tableColumn id="6" xr3:uid="{9466A292-9FD2-4926-9D57-AE2907F398F2}" name="City"/>
    <tableColumn id="7" xr3:uid="{43E3D2C0-84AE-4ACC-B06E-CD80E5811C16}" name="Branch"/>
    <tableColumn id="8" xr3:uid="{8E079AF1-CEEB-439B-994F-BA18428E7BE9}" name="Service" dataDxfId="6"/>
    <tableColumn id="9" xr3:uid="{2C40F488-1BEA-47BB-9F8D-EA331AB71DEA}" name="Emp" dataDxfId="5"/>
    <tableColumn id="10" xr3:uid="{D4A255F5-4667-4C89-AB6B-9807FC335D2B}" name="Customer Type" dataDxfId="4"/>
    <tableColumn id="11" xr3:uid="{B6F832B2-951A-4081-A29F-4D8C7786F825}" name="Price" dataDxfId="2">
      <calculatedColumnFormula>_xlfn.XLOOKUP(tbl_main[[#This Row],[Service]],tbl_service[Service],tbl_service[Price],"")</calculatedColumnFormula>
    </tableColumn>
    <tableColumn id="12" xr3:uid="{E3F7A260-1CB9-4702-B310-4AEC7A0157DE}" name="Qty" dataDxfId="3"/>
    <tableColumn id="13" xr3:uid="{3146387F-19D3-484B-B369-BC64ADDCE71C}" name="Revenue" dataDxfId="1">
      <calculatedColumnFormula>IF(AND(tbl_main[[#This Row],[Price]]="",tbl_main[[#This Row],[Qty]]=""),"",tbl_main[[#This Row],[Price]]*tbl_main[[#This Row],[Qty]])</calculatedColumnFormula>
    </tableColumn>
    <tableColumn id="14" xr3:uid="{76317AE9-E7E5-47DB-AD56-E96465D8C801}" name="Profit" dataDxfId="0">
      <calculatedColumnFormula>_xlfn.LET(_xlpm.x,_xlfn.XLOOKUP(tbl_main[[#This Row],[Service]],tbl_service[Service],tbl_service[Profit],""),
               IF(tbl_main[[#This Row],[Qty]]="","",_xlpm.x*tbl_main[[#This Row],[Qty]]))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7FB1-DFDA-4E3F-8BB2-C3B940A04118}">
  <dimension ref="A1:S10"/>
  <sheetViews>
    <sheetView workbookViewId="0">
      <selection activeCell="P2" sqref="P2"/>
    </sheetView>
  </sheetViews>
  <sheetFormatPr defaultRowHeight="15" x14ac:dyDescent="0.25"/>
  <cols>
    <col min="1" max="1" width="13.7109375" bestFit="1" customWidth="1"/>
    <col min="4" max="4" width="9.140625" customWidth="1"/>
    <col min="5" max="5" width="18.42578125" customWidth="1"/>
    <col min="7" max="7" width="17" bestFit="1" customWidth="1"/>
    <col min="9" max="9" width="17.7109375" bestFit="1" customWidth="1"/>
    <col min="10" max="10" width="18.28515625" bestFit="1" customWidth="1"/>
    <col min="11" max="11" width="12.42578125" bestFit="1" customWidth="1"/>
    <col min="12" max="12" width="13.5703125" customWidth="1"/>
    <col min="16" max="16" width="13.7109375" bestFit="1" customWidth="1"/>
    <col min="18" max="18" width="17" bestFit="1" customWidth="1"/>
    <col min="19" max="19" width="11.42578125" bestFit="1" customWidth="1"/>
    <col min="21" max="21" width="17.7109375" bestFit="1" customWidth="1"/>
    <col min="23" max="23" width="12.42578125" bestFit="1" customWidth="1"/>
    <col min="24" max="24" width="12.7109375" bestFit="1" customWidth="1"/>
  </cols>
  <sheetData>
    <row r="1" spans="1:19" x14ac:dyDescent="0.25">
      <c r="A1" s="2" t="s">
        <v>6</v>
      </c>
      <c r="B1" s="2" t="s">
        <v>9</v>
      </c>
      <c r="C1" s="2" t="s">
        <v>12</v>
      </c>
      <c r="E1" t="s">
        <v>2237</v>
      </c>
      <c r="G1" t="s">
        <v>8</v>
      </c>
      <c r="I1" t="s">
        <v>13</v>
      </c>
      <c r="J1" t="s">
        <v>20</v>
      </c>
      <c r="K1" t="s">
        <v>27</v>
      </c>
      <c r="L1" t="s">
        <v>30</v>
      </c>
    </row>
    <row r="2" spans="1:19" x14ac:dyDescent="0.25">
      <c r="A2" t="s">
        <v>15</v>
      </c>
      <c r="B2">
        <v>500</v>
      </c>
      <c r="C2">
        <v>225</v>
      </c>
      <c r="E2" t="s">
        <v>43</v>
      </c>
      <c r="G2" t="s">
        <v>17</v>
      </c>
      <c r="I2" t="s">
        <v>14</v>
      </c>
      <c r="J2" t="s">
        <v>21</v>
      </c>
      <c r="K2" t="s">
        <v>28</v>
      </c>
      <c r="L2" t="s">
        <v>31</v>
      </c>
      <c r="P2" t="str" cm="1">
        <f t="array" ref="P2:P7">tbl_service[Service]</f>
        <v>Hair Coloring</v>
      </c>
      <c r="Q2" t="str" cm="1">
        <f t="array" ref="Q2:Q10">tbl_employee[]</f>
        <v>Anderson</v>
      </c>
      <c r="R2" t="str" cm="1">
        <f t="array" ref="R2:R4">tbl_customertype[]</f>
        <v>New Customer</v>
      </c>
      <c r="S2" t="str" cm="1">
        <f t="array" ref="S2:S5">TRANSPOSE(tbl_state[#Headers])</f>
        <v>New York</v>
      </c>
    </row>
    <row r="3" spans="1:19" x14ac:dyDescent="0.25">
      <c r="A3" t="s">
        <v>18</v>
      </c>
      <c r="B3">
        <v>500</v>
      </c>
      <c r="C3">
        <v>157</v>
      </c>
      <c r="E3" t="s">
        <v>23</v>
      </c>
      <c r="G3" t="s">
        <v>32</v>
      </c>
      <c r="I3" t="s">
        <v>33</v>
      </c>
      <c r="J3" t="s">
        <v>29</v>
      </c>
      <c r="K3" t="s">
        <v>40</v>
      </c>
      <c r="L3" t="s">
        <v>36</v>
      </c>
      <c r="P3" t="str">
        <v>Facial</v>
      </c>
      <c r="Q3" t="str">
        <v>Clark</v>
      </c>
      <c r="R3" t="str">
        <v>Regular Customer</v>
      </c>
      <c r="S3" t="str">
        <v>Chicago</v>
      </c>
    </row>
    <row r="4" spans="1:19" x14ac:dyDescent="0.25">
      <c r="A4" t="s">
        <v>22</v>
      </c>
      <c r="B4">
        <v>150</v>
      </c>
      <c r="C4">
        <v>67</v>
      </c>
      <c r="E4" t="s">
        <v>35</v>
      </c>
      <c r="G4" t="s">
        <v>25</v>
      </c>
      <c r="J4" t="s">
        <v>39</v>
      </c>
      <c r="P4" t="str">
        <v>Hair Cut</v>
      </c>
      <c r="Q4" t="str">
        <v>Harris</v>
      </c>
      <c r="R4" t="str">
        <v>Walk-in Customer</v>
      </c>
      <c r="S4" t="str">
        <v>Dallas</v>
      </c>
    </row>
    <row r="5" spans="1:19" x14ac:dyDescent="0.25">
      <c r="A5" t="s">
        <v>24</v>
      </c>
      <c r="B5">
        <v>80</v>
      </c>
      <c r="C5">
        <v>36</v>
      </c>
      <c r="E5" t="s">
        <v>16</v>
      </c>
      <c r="P5" t="str">
        <v>Shaving</v>
      </c>
      <c r="Q5" t="str">
        <v>Johnson</v>
      </c>
      <c r="S5" t="str">
        <v>Los Angeles</v>
      </c>
    </row>
    <row r="6" spans="1:19" x14ac:dyDescent="0.25">
      <c r="A6" t="s">
        <v>26</v>
      </c>
      <c r="B6">
        <v>200</v>
      </c>
      <c r="C6">
        <v>90</v>
      </c>
      <c r="E6" t="s">
        <v>19</v>
      </c>
      <c r="P6" t="str">
        <v>Head Massage</v>
      </c>
      <c r="Q6" t="str">
        <v>Martinez</v>
      </c>
    </row>
    <row r="7" spans="1:19" x14ac:dyDescent="0.25">
      <c r="A7" t="s">
        <v>34</v>
      </c>
      <c r="B7">
        <v>100</v>
      </c>
      <c r="C7">
        <v>45</v>
      </c>
      <c r="E7" t="s">
        <v>41</v>
      </c>
      <c r="P7" t="str">
        <v>Beard Trim</v>
      </c>
      <c r="Q7" t="str">
        <v>Rodriguez</v>
      </c>
    </row>
    <row r="8" spans="1:19" x14ac:dyDescent="0.25">
      <c r="E8" t="s">
        <v>38</v>
      </c>
      <c r="Q8" t="str">
        <v>Scott</v>
      </c>
    </row>
    <row r="9" spans="1:19" x14ac:dyDescent="0.25">
      <c r="E9" t="s">
        <v>37</v>
      </c>
      <c r="Q9" t="str">
        <v>Walker</v>
      </c>
    </row>
    <row r="10" spans="1:19" x14ac:dyDescent="0.25">
      <c r="E10" t="s">
        <v>42</v>
      </c>
      <c r="I10" t="e" cm="1">
        <f t="array" ref="I10">L</f>
        <v>#NAME?</v>
      </c>
      <c r="Q10" t="str">
        <v>Williams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DB7F-EBB6-43E3-8C7B-400F3A208DB4}">
  <dimension ref="A1:N2193"/>
  <sheetViews>
    <sheetView tabSelected="1" workbookViewId="0">
      <selection activeCell="N2" sqref="N2:N2193"/>
    </sheetView>
  </sheetViews>
  <sheetFormatPr defaultRowHeight="15" x14ac:dyDescent="0.25"/>
  <cols>
    <col min="1" max="1" width="15.5703125" customWidth="1"/>
    <col min="2" max="2" width="10.42578125" bestFit="1" customWidth="1"/>
    <col min="6" max="6" width="11.42578125" bestFit="1" customWidth="1"/>
    <col min="7" max="7" width="18.28515625" bestFit="1" customWidth="1"/>
    <col min="8" max="8" width="13.7109375" bestFit="1" customWidth="1"/>
    <col min="9" max="9" width="9.85546875" bestFit="1" customWidth="1"/>
    <col min="10" max="10" width="17" bestFit="1" customWidth="1"/>
    <col min="11" max="11" width="7.7109375" bestFit="1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2236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44</v>
      </c>
      <c r="B2" s="1">
        <v>45658</v>
      </c>
      <c r="C2">
        <f>IF(tbl_main[[#This Row],[Date]]="","",YEAR(B2))</f>
        <v>2025</v>
      </c>
      <c r="D2" t="str">
        <f>IF(tbl_main[[#This Row],[Date]]="","",TEXT(B2,"mmm"))</f>
        <v>Jan</v>
      </c>
      <c r="E2" t="str">
        <f>IF(tbl_main[[#This Row],[Date]]="","",TEXT(B2,"DDD"))</f>
        <v>Wed</v>
      </c>
      <c r="F2" t="s">
        <v>13</v>
      </c>
      <c r="G2" t="s">
        <v>14</v>
      </c>
      <c r="H2" s="3" t="s">
        <v>15</v>
      </c>
      <c r="I2" s="3" t="s">
        <v>16</v>
      </c>
      <c r="J2" s="3" t="s">
        <v>17</v>
      </c>
      <c r="K2" s="3">
        <f>_xlfn.XLOOKUP(tbl_main[[#This Row],[Service]],tbl_service[Service],tbl_service[Price],"")</f>
        <v>500</v>
      </c>
      <c r="L2" s="3">
        <v>1</v>
      </c>
      <c r="M2" s="3">
        <f>IF(AND(tbl_main[[#This Row],[Price]]="",tbl_main[[#This Row],[Qty]]=""),"",tbl_main[[#This Row],[Price]]*tbl_main[[#This Row],[Qty]])</f>
        <v>500</v>
      </c>
      <c r="N2" s="3">
        <f>_xlfn.LET(_xlpm.x,_xlfn.XLOOKUP(tbl_main[[#This Row],[Service]],tbl_service[Service],tbl_service[Profit],""),
               IF(tbl_main[[#This Row],[Qty]]="","",_xlpm.x*tbl_main[[#This Row],[Qty]]))</f>
        <v>225</v>
      </c>
    </row>
    <row r="3" spans="1:14" x14ac:dyDescent="0.25">
      <c r="A3" t="s">
        <v>45</v>
      </c>
      <c r="B3" s="1">
        <v>45658</v>
      </c>
      <c r="C3">
        <f>IF(tbl_main[[#This Row],[Date]]="","",YEAR(B3))</f>
        <v>2025</v>
      </c>
      <c r="D3" t="str">
        <f>IF(tbl_main[[#This Row],[Date]]="","",TEXT(B3,"mmm"))</f>
        <v>Jan</v>
      </c>
      <c r="E3" t="str">
        <f>IF(tbl_main[[#This Row],[Date]]="","",TEXT(B3,"DDD"))</f>
        <v>Wed</v>
      </c>
      <c r="F3" t="s">
        <v>13</v>
      </c>
      <c r="G3" t="s">
        <v>14</v>
      </c>
      <c r="H3" s="3" t="s">
        <v>18</v>
      </c>
      <c r="I3" s="3" t="s">
        <v>19</v>
      </c>
      <c r="J3" s="3" t="s">
        <v>17</v>
      </c>
      <c r="K3" s="3">
        <f>_xlfn.XLOOKUP(tbl_main[[#This Row],[Service]],tbl_service[Service],tbl_service[Price],"")</f>
        <v>500</v>
      </c>
      <c r="L3" s="3">
        <v>1</v>
      </c>
      <c r="M3" s="3">
        <f>IF(AND(tbl_main[[#This Row],[Price]]="",tbl_main[[#This Row],[Qty]]=""),"",tbl_main[[#This Row],[Price]]*tbl_main[[#This Row],[Qty]])</f>
        <v>500</v>
      </c>
      <c r="N3" s="3">
        <f>_xlfn.LET(_xlpm.x,_xlfn.XLOOKUP(tbl_main[[#This Row],[Service]],tbl_service[Service],tbl_service[Profit],""),
               IF(tbl_main[[#This Row],[Qty]]="","",_xlpm.x*tbl_main[[#This Row],[Qty]]))</f>
        <v>157</v>
      </c>
    </row>
    <row r="4" spans="1:14" x14ac:dyDescent="0.25">
      <c r="A4" t="s">
        <v>46</v>
      </c>
      <c r="B4" s="1">
        <v>45658</v>
      </c>
      <c r="C4">
        <f>IF(tbl_main[[#This Row],[Date]]="","",YEAR(B4))</f>
        <v>2025</v>
      </c>
      <c r="D4" t="str">
        <f>IF(tbl_main[[#This Row],[Date]]="","",TEXT(B4,"mmm"))</f>
        <v>Jan</v>
      </c>
      <c r="E4" t="str">
        <f>IF(tbl_main[[#This Row],[Date]]="","",TEXT(B4,"DDD"))</f>
        <v>Wed</v>
      </c>
      <c r="F4" t="s">
        <v>20</v>
      </c>
      <c r="G4" t="s">
        <v>21</v>
      </c>
      <c r="H4" s="3" t="s">
        <v>22</v>
      </c>
      <c r="I4" s="3" t="s">
        <v>23</v>
      </c>
      <c r="J4" s="3" t="s">
        <v>17</v>
      </c>
      <c r="K4" s="3">
        <f>_xlfn.XLOOKUP(tbl_main[[#This Row],[Service]],tbl_service[Service],tbl_service[Price],"")</f>
        <v>150</v>
      </c>
      <c r="L4" s="3">
        <v>2</v>
      </c>
      <c r="M4" s="3">
        <f>IF(AND(tbl_main[[#This Row],[Price]]="",tbl_main[[#This Row],[Qty]]=""),"",tbl_main[[#This Row],[Price]]*tbl_main[[#This Row],[Qty]])</f>
        <v>300</v>
      </c>
      <c r="N4" s="3">
        <f>_xlfn.LET(_xlpm.x,_xlfn.XLOOKUP(tbl_main[[#This Row],[Service]],tbl_service[Service],tbl_service[Profit],""),
               IF(tbl_main[[#This Row],[Qty]]="","",_xlpm.x*tbl_main[[#This Row],[Qty]]))</f>
        <v>134</v>
      </c>
    </row>
    <row r="5" spans="1:14" x14ac:dyDescent="0.25">
      <c r="A5" t="s">
        <v>47</v>
      </c>
      <c r="B5" s="1">
        <v>45658</v>
      </c>
      <c r="C5">
        <f>IF(tbl_main[[#This Row],[Date]]="","",YEAR(B5))</f>
        <v>2025</v>
      </c>
      <c r="D5" t="str">
        <f>IF(tbl_main[[#This Row],[Date]]="","",TEXT(B5,"mmm"))</f>
        <v>Jan</v>
      </c>
      <c r="E5" t="str">
        <f>IF(tbl_main[[#This Row],[Date]]="","",TEXT(B5,"DDD"))</f>
        <v>Wed</v>
      </c>
      <c r="F5" t="s">
        <v>13</v>
      </c>
      <c r="G5" t="s">
        <v>14</v>
      </c>
      <c r="H5" s="3" t="s">
        <v>24</v>
      </c>
      <c r="I5" s="3" t="s">
        <v>23</v>
      </c>
      <c r="J5" s="3" t="s">
        <v>17</v>
      </c>
      <c r="K5" s="3">
        <f>_xlfn.XLOOKUP(tbl_main[[#This Row],[Service]],tbl_service[Service],tbl_service[Price],"")</f>
        <v>80</v>
      </c>
      <c r="L5" s="3">
        <v>1</v>
      </c>
      <c r="M5" s="3">
        <f>IF(AND(tbl_main[[#This Row],[Price]]="",tbl_main[[#This Row],[Qty]]=""),"",tbl_main[[#This Row],[Price]]*tbl_main[[#This Row],[Qty]])</f>
        <v>80</v>
      </c>
      <c r="N5" s="3">
        <f>_xlfn.LET(_xlpm.x,_xlfn.XLOOKUP(tbl_main[[#This Row],[Service]],tbl_service[Service],tbl_service[Profit],""),
               IF(tbl_main[[#This Row],[Qty]]="","",_xlpm.x*tbl_main[[#This Row],[Qty]]))</f>
        <v>36</v>
      </c>
    </row>
    <row r="6" spans="1:14" x14ac:dyDescent="0.25">
      <c r="A6" t="s">
        <v>48</v>
      </c>
      <c r="B6" s="1">
        <v>45659</v>
      </c>
      <c r="C6">
        <f>IF(tbl_main[[#This Row],[Date]]="","",YEAR(B6))</f>
        <v>2025</v>
      </c>
      <c r="D6" t="str">
        <f>IF(tbl_main[[#This Row],[Date]]="","",TEXT(B6,"mmm"))</f>
        <v>Jan</v>
      </c>
      <c r="E6" t="str">
        <f>IF(tbl_main[[#This Row],[Date]]="","",TEXT(B6,"DDD"))</f>
        <v>Thu</v>
      </c>
      <c r="F6" t="s">
        <v>13</v>
      </c>
      <c r="G6" t="s">
        <v>14</v>
      </c>
      <c r="H6" s="3" t="s">
        <v>18</v>
      </c>
      <c r="I6" s="3" t="s">
        <v>23</v>
      </c>
      <c r="J6" s="3" t="s">
        <v>25</v>
      </c>
      <c r="K6" s="3">
        <f>_xlfn.XLOOKUP(tbl_main[[#This Row],[Service]],tbl_service[Service],tbl_service[Price],"")</f>
        <v>500</v>
      </c>
      <c r="L6" s="3">
        <v>1</v>
      </c>
      <c r="M6" s="3">
        <f>IF(AND(tbl_main[[#This Row],[Price]]="",tbl_main[[#This Row],[Qty]]=""),"",tbl_main[[#This Row],[Price]]*tbl_main[[#This Row],[Qty]])</f>
        <v>500</v>
      </c>
      <c r="N6" s="3">
        <f>_xlfn.LET(_xlpm.x,_xlfn.XLOOKUP(tbl_main[[#This Row],[Service]],tbl_service[Service],tbl_service[Profit],""),
               IF(tbl_main[[#This Row],[Qty]]="","",_xlpm.x*tbl_main[[#This Row],[Qty]]))</f>
        <v>157</v>
      </c>
    </row>
    <row r="7" spans="1:14" x14ac:dyDescent="0.25">
      <c r="A7" t="s">
        <v>49</v>
      </c>
      <c r="B7" s="1">
        <v>45659</v>
      </c>
      <c r="C7">
        <f>IF(tbl_main[[#This Row],[Date]]="","",YEAR(B7))</f>
        <v>2025</v>
      </c>
      <c r="D7" t="str">
        <f>IF(tbl_main[[#This Row],[Date]]="","",TEXT(B7,"mmm"))</f>
        <v>Jan</v>
      </c>
      <c r="E7" t="str">
        <f>IF(tbl_main[[#This Row],[Date]]="","",TEXT(B7,"DDD"))</f>
        <v>Thu</v>
      </c>
      <c r="F7" t="s">
        <v>13</v>
      </c>
      <c r="G7" t="s">
        <v>14</v>
      </c>
      <c r="H7" s="3" t="s">
        <v>26</v>
      </c>
      <c r="I7" s="3" t="s">
        <v>23</v>
      </c>
      <c r="J7" s="3" t="s">
        <v>25</v>
      </c>
      <c r="K7" s="3">
        <f>_xlfn.XLOOKUP(tbl_main[[#This Row],[Service]],tbl_service[Service],tbl_service[Price],"")</f>
        <v>200</v>
      </c>
      <c r="L7" s="3">
        <v>1</v>
      </c>
      <c r="M7" s="3">
        <f>IF(AND(tbl_main[[#This Row],[Price]]="",tbl_main[[#This Row],[Qty]]=""),"",tbl_main[[#This Row],[Price]]*tbl_main[[#This Row],[Qty]])</f>
        <v>200</v>
      </c>
      <c r="N7" s="3">
        <f>_xlfn.LET(_xlpm.x,_xlfn.XLOOKUP(tbl_main[[#This Row],[Service]],tbl_service[Service],tbl_service[Profit],""),
               IF(tbl_main[[#This Row],[Qty]]="","",_xlpm.x*tbl_main[[#This Row],[Qty]]))</f>
        <v>90</v>
      </c>
    </row>
    <row r="8" spans="1:14" x14ac:dyDescent="0.25">
      <c r="A8" t="s">
        <v>50</v>
      </c>
      <c r="B8" s="1">
        <v>45660</v>
      </c>
      <c r="C8">
        <f>IF(tbl_main[[#This Row],[Date]]="","",YEAR(B8))</f>
        <v>2025</v>
      </c>
      <c r="D8" t="str">
        <f>IF(tbl_main[[#This Row],[Date]]="","",TEXT(B8,"mmm"))</f>
        <v>Jan</v>
      </c>
      <c r="E8" t="str">
        <f>IF(tbl_main[[#This Row],[Date]]="","",TEXT(B8,"DDD"))</f>
        <v>Fri</v>
      </c>
      <c r="F8" t="s">
        <v>27</v>
      </c>
      <c r="G8" t="s">
        <v>28</v>
      </c>
      <c r="H8" s="3" t="s">
        <v>22</v>
      </c>
      <c r="I8" s="3" t="s">
        <v>23</v>
      </c>
      <c r="J8" s="3" t="s">
        <v>25</v>
      </c>
      <c r="K8" s="3">
        <f>_xlfn.XLOOKUP(tbl_main[[#This Row],[Service]],tbl_service[Service],tbl_service[Price],"")</f>
        <v>150</v>
      </c>
      <c r="L8" s="3">
        <v>1</v>
      </c>
      <c r="M8" s="3">
        <f>IF(AND(tbl_main[[#This Row],[Price]]="",tbl_main[[#This Row],[Qty]]=""),"",tbl_main[[#This Row],[Price]]*tbl_main[[#This Row],[Qty]])</f>
        <v>150</v>
      </c>
      <c r="N8" s="3">
        <f>_xlfn.LET(_xlpm.x,_xlfn.XLOOKUP(tbl_main[[#This Row],[Service]],tbl_service[Service],tbl_service[Profit],""),
               IF(tbl_main[[#This Row],[Qty]]="","",_xlpm.x*tbl_main[[#This Row],[Qty]]))</f>
        <v>67</v>
      </c>
    </row>
    <row r="9" spans="1:14" x14ac:dyDescent="0.25">
      <c r="A9" t="s">
        <v>51</v>
      </c>
      <c r="B9" s="1">
        <v>45660</v>
      </c>
      <c r="C9">
        <f>IF(tbl_main[[#This Row],[Date]]="","",YEAR(B9))</f>
        <v>2025</v>
      </c>
      <c r="D9" t="str">
        <f>IF(tbl_main[[#This Row],[Date]]="","",TEXT(B9,"mmm"))</f>
        <v>Jan</v>
      </c>
      <c r="E9" t="str">
        <f>IF(tbl_main[[#This Row],[Date]]="","",TEXT(B9,"DDD"))</f>
        <v>Fri</v>
      </c>
      <c r="F9" t="s">
        <v>20</v>
      </c>
      <c r="G9" t="s">
        <v>21</v>
      </c>
      <c r="H9" s="3" t="s">
        <v>26</v>
      </c>
      <c r="I9" s="3" t="s">
        <v>23</v>
      </c>
      <c r="J9" s="3" t="s">
        <v>17</v>
      </c>
      <c r="K9" s="3">
        <f>_xlfn.XLOOKUP(tbl_main[[#This Row],[Service]],tbl_service[Service],tbl_service[Price],"")</f>
        <v>200</v>
      </c>
      <c r="L9" s="3">
        <v>1</v>
      </c>
      <c r="M9" s="3">
        <f>IF(AND(tbl_main[[#This Row],[Price]]="",tbl_main[[#This Row],[Qty]]=""),"",tbl_main[[#This Row],[Price]]*tbl_main[[#This Row],[Qty]])</f>
        <v>200</v>
      </c>
      <c r="N9" s="3">
        <f>_xlfn.LET(_xlpm.x,_xlfn.XLOOKUP(tbl_main[[#This Row],[Service]],tbl_service[Service],tbl_service[Profit],""),
               IF(tbl_main[[#This Row],[Qty]]="","",_xlpm.x*tbl_main[[#This Row],[Qty]]))</f>
        <v>90</v>
      </c>
    </row>
    <row r="10" spans="1:14" x14ac:dyDescent="0.25">
      <c r="A10" t="s">
        <v>52</v>
      </c>
      <c r="B10" s="1">
        <v>45661</v>
      </c>
      <c r="C10">
        <f>IF(tbl_main[[#This Row],[Date]]="","",YEAR(B10))</f>
        <v>2025</v>
      </c>
      <c r="D10" t="str">
        <f>IF(tbl_main[[#This Row],[Date]]="","",TEXT(B10,"mmm"))</f>
        <v>Jan</v>
      </c>
      <c r="E10" t="str">
        <f>IF(tbl_main[[#This Row],[Date]]="","",TEXT(B10,"DDD"))</f>
        <v>Sat</v>
      </c>
      <c r="F10" t="s">
        <v>20</v>
      </c>
      <c r="G10" t="s">
        <v>29</v>
      </c>
      <c r="H10" s="3" t="s">
        <v>24</v>
      </c>
      <c r="I10" s="3" t="s">
        <v>23</v>
      </c>
      <c r="J10" s="3" t="s">
        <v>17</v>
      </c>
      <c r="K10" s="3">
        <f>_xlfn.XLOOKUP(tbl_main[[#This Row],[Service]],tbl_service[Service],tbl_service[Price],"")</f>
        <v>80</v>
      </c>
      <c r="L10" s="3">
        <v>2</v>
      </c>
      <c r="M10" s="3">
        <f>IF(AND(tbl_main[[#This Row],[Price]]="",tbl_main[[#This Row],[Qty]]=""),"",tbl_main[[#This Row],[Price]]*tbl_main[[#This Row],[Qty]])</f>
        <v>160</v>
      </c>
      <c r="N10" s="3">
        <f>_xlfn.LET(_xlpm.x,_xlfn.XLOOKUP(tbl_main[[#This Row],[Service]],tbl_service[Service],tbl_service[Profit],""),
               IF(tbl_main[[#This Row],[Qty]]="","",_xlpm.x*tbl_main[[#This Row],[Qty]]))</f>
        <v>72</v>
      </c>
    </row>
    <row r="11" spans="1:14" x14ac:dyDescent="0.25">
      <c r="A11" t="s">
        <v>53</v>
      </c>
      <c r="B11" s="1">
        <v>45661</v>
      </c>
      <c r="C11">
        <f>IF(tbl_main[[#This Row],[Date]]="","",YEAR(B11))</f>
        <v>2025</v>
      </c>
      <c r="D11" t="str">
        <f>IF(tbl_main[[#This Row],[Date]]="","",TEXT(B11,"mmm"))</f>
        <v>Jan</v>
      </c>
      <c r="E11" t="str">
        <f>IF(tbl_main[[#This Row],[Date]]="","",TEXT(B11,"DDD"))</f>
        <v>Sat</v>
      </c>
      <c r="F11" t="s">
        <v>30</v>
      </c>
      <c r="G11" t="s">
        <v>31</v>
      </c>
      <c r="H11" s="3" t="s">
        <v>24</v>
      </c>
      <c r="I11" s="3" t="s">
        <v>23</v>
      </c>
      <c r="J11" s="3" t="s">
        <v>17</v>
      </c>
      <c r="K11" s="3">
        <f>_xlfn.XLOOKUP(tbl_main[[#This Row],[Service]],tbl_service[Service],tbl_service[Price],"")</f>
        <v>80</v>
      </c>
      <c r="L11" s="3">
        <v>1</v>
      </c>
      <c r="M11" s="3">
        <f>IF(AND(tbl_main[[#This Row],[Price]]="",tbl_main[[#This Row],[Qty]]=""),"",tbl_main[[#This Row],[Price]]*tbl_main[[#This Row],[Qty]])</f>
        <v>80</v>
      </c>
      <c r="N11" s="3">
        <f>_xlfn.LET(_xlpm.x,_xlfn.XLOOKUP(tbl_main[[#This Row],[Service]],tbl_service[Service],tbl_service[Profit],""),
               IF(tbl_main[[#This Row],[Qty]]="","",_xlpm.x*tbl_main[[#This Row],[Qty]]))</f>
        <v>36</v>
      </c>
    </row>
    <row r="12" spans="1:14" x14ac:dyDescent="0.25">
      <c r="A12" t="s">
        <v>54</v>
      </c>
      <c r="B12" s="1">
        <v>45661</v>
      </c>
      <c r="C12">
        <f>IF(tbl_main[[#This Row],[Date]]="","",YEAR(B12))</f>
        <v>2025</v>
      </c>
      <c r="D12" t="str">
        <f>IF(tbl_main[[#This Row],[Date]]="","",TEXT(B12,"mmm"))</f>
        <v>Jan</v>
      </c>
      <c r="E12" t="str">
        <f>IF(tbl_main[[#This Row],[Date]]="","",TEXT(B12,"DDD"))</f>
        <v>Sat</v>
      </c>
      <c r="F12" t="s">
        <v>27</v>
      </c>
      <c r="G12" t="s">
        <v>28</v>
      </c>
      <c r="H12" s="3" t="s">
        <v>15</v>
      </c>
      <c r="I12" s="3" t="s">
        <v>23</v>
      </c>
      <c r="J12" s="3" t="s">
        <v>32</v>
      </c>
      <c r="K12" s="3">
        <f>_xlfn.XLOOKUP(tbl_main[[#This Row],[Service]],tbl_service[Service],tbl_service[Price],"")</f>
        <v>500</v>
      </c>
      <c r="L12" s="3">
        <v>1</v>
      </c>
      <c r="M12" s="3">
        <f>IF(AND(tbl_main[[#This Row],[Price]]="",tbl_main[[#This Row],[Qty]]=""),"",tbl_main[[#This Row],[Price]]*tbl_main[[#This Row],[Qty]])</f>
        <v>500</v>
      </c>
      <c r="N12" s="3">
        <f>_xlfn.LET(_xlpm.x,_xlfn.XLOOKUP(tbl_main[[#This Row],[Service]],tbl_service[Service],tbl_service[Profit],""),
               IF(tbl_main[[#This Row],[Qty]]="","",_xlpm.x*tbl_main[[#This Row],[Qty]]))</f>
        <v>225</v>
      </c>
    </row>
    <row r="13" spans="1:14" x14ac:dyDescent="0.25">
      <c r="A13" t="s">
        <v>55</v>
      </c>
      <c r="B13" s="1">
        <v>45661</v>
      </c>
      <c r="C13">
        <f>IF(tbl_main[[#This Row],[Date]]="","",YEAR(B13))</f>
        <v>2025</v>
      </c>
      <c r="D13" t="str">
        <f>IF(tbl_main[[#This Row],[Date]]="","",TEXT(B13,"mmm"))</f>
        <v>Jan</v>
      </c>
      <c r="E13" t="str">
        <f>IF(tbl_main[[#This Row],[Date]]="","",TEXT(B13,"DDD"))</f>
        <v>Sat</v>
      </c>
      <c r="F13" t="s">
        <v>27</v>
      </c>
      <c r="G13" t="s">
        <v>28</v>
      </c>
      <c r="H13" s="3" t="s">
        <v>26</v>
      </c>
      <c r="I13" s="3" t="s">
        <v>23</v>
      </c>
      <c r="J13" s="3" t="s">
        <v>25</v>
      </c>
      <c r="K13" s="3">
        <f>_xlfn.XLOOKUP(tbl_main[[#This Row],[Service]],tbl_service[Service],tbl_service[Price],"")</f>
        <v>200</v>
      </c>
      <c r="L13" s="3">
        <v>2</v>
      </c>
      <c r="M13" s="3">
        <f>IF(AND(tbl_main[[#This Row],[Price]]="",tbl_main[[#This Row],[Qty]]=""),"",tbl_main[[#This Row],[Price]]*tbl_main[[#This Row],[Qty]])</f>
        <v>400</v>
      </c>
      <c r="N13" s="3">
        <f>_xlfn.LET(_xlpm.x,_xlfn.XLOOKUP(tbl_main[[#This Row],[Service]],tbl_service[Service],tbl_service[Profit],""),
               IF(tbl_main[[#This Row],[Qty]]="","",_xlpm.x*tbl_main[[#This Row],[Qty]]))</f>
        <v>180</v>
      </c>
    </row>
    <row r="14" spans="1:14" x14ac:dyDescent="0.25">
      <c r="A14" t="s">
        <v>56</v>
      </c>
      <c r="B14" s="1">
        <v>45662</v>
      </c>
      <c r="C14">
        <f>IF(tbl_main[[#This Row],[Date]]="","",YEAR(B14))</f>
        <v>2025</v>
      </c>
      <c r="D14" t="str">
        <f>IF(tbl_main[[#This Row],[Date]]="","",TEXT(B14,"mmm"))</f>
        <v>Jan</v>
      </c>
      <c r="E14" t="str">
        <f>IF(tbl_main[[#This Row],[Date]]="","",TEXT(B14,"DDD"))</f>
        <v>Sun</v>
      </c>
      <c r="F14" t="s">
        <v>13</v>
      </c>
      <c r="G14" t="s">
        <v>33</v>
      </c>
      <c r="H14" s="3" t="s">
        <v>34</v>
      </c>
      <c r="I14" s="3" t="s">
        <v>23</v>
      </c>
      <c r="J14" s="3" t="s">
        <v>25</v>
      </c>
      <c r="K14" s="3">
        <f>_xlfn.XLOOKUP(tbl_main[[#This Row],[Service]],tbl_service[Service],tbl_service[Price],"")</f>
        <v>100</v>
      </c>
      <c r="L14" s="3">
        <v>2</v>
      </c>
      <c r="M14" s="3">
        <f>IF(AND(tbl_main[[#This Row],[Price]]="",tbl_main[[#This Row],[Qty]]=""),"",tbl_main[[#This Row],[Price]]*tbl_main[[#This Row],[Qty]])</f>
        <v>200</v>
      </c>
      <c r="N14" s="3">
        <f>_xlfn.LET(_xlpm.x,_xlfn.XLOOKUP(tbl_main[[#This Row],[Service]],tbl_service[Service],tbl_service[Profit],""),
               IF(tbl_main[[#This Row],[Qty]]="","",_xlpm.x*tbl_main[[#This Row],[Qty]]))</f>
        <v>90</v>
      </c>
    </row>
    <row r="15" spans="1:14" x14ac:dyDescent="0.25">
      <c r="A15" t="s">
        <v>57</v>
      </c>
      <c r="B15" s="1">
        <v>45662</v>
      </c>
      <c r="C15">
        <f>IF(tbl_main[[#This Row],[Date]]="","",YEAR(B15))</f>
        <v>2025</v>
      </c>
      <c r="D15" t="str">
        <f>IF(tbl_main[[#This Row],[Date]]="","",TEXT(B15,"mmm"))</f>
        <v>Jan</v>
      </c>
      <c r="E15" t="str">
        <f>IF(tbl_main[[#This Row],[Date]]="","",TEXT(B15,"DDD"))</f>
        <v>Sun</v>
      </c>
      <c r="F15" t="s">
        <v>13</v>
      </c>
      <c r="G15" t="s">
        <v>14</v>
      </c>
      <c r="H15" s="3" t="s">
        <v>18</v>
      </c>
      <c r="I15" s="3" t="s">
        <v>23</v>
      </c>
      <c r="J15" s="3" t="s">
        <v>17</v>
      </c>
      <c r="K15" s="3">
        <f>_xlfn.XLOOKUP(tbl_main[[#This Row],[Service]],tbl_service[Service],tbl_service[Price],"")</f>
        <v>500</v>
      </c>
      <c r="L15" s="3">
        <v>1</v>
      </c>
      <c r="M15" s="3">
        <f>IF(AND(tbl_main[[#This Row],[Price]]="",tbl_main[[#This Row],[Qty]]=""),"",tbl_main[[#This Row],[Price]]*tbl_main[[#This Row],[Qty]])</f>
        <v>500</v>
      </c>
      <c r="N15" s="3">
        <f>_xlfn.LET(_xlpm.x,_xlfn.XLOOKUP(tbl_main[[#This Row],[Service]],tbl_service[Service],tbl_service[Profit],""),
               IF(tbl_main[[#This Row],[Qty]]="","",_xlpm.x*tbl_main[[#This Row],[Qty]]))</f>
        <v>157</v>
      </c>
    </row>
    <row r="16" spans="1:14" x14ac:dyDescent="0.25">
      <c r="A16" t="s">
        <v>58</v>
      </c>
      <c r="B16" s="1">
        <v>45662</v>
      </c>
      <c r="C16">
        <f>IF(tbl_main[[#This Row],[Date]]="","",YEAR(B16))</f>
        <v>2025</v>
      </c>
      <c r="D16" t="str">
        <f>IF(tbl_main[[#This Row],[Date]]="","",TEXT(B16,"mmm"))</f>
        <v>Jan</v>
      </c>
      <c r="E16" t="str">
        <f>IF(tbl_main[[#This Row],[Date]]="","",TEXT(B16,"DDD"))</f>
        <v>Sun</v>
      </c>
      <c r="F16" t="s">
        <v>30</v>
      </c>
      <c r="G16" t="s">
        <v>31</v>
      </c>
      <c r="H16" s="3" t="s">
        <v>15</v>
      </c>
      <c r="I16" s="3" t="s">
        <v>23</v>
      </c>
      <c r="J16" s="3" t="s">
        <v>17</v>
      </c>
      <c r="K16" s="3">
        <f>_xlfn.XLOOKUP(tbl_main[[#This Row],[Service]],tbl_service[Service],tbl_service[Price],"")</f>
        <v>500</v>
      </c>
      <c r="L16" s="3">
        <v>1</v>
      </c>
      <c r="M16" s="3">
        <f>IF(AND(tbl_main[[#This Row],[Price]]="",tbl_main[[#This Row],[Qty]]=""),"",tbl_main[[#This Row],[Price]]*tbl_main[[#This Row],[Qty]])</f>
        <v>500</v>
      </c>
      <c r="N16" s="3">
        <f>_xlfn.LET(_xlpm.x,_xlfn.XLOOKUP(tbl_main[[#This Row],[Service]],tbl_service[Service],tbl_service[Profit],""),
               IF(tbl_main[[#This Row],[Qty]]="","",_xlpm.x*tbl_main[[#This Row],[Qty]]))</f>
        <v>225</v>
      </c>
    </row>
    <row r="17" spans="1:14" x14ac:dyDescent="0.25">
      <c r="A17" t="s">
        <v>59</v>
      </c>
      <c r="B17" s="1">
        <v>45662</v>
      </c>
      <c r="C17">
        <f>IF(tbl_main[[#This Row],[Date]]="","",YEAR(B17))</f>
        <v>2025</v>
      </c>
      <c r="D17" t="str">
        <f>IF(tbl_main[[#This Row],[Date]]="","",TEXT(B17,"mmm"))</f>
        <v>Jan</v>
      </c>
      <c r="E17" t="str">
        <f>IF(tbl_main[[#This Row],[Date]]="","",TEXT(B17,"DDD"))</f>
        <v>Sun</v>
      </c>
      <c r="F17" t="s">
        <v>27</v>
      </c>
      <c r="G17" t="s">
        <v>28</v>
      </c>
      <c r="H17" s="3" t="s">
        <v>15</v>
      </c>
      <c r="I17" s="3" t="s">
        <v>35</v>
      </c>
      <c r="J17" s="3" t="s">
        <v>32</v>
      </c>
      <c r="K17" s="3">
        <f>_xlfn.XLOOKUP(tbl_main[[#This Row],[Service]],tbl_service[Service],tbl_service[Price],"")</f>
        <v>500</v>
      </c>
      <c r="L17" s="3">
        <v>1</v>
      </c>
      <c r="M17" s="3">
        <f>IF(AND(tbl_main[[#This Row],[Price]]="",tbl_main[[#This Row],[Qty]]=""),"",tbl_main[[#This Row],[Price]]*tbl_main[[#This Row],[Qty]])</f>
        <v>500</v>
      </c>
      <c r="N17" s="3">
        <f>_xlfn.LET(_xlpm.x,_xlfn.XLOOKUP(tbl_main[[#This Row],[Service]],tbl_service[Service],tbl_service[Profit],""),
               IF(tbl_main[[#This Row],[Qty]]="","",_xlpm.x*tbl_main[[#This Row],[Qty]]))</f>
        <v>225</v>
      </c>
    </row>
    <row r="18" spans="1:14" x14ac:dyDescent="0.25">
      <c r="A18" t="s">
        <v>60</v>
      </c>
      <c r="B18" s="1">
        <v>45663</v>
      </c>
      <c r="C18">
        <f>IF(tbl_main[[#This Row],[Date]]="","",YEAR(B18))</f>
        <v>2025</v>
      </c>
      <c r="D18" t="str">
        <f>IF(tbl_main[[#This Row],[Date]]="","",TEXT(B18,"mmm"))</f>
        <v>Jan</v>
      </c>
      <c r="E18" t="str">
        <f>IF(tbl_main[[#This Row],[Date]]="","",TEXT(B18,"DDD"))</f>
        <v>Mon</v>
      </c>
      <c r="F18" t="s">
        <v>13</v>
      </c>
      <c r="G18" t="s">
        <v>14</v>
      </c>
      <c r="H18" s="3" t="s">
        <v>15</v>
      </c>
      <c r="I18" s="3" t="s">
        <v>35</v>
      </c>
      <c r="J18" s="3" t="s">
        <v>17</v>
      </c>
      <c r="K18" s="3">
        <f>_xlfn.XLOOKUP(tbl_main[[#This Row],[Service]],tbl_service[Service],tbl_service[Price],"")</f>
        <v>500</v>
      </c>
      <c r="L18" s="3">
        <v>1</v>
      </c>
      <c r="M18" s="3">
        <f>IF(AND(tbl_main[[#This Row],[Price]]="",tbl_main[[#This Row],[Qty]]=""),"",tbl_main[[#This Row],[Price]]*tbl_main[[#This Row],[Qty]])</f>
        <v>500</v>
      </c>
      <c r="N18" s="3">
        <f>_xlfn.LET(_xlpm.x,_xlfn.XLOOKUP(tbl_main[[#This Row],[Service]],tbl_service[Service],tbl_service[Profit],""),
               IF(tbl_main[[#This Row],[Qty]]="","",_xlpm.x*tbl_main[[#This Row],[Qty]]))</f>
        <v>225</v>
      </c>
    </row>
    <row r="19" spans="1:14" x14ac:dyDescent="0.25">
      <c r="A19" t="s">
        <v>61</v>
      </c>
      <c r="B19" s="1">
        <v>45663</v>
      </c>
      <c r="C19">
        <f>IF(tbl_main[[#This Row],[Date]]="","",YEAR(B19))</f>
        <v>2025</v>
      </c>
      <c r="D19" t="str">
        <f>IF(tbl_main[[#This Row],[Date]]="","",TEXT(B19,"mmm"))</f>
        <v>Jan</v>
      </c>
      <c r="E19" t="str">
        <f>IF(tbl_main[[#This Row],[Date]]="","",TEXT(B19,"DDD"))</f>
        <v>Mon</v>
      </c>
      <c r="F19" t="s">
        <v>20</v>
      </c>
      <c r="G19" t="s">
        <v>21</v>
      </c>
      <c r="H19" s="3" t="s">
        <v>26</v>
      </c>
      <c r="I19" s="3" t="s">
        <v>23</v>
      </c>
      <c r="J19" s="3" t="s">
        <v>25</v>
      </c>
      <c r="K19" s="3">
        <f>_xlfn.XLOOKUP(tbl_main[[#This Row],[Service]],tbl_service[Service],tbl_service[Price],"")</f>
        <v>200</v>
      </c>
      <c r="L19" s="3">
        <v>2</v>
      </c>
      <c r="M19" s="3">
        <f>IF(AND(tbl_main[[#This Row],[Price]]="",tbl_main[[#This Row],[Qty]]=""),"",tbl_main[[#This Row],[Price]]*tbl_main[[#This Row],[Qty]])</f>
        <v>400</v>
      </c>
      <c r="N19" s="3">
        <f>_xlfn.LET(_xlpm.x,_xlfn.XLOOKUP(tbl_main[[#This Row],[Service]],tbl_service[Service],tbl_service[Profit],""),
               IF(tbl_main[[#This Row],[Qty]]="","",_xlpm.x*tbl_main[[#This Row],[Qty]]))</f>
        <v>180</v>
      </c>
    </row>
    <row r="20" spans="1:14" x14ac:dyDescent="0.25">
      <c r="A20" t="s">
        <v>62</v>
      </c>
      <c r="B20" s="1">
        <v>45663</v>
      </c>
      <c r="C20">
        <f>IF(tbl_main[[#This Row],[Date]]="","",YEAR(B20))</f>
        <v>2025</v>
      </c>
      <c r="D20" t="str">
        <f>IF(tbl_main[[#This Row],[Date]]="","",TEXT(B20,"mmm"))</f>
        <v>Jan</v>
      </c>
      <c r="E20" t="str">
        <f>IF(tbl_main[[#This Row],[Date]]="","",TEXT(B20,"DDD"))</f>
        <v>Mon</v>
      </c>
      <c r="F20" t="s">
        <v>30</v>
      </c>
      <c r="G20" t="s">
        <v>36</v>
      </c>
      <c r="H20" s="3" t="s">
        <v>18</v>
      </c>
      <c r="I20" s="3" t="s">
        <v>37</v>
      </c>
      <c r="J20" s="3" t="s">
        <v>32</v>
      </c>
      <c r="K20" s="3">
        <f>_xlfn.XLOOKUP(tbl_main[[#This Row],[Service]],tbl_service[Service],tbl_service[Price],"")</f>
        <v>500</v>
      </c>
      <c r="L20" s="3">
        <v>1</v>
      </c>
      <c r="M20" s="3">
        <f>IF(AND(tbl_main[[#This Row],[Price]]="",tbl_main[[#This Row],[Qty]]=""),"",tbl_main[[#This Row],[Price]]*tbl_main[[#This Row],[Qty]])</f>
        <v>500</v>
      </c>
      <c r="N20" s="3">
        <f>_xlfn.LET(_xlpm.x,_xlfn.XLOOKUP(tbl_main[[#This Row],[Service]],tbl_service[Service],tbl_service[Profit],""),
               IF(tbl_main[[#This Row],[Qty]]="","",_xlpm.x*tbl_main[[#This Row],[Qty]]))</f>
        <v>157</v>
      </c>
    </row>
    <row r="21" spans="1:14" x14ac:dyDescent="0.25">
      <c r="A21" t="s">
        <v>63</v>
      </c>
      <c r="B21" s="1">
        <v>45663</v>
      </c>
      <c r="C21">
        <f>IF(tbl_main[[#This Row],[Date]]="","",YEAR(B21))</f>
        <v>2025</v>
      </c>
      <c r="D21" t="str">
        <f>IF(tbl_main[[#This Row],[Date]]="","",TEXT(B21,"mmm"))</f>
        <v>Jan</v>
      </c>
      <c r="E21" t="str">
        <f>IF(tbl_main[[#This Row],[Date]]="","",TEXT(B21,"DDD"))</f>
        <v>Mon</v>
      </c>
      <c r="F21" t="s">
        <v>30</v>
      </c>
      <c r="G21" t="s">
        <v>36</v>
      </c>
      <c r="H21" s="3" t="s">
        <v>15</v>
      </c>
      <c r="I21" s="3" t="s">
        <v>38</v>
      </c>
      <c r="J21" s="3" t="s">
        <v>25</v>
      </c>
      <c r="K21" s="3">
        <f>_xlfn.XLOOKUP(tbl_main[[#This Row],[Service]],tbl_service[Service],tbl_service[Price],"")</f>
        <v>500</v>
      </c>
      <c r="L21" s="3">
        <v>2</v>
      </c>
      <c r="M21" s="3">
        <f>IF(AND(tbl_main[[#This Row],[Price]]="",tbl_main[[#This Row],[Qty]]=""),"",tbl_main[[#This Row],[Price]]*tbl_main[[#This Row],[Qty]])</f>
        <v>1000</v>
      </c>
      <c r="N21" s="3">
        <f>_xlfn.LET(_xlpm.x,_xlfn.XLOOKUP(tbl_main[[#This Row],[Service]],tbl_service[Service],tbl_service[Profit],""),
               IF(tbl_main[[#This Row],[Qty]]="","",_xlpm.x*tbl_main[[#This Row],[Qty]]))</f>
        <v>450</v>
      </c>
    </row>
    <row r="22" spans="1:14" x14ac:dyDescent="0.25">
      <c r="A22" t="s">
        <v>64</v>
      </c>
      <c r="B22" s="1">
        <v>45664</v>
      </c>
      <c r="C22">
        <f>IF(tbl_main[[#This Row],[Date]]="","",YEAR(B22))</f>
        <v>2025</v>
      </c>
      <c r="D22" t="str">
        <f>IF(tbl_main[[#This Row],[Date]]="","",TEXT(B22,"mmm"))</f>
        <v>Jan</v>
      </c>
      <c r="E22" t="str">
        <f>IF(tbl_main[[#This Row],[Date]]="","",TEXT(B22,"DDD"))</f>
        <v>Tue</v>
      </c>
      <c r="F22" t="s">
        <v>13</v>
      </c>
      <c r="G22" t="s">
        <v>14</v>
      </c>
      <c r="H22" s="3" t="s">
        <v>26</v>
      </c>
      <c r="I22" s="3" t="s">
        <v>16</v>
      </c>
      <c r="J22" s="3" t="s">
        <v>17</v>
      </c>
      <c r="K22" s="3">
        <f>_xlfn.XLOOKUP(tbl_main[[#This Row],[Service]],tbl_service[Service],tbl_service[Price],"")</f>
        <v>200</v>
      </c>
      <c r="L22" s="3">
        <v>1</v>
      </c>
      <c r="M22" s="3">
        <f>IF(AND(tbl_main[[#This Row],[Price]]="",tbl_main[[#This Row],[Qty]]=""),"",tbl_main[[#This Row],[Price]]*tbl_main[[#This Row],[Qty]])</f>
        <v>200</v>
      </c>
      <c r="N22" s="3">
        <f>_xlfn.LET(_xlpm.x,_xlfn.XLOOKUP(tbl_main[[#This Row],[Service]],tbl_service[Service],tbl_service[Profit],""),
               IF(tbl_main[[#This Row],[Qty]]="","",_xlpm.x*tbl_main[[#This Row],[Qty]]))</f>
        <v>90</v>
      </c>
    </row>
    <row r="23" spans="1:14" x14ac:dyDescent="0.25">
      <c r="A23" t="s">
        <v>65</v>
      </c>
      <c r="B23" s="1">
        <v>45664</v>
      </c>
      <c r="C23">
        <f>IF(tbl_main[[#This Row],[Date]]="","",YEAR(B23))</f>
        <v>2025</v>
      </c>
      <c r="D23" t="str">
        <f>IF(tbl_main[[#This Row],[Date]]="","",TEXT(B23,"mmm"))</f>
        <v>Jan</v>
      </c>
      <c r="E23" t="str">
        <f>IF(tbl_main[[#This Row],[Date]]="","",TEXT(B23,"DDD"))</f>
        <v>Tue</v>
      </c>
      <c r="F23" t="s">
        <v>30</v>
      </c>
      <c r="G23" t="s">
        <v>36</v>
      </c>
      <c r="H23" s="3" t="s">
        <v>15</v>
      </c>
      <c r="I23" s="3" t="s">
        <v>19</v>
      </c>
      <c r="J23" s="3" t="s">
        <v>17</v>
      </c>
      <c r="K23" s="3">
        <f>_xlfn.XLOOKUP(tbl_main[[#This Row],[Service]],tbl_service[Service],tbl_service[Price],"")</f>
        <v>500</v>
      </c>
      <c r="L23" s="3">
        <v>1</v>
      </c>
      <c r="M23" s="3">
        <f>IF(AND(tbl_main[[#This Row],[Price]]="",tbl_main[[#This Row],[Qty]]=""),"",tbl_main[[#This Row],[Price]]*tbl_main[[#This Row],[Qty]])</f>
        <v>500</v>
      </c>
      <c r="N23" s="3">
        <f>_xlfn.LET(_xlpm.x,_xlfn.XLOOKUP(tbl_main[[#This Row],[Service]],tbl_service[Service],tbl_service[Profit],""),
               IF(tbl_main[[#This Row],[Qty]]="","",_xlpm.x*tbl_main[[#This Row],[Qty]]))</f>
        <v>225</v>
      </c>
    </row>
    <row r="24" spans="1:14" x14ac:dyDescent="0.25">
      <c r="A24" t="s">
        <v>66</v>
      </c>
      <c r="B24" s="1">
        <v>45664</v>
      </c>
      <c r="C24">
        <f>IF(tbl_main[[#This Row],[Date]]="","",YEAR(B24))</f>
        <v>2025</v>
      </c>
      <c r="D24" t="str">
        <f>IF(tbl_main[[#This Row],[Date]]="","",TEXT(B24,"mmm"))</f>
        <v>Jan</v>
      </c>
      <c r="E24" t="str">
        <f>IF(tbl_main[[#This Row],[Date]]="","",TEXT(B24,"DDD"))</f>
        <v>Tue</v>
      </c>
      <c r="F24" t="s">
        <v>27</v>
      </c>
      <c r="G24" t="s">
        <v>28</v>
      </c>
      <c r="H24" s="3" t="s">
        <v>18</v>
      </c>
      <c r="I24" s="3" t="s">
        <v>23</v>
      </c>
      <c r="J24" s="3" t="s">
        <v>17</v>
      </c>
      <c r="K24" s="3">
        <f>_xlfn.XLOOKUP(tbl_main[[#This Row],[Service]],tbl_service[Service],tbl_service[Price],"")</f>
        <v>500</v>
      </c>
      <c r="L24" s="3">
        <v>2</v>
      </c>
      <c r="M24" s="3">
        <f>IF(AND(tbl_main[[#This Row],[Price]]="",tbl_main[[#This Row],[Qty]]=""),"",tbl_main[[#This Row],[Price]]*tbl_main[[#This Row],[Qty]])</f>
        <v>1000</v>
      </c>
      <c r="N24" s="3">
        <f>_xlfn.LET(_xlpm.x,_xlfn.XLOOKUP(tbl_main[[#This Row],[Service]],tbl_service[Service],tbl_service[Profit],""),
               IF(tbl_main[[#This Row],[Qty]]="","",_xlpm.x*tbl_main[[#This Row],[Qty]]))</f>
        <v>314</v>
      </c>
    </row>
    <row r="25" spans="1:14" x14ac:dyDescent="0.25">
      <c r="A25" t="s">
        <v>67</v>
      </c>
      <c r="B25" s="1">
        <v>45665</v>
      </c>
      <c r="C25">
        <f>IF(tbl_main[[#This Row],[Date]]="","",YEAR(B25))</f>
        <v>2025</v>
      </c>
      <c r="D25" t="str">
        <f>IF(tbl_main[[#This Row],[Date]]="","",TEXT(B25,"mmm"))</f>
        <v>Jan</v>
      </c>
      <c r="E25" t="str">
        <f>IF(tbl_main[[#This Row],[Date]]="","",TEXT(B25,"DDD"))</f>
        <v>Wed</v>
      </c>
      <c r="F25" t="s">
        <v>13</v>
      </c>
      <c r="G25" t="s">
        <v>14</v>
      </c>
      <c r="H25" s="3" t="s">
        <v>22</v>
      </c>
      <c r="I25" s="3" t="s">
        <v>19</v>
      </c>
      <c r="J25" s="3" t="s">
        <v>17</v>
      </c>
      <c r="K25" s="3">
        <f>_xlfn.XLOOKUP(tbl_main[[#This Row],[Service]],tbl_service[Service],tbl_service[Price],"")</f>
        <v>150</v>
      </c>
      <c r="L25" s="3">
        <v>2</v>
      </c>
      <c r="M25" s="3">
        <f>IF(AND(tbl_main[[#This Row],[Price]]="",tbl_main[[#This Row],[Qty]]=""),"",tbl_main[[#This Row],[Price]]*tbl_main[[#This Row],[Qty]])</f>
        <v>300</v>
      </c>
      <c r="N25" s="3">
        <f>_xlfn.LET(_xlpm.x,_xlfn.XLOOKUP(tbl_main[[#This Row],[Service]],tbl_service[Service],tbl_service[Profit],""),
               IF(tbl_main[[#This Row],[Qty]]="","",_xlpm.x*tbl_main[[#This Row],[Qty]]))</f>
        <v>134</v>
      </c>
    </row>
    <row r="26" spans="1:14" x14ac:dyDescent="0.25">
      <c r="A26" t="s">
        <v>68</v>
      </c>
      <c r="B26" s="1">
        <v>45665</v>
      </c>
      <c r="C26">
        <f>IF(tbl_main[[#This Row],[Date]]="","",YEAR(B26))</f>
        <v>2025</v>
      </c>
      <c r="D26" t="str">
        <f>IF(tbl_main[[#This Row],[Date]]="","",TEXT(B26,"mmm"))</f>
        <v>Jan</v>
      </c>
      <c r="E26" t="str">
        <f>IF(tbl_main[[#This Row],[Date]]="","",TEXT(B26,"DDD"))</f>
        <v>Wed</v>
      </c>
      <c r="F26" t="s">
        <v>20</v>
      </c>
      <c r="G26" t="s">
        <v>39</v>
      </c>
      <c r="H26" s="3" t="s">
        <v>26</v>
      </c>
      <c r="I26" s="3" t="s">
        <v>19</v>
      </c>
      <c r="J26" s="3" t="s">
        <v>25</v>
      </c>
      <c r="K26" s="3">
        <f>_xlfn.XLOOKUP(tbl_main[[#This Row],[Service]],tbl_service[Service],tbl_service[Price],"")</f>
        <v>200</v>
      </c>
      <c r="L26" s="3">
        <v>1</v>
      </c>
      <c r="M26" s="3">
        <f>IF(AND(tbl_main[[#This Row],[Price]]="",tbl_main[[#This Row],[Qty]]=""),"",tbl_main[[#This Row],[Price]]*tbl_main[[#This Row],[Qty]])</f>
        <v>200</v>
      </c>
      <c r="N26" s="3">
        <f>_xlfn.LET(_xlpm.x,_xlfn.XLOOKUP(tbl_main[[#This Row],[Service]],tbl_service[Service],tbl_service[Profit],""),
               IF(tbl_main[[#This Row],[Qty]]="","",_xlpm.x*tbl_main[[#This Row],[Qty]]))</f>
        <v>90</v>
      </c>
    </row>
    <row r="27" spans="1:14" x14ac:dyDescent="0.25">
      <c r="A27" t="s">
        <v>69</v>
      </c>
      <c r="B27" s="1">
        <v>45665</v>
      </c>
      <c r="C27">
        <f>IF(tbl_main[[#This Row],[Date]]="","",YEAR(B27))</f>
        <v>2025</v>
      </c>
      <c r="D27" t="str">
        <f>IF(tbl_main[[#This Row],[Date]]="","",TEXT(B27,"mmm"))</f>
        <v>Jan</v>
      </c>
      <c r="E27" t="str">
        <f>IF(tbl_main[[#This Row],[Date]]="","",TEXT(B27,"DDD"))</f>
        <v>Wed</v>
      </c>
      <c r="F27" t="s">
        <v>30</v>
      </c>
      <c r="G27" t="s">
        <v>36</v>
      </c>
      <c r="H27" s="3" t="s">
        <v>18</v>
      </c>
      <c r="I27" s="3" t="s">
        <v>35</v>
      </c>
      <c r="J27" s="3" t="s">
        <v>32</v>
      </c>
      <c r="K27" s="3">
        <f>_xlfn.XLOOKUP(tbl_main[[#This Row],[Service]],tbl_service[Service],tbl_service[Price],"")</f>
        <v>500</v>
      </c>
      <c r="L27" s="3">
        <v>2</v>
      </c>
      <c r="M27" s="3">
        <f>IF(AND(tbl_main[[#This Row],[Price]]="",tbl_main[[#This Row],[Qty]]=""),"",tbl_main[[#This Row],[Price]]*tbl_main[[#This Row],[Qty]])</f>
        <v>1000</v>
      </c>
      <c r="N27" s="3">
        <f>_xlfn.LET(_xlpm.x,_xlfn.XLOOKUP(tbl_main[[#This Row],[Service]],tbl_service[Service],tbl_service[Profit],""),
               IF(tbl_main[[#This Row],[Qty]]="","",_xlpm.x*tbl_main[[#This Row],[Qty]]))</f>
        <v>314</v>
      </c>
    </row>
    <row r="28" spans="1:14" x14ac:dyDescent="0.25">
      <c r="A28" t="s">
        <v>70</v>
      </c>
      <c r="B28" s="1">
        <v>45666</v>
      </c>
      <c r="C28">
        <f>IF(tbl_main[[#This Row],[Date]]="","",YEAR(B28))</f>
        <v>2025</v>
      </c>
      <c r="D28" t="str">
        <f>IF(tbl_main[[#This Row],[Date]]="","",TEXT(B28,"mmm"))</f>
        <v>Jan</v>
      </c>
      <c r="E28" t="str">
        <f>IF(tbl_main[[#This Row],[Date]]="","",TEXT(B28,"DDD"))</f>
        <v>Thu</v>
      </c>
      <c r="F28" t="s">
        <v>20</v>
      </c>
      <c r="G28" t="s">
        <v>39</v>
      </c>
      <c r="H28" s="3" t="s">
        <v>22</v>
      </c>
      <c r="I28" s="3" t="s">
        <v>35</v>
      </c>
      <c r="J28" s="3" t="s">
        <v>32</v>
      </c>
      <c r="K28" s="3">
        <f>_xlfn.XLOOKUP(tbl_main[[#This Row],[Service]],tbl_service[Service],tbl_service[Price],"")</f>
        <v>150</v>
      </c>
      <c r="L28" s="3">
        <v>2</v>
      </c>
      <c r="M28" s="3">
        <f>IF(AND(tbl_main[[#This Row],[Price]]="",tbl_main[[#This Row],[Qty]]=""),"",tbl_main[[#This Row],[Price]]*tbl_main[[#This Row],[Qty]])</f>
        <v>300</v>
      </c>
      <c r="N28" s="3">
        <f>_xlfn.LET(_xlpm.x,_xlfn.XLOOKUP(tbl_main[[#This Row],[Service]],tbl_service[Service],tbl_service[Profit],""),
               IF(tbl_main[[#This Row],[Qty]]="","",_xlpm.x*tbl_main[[#This Row],[Qty]]))</f>
        <v>134</v>
      </c>
    </row>
    <row r="29" spans="1:14" x14ac:dyDescent="0.25">
      <c r="A29" t="s">
        <v>71</v>
      </c>
      <c r="B29" s="1">
        <v>45666</v>
      </c>
      <c r="C29">
        <f>IF(tbl_main[[#This Row],[Date]]="","",YEAR(B29))</f>
        <v>2025</v>
      </c>
      <c r="D29" t="str">
        <f>IF(tbl_main[[#This Row],[Date]]="","",TEXT(B29,"mmm"))</f>
        <v>Jan</v>
      </c>
      <c r="E29" t="str">
        <f>IF(tbl_main[[#This Row],[Date]]="","",TEXT(B29,"DDD"))</f>
        <v>Thu</v>
      </c>
      <c r="F29" t="s">
        <v>27</v>
      </c>
      <c r="G29" t="s">
        <v>28</v>
      </c>
      <c r="H29" s="3" t="s">
        <v>34</v>
      </c>
      <c r="I29" s="3" t="s">
        <v>23</v>
      </c>
      <c r="J29" s="3" t="s">
        <v>25</v>
      </c>
      <c r="K29" s="3">
        <f>_xlfn.XLOOKUP(tbl_main[[#This Row],[Service]],tbl_service[Service],tbl_service[Price],"")</f>
        <v>100</v>
      </c>
      <c r="L29" s="3">
        <v>1</v>
      </c>
      <c r="M29" s="3">
        <f>IF(AND(tbl_main[[#This Row],[Price]]="",tbl_main[[#This Row],[Qty]]=""),"",tbl_main[[#This Row],[Price]]*tbl_main[[#This Row],[Qty]])</f>
        <v>100</v>
      </c>
      <c r="N29" s="3">
        <f>_xlfn.LET(_xlpm.x,_xlfn.XLOOKUP(tbl_main[[#This Row],[Service]],tbl_service[Service],tbl_service[Profit],""),
               IF(tbl_main[[#This Row],[Qty]]="","",_xlpm.x*tbl_main[[#This Row],[Qty]]))</f>
        <v>45</v>
      </c>
    </row>
    <row r="30" spans="1:14" x14ac:dyDescent="0.25">
      <c r="A30" t="s">
        <v>72</v>
      </c>
      <c r="B30" s="1">
        <v>45666</v>
      </c>
      <c r="C30">
        <f>IF(tbl_main[[#This Row],[Date]]="","",YEAR(B30))</f>
        <v>2025</v>
      </c>
      <c r="D30" t="str">
        <f>IF(tbl_main[[#This Row],[Date]]="","",TEXT(B30,"mmm"))</f>
        <v>Jan</v>
      </c>
      <c r="E30" t="str">
        <f>IF(tbl_main[[#This Row],[Date]]="","",TEXT(B30,"DDD"))</f>
        <v>Thu</v>
      </c>
      <c r="F30" t="s">
        <v>30</v>
      </c>
      <c r="G30" t="s">
        <v>31</v>
      </c>
      <c r="H30" s="3" t="s">
        <v>34</v>
      </c>
      <c r="I30" s="3" t="s">
        <v>37</v>
      </c>
      <c r="J30" s="3" t="s">
        <v>32</v>
      </c>
      <c r="K30" s="3">
        <f>_xlfn.XLOOKUP(tbl_main[[#This Row],[Service]],tbl_service[Service],tbl_service[Price],"")</f>
        <v>100</v>
      </c>
      <c r="L30" s="3">
        <v>1</v>
      </c>
      <c r="M30" s="3">
        <f>IF(AND(tbl_main[[#This Row],[Price]]="",tbl_main[[#This Row],[Qty]]=""),"",tbl_main[[#This Row],[Price]]*tbl_main[[#This Row],[Qty]])</f>
        <v>100</v>
      </c>
      <c r="N30" s="3">
        <f>_xlfn.LET(_xlpm.x,_xlfn.XLOOKUP(tbl_main[[#This Row],[Service]],tbl_service[Service],tbl_service[Profit],""),
               IF(tbl_main[[#This Row],[Qty]]="","",_xlpm.x*tbl_main[[#This Row],[Qty]]))</f>
        <v>45</v>
      </c>
    </row>
    <row r="31" spans="1:14" x14ac:dyDescent="0.25">
      <c r="A31" t="s">
        <v>73</v>
      </c>
      <c r="B31" s="1">
        <v>45666</v>
      </c>
      <c r="C31">
        <f>IF(tbl_main[[#This Row],[Date]]="","",YEAR(B31))</f>
        <v>2025</v>
      </c>
      <c r="D31" t="str">
        <f>IF(tbl_main[[#This Row],[Date]]="","",TEXT(B31,"mmm"))</f>
        <v>Jan</v>
      </c>
      <c r="E31" t="str">
        <f>IF(tbl_main[[#This Row],[Date]]="","",TEXT(B31,"DDD"))</f>
        <v>Thu</v>
      </c>
      <c r="F31" t="s">
        <v>30</v>
      </c>
      <c r="G31" t="s">
        <v>31</v>
      </c>
      <c r="H31" s="3" t="s">
        <v>18</v>
      </c>
      <c r="I31" s="3" t="s">
        <v>38</v>
      </c>
      <c r="J31" s="3" t="s">
        <v>25</v>
      </c>
      <c r="K31" s="3">
        <f>_xlfn.XLOOKUP(tbl_main[[#This Row],[Service]],tbl_service[Service],tbl_service[Price],"")</f>
        <v>500</v>
      </c>
      <c r="L31" s="3">
        <v>1</v>
      </c>
      <c r="M31" s="3">
        <f>IF(AND(tbl_main[[#This Row],[Price]]="",tbl_main[[#This Row],[Qty]]=""),"",tbl_main[[#This Row],[Price]]*tbl_main[[#This Row],[Qty]])</f>
        <v>500</v>
      </c>
      <c r="N31" s="3">
        <f>_xlfn.LET(_xlpm.x,_xlfn.XLOOKUP(tbl_main[[#This Row],[Service]],tbl_service[Service],tbl_service[Profit],""),
               IF(tbl_main[[#This Row],[Qty]]="","",_xlpm.x*tbl_main[[#This Row],[Qty]]))</f>
        <v>157</v>
      </c>
    </row>
    <row r="32" spans="1:14" x14ac:dyDescent="0.25">
      <c r="A32" t="s">
        <v>74</v>
      </c>
      <c r="B32" s="1">
        <v>45667</v>
      </c>
      <c r="C32">
        <f>IF(tbl_main[[#This Row],[Date]]="","",YEAR(B32))</f>
        <v>2025</v>
      </c>
      <c r="D32" t="str">
        <f>IF(tbl_main[[#This Row],[Date]]="","",TEXT(B32,"mmm"))</f>
        <v>Jan</v>
      </c>
      <c r="E32" t="str">
        <f>IF(tbl_main[[#This Row],[Date]]="","",TEXT(B32,"DDD"))</f>
        <v>Fri</v>
      </c>
      <c r="F32" t="s">
        <v>27</v>
      </c>
      <c r="G32" t="s">
        <v>40</v>
      </c>
      <c r="H32" s="3" t="s">
        <v>26</v>
      </c>
      <c r="I32" s="3" t="s">
        <v>16</v>
      </c>
      <c r="J32" s="3" t="s">
        <v>17</v>
      </c>
      <c r="K32" s="3">
        <f>_xlfn.XLOOKUP(tbl_main[[#This Row],[Service]],tbl_service[Service],tbl_service[Price],"")</f>
        <v>200</v>
      </c>
      <c r="L32" s="3">
        <v>2</v>
      </c>
      <c r="M32" s="3">
        <f>IF(AND(tbl_main[[#This Row],[Price]]="",tbl_main[[#This Row],[Qty]]=""),"",tbl_main[[#This Row],[Price]]*tbl_main[[#This Row],[Qty]])</f>
        <v>400</v>
      </c>
      <c r="N32" s="3">
        <f>_xlfn.LET(_xlpm.x,_xlfn.XLOOKUP(tbl_main[[#This Row],[Service]],tbl_service[Service],tbl_service[Profit],""),
               IF(tbl_main[[#This Row],[Qty]]="","",_xlpm.x*tbl_main[[#This Row],[Qty]]))</f>
        <v>180</v>
      </c>
    </row>
    <row r="33" spans="1:14" x14ac:dyDescent="0.25">
      <c r="A33" t="s">
        <v>75</v>
      </c>
      <c r="B33" s="1">
        <v>45667</v>
      </c>
      <c r="C33">
        <f>IF(tbl_main[[#This Row],[Date]]="","",YEAR(B33))</f>
        <v>2025</v>
      </c>
      <c r="D33" t="str">
        <f>IF(tbl_main[[#This Row],[Date]]="","",TEXT(B33,"mmm"))</f>
        <v>Jan</v>
      </c>
      <c r="E33" t="str">
        <f>IF(tbl_main[[#This Row],[Date]]="","",TEXT(B33,"DDD"))</f>
        <v>Fri</v>
      </c>
      <c r="F33" t="s">
        <v>13</v>
      </c>
      <c r="G33" t="s">
        <v>33</v>
      </c>
      <c r="H33" s="3" t="s">
        <v>22</v>
      </c>
      <c r="I33" s="3" t="s">
        <v>19</v>
      </c>
      <c r="J33" s="3" t="s">
        <v>17</v>
      </c>
      <c r="K33" s="3">
        <f>_xlfn.XLOOKUP(tbl_main[[#This Row],[Service]],tbl_service[Service],tbl_service[Price],"")</f>
        <v>150</v>
      </c>
      <c r="L33" s="3">
        <v>2</v>
      </c>
      <c r="M33" s="3">
        <f>IF(AND(tbl_main[[#This Row],[Price]]="",tbl_main[[#This Row],[Qty]]=""),"",tbl_main[[#This Row],[Price]]*tbl_main[[#This Row],[Qty]])</f>
        <v>300</v>
      </c>
      <c r="N33" s="3">
        <f>_xlfn.LET(_xlpm.x,_xlfn.XLOOKUP(tbl_main[[#This Row],[Service]],tbl_service[Service],tbl_service[Profit],""),
               IF(tbl_main[[#This Row],[Qty]]="","",_xlpm.x*tbl_main[[#This Row],[Qty]]))</f>
        <v>134</v>
      </c>
    </row>
    <row r="34" spans="1:14" x14ac:dyDescent="0.25">
      <c r="A34" t="s">
        <v>76</v>
      </c>
      <c r="B34" s="1">
        <v>45667</v>
      </c>
      <c r="C34">
        <f>IF(tbl_main[[#This Row],[Date]]="","",YEAR(B34))</f>
        <v>2025</v>
      </c>
      <c r="D34" t="str">
        <f>IF(tbl_main[[#This Row],[Date]]="","",TEXT(B34,"mmm"))</f>
        <v>Jan</v>
      </c>
      <c r="E34" t="str">
        <f>IF(tbl_main[[#This Row],[Date]]="","",TEXT(B34,"DDD"))</f>
        <v>Fri</v>
      </c>
      <c r="F34" t="s">
        <v>27</v>
      </c>
      <c r="G34" t="s">
        <v>40</v>
      </c>
      <c r="H34" s="3" t="s">
        <v>24</v>
      </c>
      <c r="I34" s="3" t="s">
        <v>23</v>
      </c>
      <c r="J34" s="3" t="s">
        <v>32</v>
      </c>
      <c r="K34" s="3">
        <f>_xlfn.XLOOKUP(tbl_main[[#This Row],[Service]],tbl_service[Service],tbl_service[Price],"")</f>
        <v>80</v>
      </c>
      <c r="L34" s="3">
        <v>2</v>
      </c>
      <c r="M34" s="3">
        <f>IF(AND(tbl_main[[#This Row],[Price]]="",tbl_main[[#This Row],[Qty]]=""),"",tbl_main[[#This Row],[Price]]*tbl_main[[#This Row],[Qty]])</f>
        <v>160</v>
      </c>
      <c r="N34" s="3">
        <f>_xlfn.LET(_xlpm.x,_xlfn.XLOOKUP(tbl_main[[#This Row],[Service]],tbl_service[Service],tbl_service[Profit],""),
               IF(tbl_main[[#This Row],[Qty]]="","",_xlpm.x*tbl_main[[#This Row],[Qty]]))</f>
        <v>72</v>
      </c>
    </row>
    <row r="35" spans="1:14" x14ac:dyDescent="0.25">
      <c r="A35" t="s">
        <v>77</v>
      </c>
      <c r="B35" s="1">
        <v>45668</v>
      </c>
      <c r="C35">
        <f>IF(tbl_main[[#This Row],[Date]]="","",YEAR(B35))</f>
        <v>2025</v>
      </c>
      <c r="D35" t="str">
        <f>IF(tbl_main[[#This Row],[Date]]="","",TEXT(B35,"mmm"))</f>
        <v>Jan</v>
      </c>
      <c r="E35" t="str">
        <f>IF(tbl_main[[#This Row],[Date]]="","",TEXT(B35,"DDD"))</f>
        <v>Sat</v>
      </c>
      <c r="F35" t="s">
        <v>30</v>
      </c>
      <c r="G35" t="s">
        <v>31</v>
      </c>
      <c r="H35" s="3" t="s">
        <v>22</v>
      </c>
      <c r="I35" s="3" t="s">
        <v>19</v>
      </c>
      <c r="J35" s="3" t="s">
        <v>32</v>
      </c>
      <c r="K35" s="3">
        <f>_xlfn.XLOOKUP(tbl_main[[#This Row],[Service]],tbl_service[Service],tbl_service[Price],"")</f>
        <v>150</v>
      </c>
      <c r="L35" s="3">
        <v>1</v>
      </c>
      <c r="M35" s="3">
        <f>IF(AND(tbl_main[[#This Row],[Price]]="",tbl_main[[#This Row],[Qty]]=""),"",tbl_main[[#This Row],[Price]]*tbl_main[[#This Row],[Qty]])</f>
        <v>150</v>
      </c>
      <c r="N35" s="3">
        <f>_xlfn.LET(_xlpm.x,_xlfn.XLOOKUP(tbl_main[[#This Row],[Service]],tbl_service[Service],tbl_service[Profit],""),
               IF(tbl_main[[#This Row],[Qty]]="","",_xlpm.x*tbl_main[[#This Row],[Qty]]))</f>
        <v>67</v>
      </c>
    </row>
    <row r="36" spans="1:14" x14ac:dyDescent="0.25">
      <c r="A36" t="s">
        <v>78</v>
      </c>
      <c r="B36" s="1">
        <v>45668</v>
      </c>
      <c r="C36">
        <f>IF(tbl_main[[#This Row],[Date]]="","",YEAR(B36))</f>
        <v>2025</v>
      </c>
      <c r="D36" t="str">
        <f>IF(tbl_main[[#This Row],[Date]]="","",TEXT(B36,"mmm"))</f>
        <v>Jan</v>
      </c>
      <c r="E36" t="str">
        <f>IF(tbl_main[[#This Row],[Date]]="","",TEXT(B36,"DDD"))</f>
        <v>Sat</v>
      </c>
      <c r="F36" t="s">
        <v>13</v>
      </c>
      <c r="G36" t="s">
        <v>33</v>
      </c>
      <c r="H36" s="3" t="s">
        <v>22</v>
      </c>
      <c r="I36" s="3" t="s">
        <v>19</v>
      </c>
      <c r="J36" s="3" t="s">
        <v>17</v>
      </c>
      <c r="K36" s="3">
        <f>_xlfn.XLOOKUP(tbl_main[[#This Row],[Service]],tbl_service[Service],tbl_service[Price],"")</f>
        <v>150</v>
      </c>
      <c r="L36" s="3">
        <v>1</v>
      </c>
      <c r="M36" s="3">
        <f>IF(AND(tbl_main[[#This Row],[Price]]="",tbl_main[[#This Row],[Qty]]=""),"",tbl_main[[#This Row],[Price]]*tbl_main[[#This Row],[Qty]])</f>
        <v>150</v>
      </c>
      <c r="N36" s="3">
        <f>_xlfn.LET(_xlpm.x,_xlfn.XLOOKUP(tbl_main[[#This Row],[Service]],tbl_service[Service],tbl_service[Profit],""),
               IF(tbl_main[[#This Row],[Qty]]="","",_xlpm.x*tbl_main[[#This Row],[Qty]]))</f>
        <v>67</v>
      </c>
    </row>
    <row r="37" spans="1:14" x14ac:dyDescent="0.25">
      <c r="A37" t="s">
        <v>79</v>
      </c>
      <c r="B37" s="1">
        <v>45668</v>
      </c>
      <c r="C37">
        <f>IF(tbl_main[[#This Row],[Date]]="","",YEAR(B37))</f>
        <v>2025</v>
      </c>
      <c r="D37" t="str">
        <f>IF(tbl_main[[#This Row],[Date]]="","",TEXT(B37,"mmm"))</f>
        <v>Jan</v>
      </c>
      <c r="E37" t="str">
        <f>IF(tbl_main[[#This Row],[Date]]="","",TEXT(B37,"DDD"))</f>
        <v>Sat</v>
      </c>
      <c r="F37" t="s">
        <v>13</v>
      </c>
      <c r="G37" t="s">
        <v>33</v>
      </c>
      <c r="H37" s="3" t="s">
        <v>26</v>
      </c>
      <c r="I37" s="3" t="s">
        <v>35</v>
      </c>
      <c r="J37" s="3" t="s">
        <v>32</v>
      </c>
      <c r="K37" s="3">
        <f>_xlfn.XLOOKUP(tbl_main[[#This Row],[Service]],tbl_service[Service],tbl_service[Price],"")</f>
        <v>200</v>
      </c>
      <c r="L37" s="3">
        <v>2</v>
      </c>
      <c r="M37" s="3">
        <f>IF(AND(tbl_main[[#This Row],[Price]]="",tbl_main[[#This Row],[Qty]]=""),"",tbl_main[[#This Row],[Price]]*tbl_main[[#This Row],[Qty]])</f>
        <v>400</v>
      </c>
      <c r="N37" s="3">
        <f>_xlfn.LET(_xlpm.x,_xlfn.XLOOKUP(tbl_main[[#This Row],[Service]],tbl_service[Service],tbl_service[Profit],""),
               IF(tbl_main[[#This Row],[Qty]]="","",_xlpm.x*tbl_main[[#This Row],[Qty]]))</f>
        <v>180</v>
      </c>
    </row>
    <row r="38" spans="1:14" x14ac:dyDescent="0.25">
      <c r="A38" t="s">
        <v>80</v>
      </c>
      <c r="B38" s="1">
        <v>45669</v>
      </c>
      <c r="C38">
        <f>IF(tbl_main[[#This Row],[Date]]="","",YEAR(B38))</f>
        <v>2025</v>
      </c>
      <c r="D38" t="str">
        <f>IF(tbl_main[[#This Row],[Date]]="","",TEXT(B38,"mmm"))</f>
        <v>Jan</v>
      </c>
      <c r="E38" t="str">
        <f>IF(tbl_main[[#This Row],[Date]]="","",TEXT(B38,"DDD"))</f>
        <v>Sun</v>
      </c>
      <c r="F38" t="s">
        <v>20</v>
      </c>
      <c r="G38" t="s">
        <v>21</v>
      </c>
      <c r="H38" s="3" t="s">
        <v>26</v>
      </c>
      <c r="I38" s="3" t="s">
        <v>35</v>
      </c>
      <c r="J38" s="3" t="s">
        <v>25</v>
      </c>
      <c r="K38" s="3">
        <f>_xlfn.XLOOKUP(tbl_main[[#This Row],[Service]],tbl_service[Service],tbl_service[Price],"")</f>
        <v>200</v>
      </c>
      <c r="L38" s="3">
        <v>2</v>
      </c>
      <c r="M38" s="3">
        <f>IF(AND(tbl_main[[#This Row],[Price]]="",tbl_main[[#This Row],[Qty]]=""),"",tbl_main[[#This Row],[Price]]*tbl_main[[#This Row],[Qty]])</f>
        <v>400</v>
      </c>
      <c r="N38" s="3">
        <f>_xlfn.LET(_xlpm.x,_xlfn.XLOOKUP(tbl_main[[#This Row],[Service]],tbl_service[Service],tbl_service[Profit],""),
               IF(tbl_main[[#This Row],[Qty]]="","",_xlpm.x*tbl_main[[#This Row],[Qty]]))</f>
        <v>180</v>
      </c>
    </row>
    <row r="39" spans="1:14" x14ac:dyDescent="0.25">
      <c r="A39" t="s">
        <v>81</v>
      </c>
      <c r="B39" s="1">
        <v>45669</v>
      </c>
      <c r="C39">
        <f>IF(tbl_main[[#This Row],[Date]]="","",YEAR(B39))</f>
        <v>2025</v>
      </c>
      <c r="D39" t="str">
        <f>IF(tbl_main[[#This Row],[Date]]="","",TEXT(B39,"mmm"))</f>
        <v>Jan</v>
      </c>
      <c r="E39" t="str">
        <f>IF(tbl_main[[#This Row],[Date]]="","",TEXT(B39,"DDD"))</f>
        <v>Sun</v>
      </c>
      <c r="F39" t="s">
        <v>13</v>
      </c>
      <c r="G39" t="s">
        <v>33</v>
      </c>
      <c r="H39" s="3" t="s">
        <v>26</v>
      </c>
      <c r="I39" s="3" t="s">
        <v>23</v>
      </c>
      <c r="J39" s="3" t="s">
        <v>32</v>
      </c>
      <c r="K39" s="3">
        <f>_xlfn.XLOOKUP(tbl_main[[#This Row],[Service]],tbl_service[Service],tbl_service[Price],"")</f>
        <v>200</v>
      </c>
      <c r="L39" s="3">
        <v>2</v>
      </c>
      <c r="M39" s="3">
        <f>IF(AND(tbl_main[[#This Row],[Price]]="",tbl_main[[#This Row],[Qty]]=""),"",tbl_main[[#This Row],[Price]]*tbl_main[[#This Row],[Qty]])</f>
        <v>400</v>
      </c>
      <c r="N39" s="3">
        <f>_xlfn.LET(_xlpm.x,_xlfn.XLOOKUP(tbl_main[[#This Row],[Service]],tbl_service[Service],tbl_service[Profit],""),
               IF(tbl_main[[#This Row],[Qty]]="","",_xlpm.x*tbl_main[[#This Row],[Qty]]))</f>
        <v>180</v>
      </c>
    </row>
    <row r="40" spans="1:14" x14ac:dyDescent="0.25">
      <c r="A40" t="s">
        <v>82</v>
      </c>
      <c r="B40" s="1">
        <v>45669</v>
      </c>
      <c r="C40">
        <f>IF(tbl_main[[#This Row],[Date]]="","",YEAR(B40))</f>
        <v>2025</v>
      </c>
      <c r="D40" t="str">
        <f>IF(tbl_main[[#This Row],[Date]]="","",TEXT(B40,"mmm"))</f>
        <v>Jan</v>
      </c>
      <c r="E40" t="str">
        <f>IF(tbl_main[[#This Row],[Date]]="","",TEXT(B40,"DDD"))</f>
        <v>Sun</v>
      </c>
      <c r="F40" t="s">
        <v>30</v>
      </c>
      <c r="G40" t="s">
        <v>36</v>
      </c>
      <c r="H40" s="3" t="s">
        <v>34</v>
      </c>
      <c r="I40" s="3" t="s">
        <v>37</v>
      </c>
      <c r="J40" s="3" t="s">
        <v>32</v>
      </c>
      <c r="K40" s="3">
        <f>_xlfn.XLOOKUP(tbl_main[[#This Row],[Service]],tbl_service[Service],tbl_service[Price],"")</f>
        <v>100</v>
      </c>
      <c r="L40" s="3">
        <v>1</v>
      </c>
      <c r="M40" s="3">
        <f>IF(AND(tbl_main[[#This Row],[Price]]="",tbl_main[[#This Row],[Qty]]=""),"",tbl_main[[#This Row],[Price]]*tbl_main[[#This Row],[Qty]])</f>
        <v>100</v>
      </c>
      <c r="N40" s="3">
        <f>_xlfn.LET(_xlpm.x,_xlfn.XLOOKUP(tbl_main[[#This Row],[Service]],tbl_service[Service],tbl_service[Profit],""),
               IF(tbl_main[[#This Row],[Qty]]="","",_xlpm.x*tbl_main[[#This Row],[Qty]]))</f>
        <v>45</v>
      </c>
    </row>
    <row r="41" spans="1:14" x14ac:dyDescent="0.25">
      <c r="A41" t="s">
        <v>83</v>
      </c>
      <c r="B41" s="1">
        <v>45669</v>
      </c>
      <c r="C41">
        <f>IF(tbl_main[[#This Row],[Date]]="","",YEAR(B41))</f>
        <v>2025</v>
      </c>
      <c r="D41" t="str">
        <f>IF(tbl_main[[#This Row],[Date]]="","",TEXT(B41,"mmm"))</f>
        <v>Jan</v>
      </c>
      <c r="E41" t="str">
        <f>IF(tbl_main[[#This Row],[Date]]="","",TEXT(B41,"DDD"))</f>
        <v>Sun</v>
      </c>
      <c r="F41" t="s">
        <v>27</v>
      </c>
      <c r="G41" t="s">
        <v>40</v>
      </c>
      <c r="H41" s="3" t="s">
        <v>26</v>
      </c>
      <c r="I41" s="3" t="s">
        <v>38</v>
      </c>
      <c r="J41" s="3" t="s">
        <v>17</v>
      </c>
      <c r="K41" s="3">
        <f>_xlfn.XLOOKUP(tbl_main[[#This Row],[Service]],tbl_service[Service],tbl_service[Price],"")</f>
        <v>200</v>
      </c>
      <c r="L41" s="3">
        <v>1</v>
      </c>
      <c r="M41" s="3">
        <f>IF(AND(tbl_main[[#This Row],[Price]]="",tbl_main[[#This Row],[Qty]]=""),"",tbl_main[[#This Row],[Price]]*tbl_main[[#This Row],[Qty]])</f>
        <v>200</v>
      </c>
      <c r="N41" s="3">
        <f>_xlfn.LET(_xlpm.x,_xlfn.XLOOKUP(tbl_main[[#This Row],[Service]],tbl_service[Service],tbl_service[Profit],""),
               IF(tbl_main[[#This Row],[Qty]]="","",_xlpm.x*tbl_main[[#This Row],[Qty]]))</f>
        <v>90</v>
      </c>
    </row>
    <row r="42" spans="1:14" x14ac:dyDescent="0.25">
      <c r="A42" t="s">
        <v>84</v>
      </c>
      <c r="B42" s="1">
        <v>45670</v>
      </c>
      <c r="C42">
        <f>IF(tbl_main[[#This Row],[Date]]="","",YEAR(B42))</f>
        <v>2025</v>
      </c>
      <c r="D42" t="str">
        <f>IF(tbl_main[[#This Row],[Date]]="","",TEXT(B42,"mmm"))</f>
        <v>Jan</v>
      </c>
      <c r="E42" t="str">
        <f>IF(tbl_main[[#This Row],[Date]]="","",TEXT(B42,"DDD"))</f>
        <v>Mon</v>
      </c>
      <c r="F42" t="s">
        <v>27</v>
      </c>
      <c r="G42" t="s">
        <v>28</v>
      </c>
      <c r="H42" s="3" t="s">
        <v>22</v>
      </c>
      <c r="I42" s="3" t="s">
        <v>16</v>
      </c>
      <c r="J42" s="3" t="s">
        <v>25</v>
      </c>
      <c r="K42" s="3">
        <f>_xlfn.XLOOKUP(tbl_main[[#This Row],[Service]],tbl_service[Service],tbl_service[Price],"")</f>
        <v>150</v>
      </c>
      <c r="L42" s="3">
        <v>1</v>
      </c>
      <c r="M42" s="3">
        <f>IF(AND(tbl_main[[#This Row],[Price]]="",tbl_main[[#This Row],[Qty]]=""),"",tbl_main[[#This Row],[Price]]*tbl_main[[#This Row],[Qty]])</f>
        <v>150</v>
      </c>
      <c r="N42" s="3">
        <f>_xlfn.LET(_xlpm.x,_xlfn.XLOOKUP(tbl_main[[#This Row],[Service]],tbl_service[Service],tbl_service[Profit],""),
               IF(tbl_main[[#This Row],[Qty]]="","",_xlpm.x*tbl_main[[#This Row],[Qty]]))</f>
        <v>67</v>
      </c>
    </row>
    <row r="43" spans="1:14" x14ac:dyDescent="0.25">
      <c r="A43" t="s">
        <v>85</v>
      </c>
      <c r="B43" s="1">
        <v>45670</v>
      </c>
      <c r="C43">
        <f>IF(tbl_main[[#This Row],[Date]]="","",YEAR(B43))</f>
        <v>2025</v>
      </c>
      <c r="D43" t="str">
        <f>IF(tbl_main[[#This Row],[Date]]="","",TEXT(B43,"mmm"))</f>
        <v>Jan</v>
      </c>
      <c r="E43" t="str">
        <f>IF(tbl_main[[#This Row],[Date]]="","",TEXT(B43,"DDD"))</f>
        <v>Mon</v>
      </c>
      <c r="F43" t="s">
        <v>30</v>
      </c>
      <c r="G43" t="s">
        <v>31</v>
      </c>
      <c r="H43" s="3" t="s">
        <v>24</v>
      </c>
      <c r="I43" s="3" t="s">
        <v>19</v>
      </c>
      <c r="J43" s="3" t="s">
        <v>17</v>
      </c>
      <c r="K43" s="3">
        <f>_xlfn.XLOOKUP(tbl_main[[#This Row],[Service]],tbl_service[Service],tbl_service[Price],"")</f>
        <v>80</v>
      </c>
      <c r="L43" s="3">
        <v>1</v>
      </c>
      <c r="M43" s="3">
        <f>IF(AND(tbl_main[[#This Row],[Price]]="",tbl_main[[#This Row],[Qty]]=""),"",tbl_main[[#This Row],[Price]]*tbl_main[[#This Row],[Qty]])</f>
        <v>80</v>
      </c>
      <c r="N43" s="3">
        <f>_xlfn.LET(_xlpm.x,_xlfn.XLOOKUP(tbl_main[[#This Row],[Service]],tbl_service[Service],tbl_service[Profit],""),
               IF(tbl_main[[#This Row],[Qty]]="","",_xlpm.x*tbl_main[[#This Row],[Qty]]))</f>
        <v>36</v>
      </c>
    </row>
    <row r="44" spans="1:14" x14ac:dyDescent="0.25">
      <c r="A44" t="s">
        <v>86</v>
      </c>
      <c r="B44" s="1">
        <v>45670</v>
      </c>
      <c r="C44">
        <f>IF(tbl_main[[#This Row],[Date]]="","",YEAR(B44))</f>
        <v>2025</v>
      </c>
      <c r="D44" t="str">
        <f>IF(tbl_main[[#This Row],[Date]]="","",TEXT(B44,"mmm"))</f>
        <v>Jan</v>
      </c>
      <c r="E44" t="str">
        <f>IF(tbl_main[[#This Row],[Date]]="","",TEXT(B44,"DDD"))</f>
        <v>Mon</v>
      </c>
      <c r="F44" t="s">
        <v>30</v>
      </c>
      <c r="G44" t="s">
        <v>31</v>
      </c>
      <c r="H44" s="3" t="s">
        <v>22</v>
      </c>
      <c r="I44" s="3" t="s">
        <v>23</v>
      </c>
      <c r="J44" s="3" t="s">
        <v>25</v>
      </c>
      <c r="K44" s="3">
        <f>_xlfn.XLOOKUP(tbl_main[[#This Row],[Service]],tbl_service[Service],tbl_service[Price],"")</f>
        <v>150</v>
      </c>
      <c r="L44" s="3">
        <v>1</v>
      </c>
      <c r="M44" s="3">
        <f>IF(AND(tbl_main[[#This Row],[Price]]="",tbl_main[[#This Row],[Qty]]=""),"",tbl_main[[#This Row],[Price]]*tbl_main[[#This Row],[Qty]])</f>
        <v>150</v>
      </c>
      <c r="N44" s="3">
        <f>_xlfn.LET(_xlpm.x,_xlfn.XLOOKUP(tbl_main[[#This Row],[Service]],tbl_service[Service],tbl_service[Profit],""),
               IF(tbl_main[[#This Row],[Qty]]="","",_xlpm.x*tbl_main[[#This Row],[Qty]]))</f>
        <v>67</v>
      </c>
    </row>
    <row r="45" spans="1:14" x14ac:dyDescent="0.25">
      <c r="A45" t="s">
        <v>87</v>
      </c>
      <c r="B45" s="1">
        <v>45670</v>
      </c>
      <c r="C45">
        <f>IF(tbl_main[[#This Row],[Date]]="","",YEAR(B45))</f>
        <v>2025</v>
      </c>
      <c r="D45" t="str">
        <f>IF(tbl_main[[#This Row],[Date]]="","",TEXT(B45,"mmm"))</f>
        <v>Jan</v>
      </c>
      <c r="E45" t="str">
        <f>IF(tbl_main[[#This Row],[Date]]="","",TEXT(B45,"DDD"))</f>
        <v>Mon</v>
      </c>
      <c r="F45" t="s">
        <v>13</v>
      </c>
      <c r="G45" t="s">
        <v>33</v>
      </c>
      <c r="H45" s="3" t="s">
        <v>15</v>
      </c>
      <c r="I45" s="3" t="s">
        <v>19</v>
      </c>
      <c r="J45" s="3" t="s">
        <v>25</v>
      </c>
      <c r="K45" s="3">
        <f>_xlfn.XLOOKUP(tbl_main[[#This Row],[Service]],tbl_service[Service],tbl_service[Price],"")</f>
        <v>500</v>
      </c>
      <c r="L45" s="3">
        <v>1</v>
      </c>
      <c r="M45" s="3">
        <f>IF(AND(tbl_main[[#This Row],[Price]]="",tbl_main[[#This Row],[Qty]]=""),"",tbl_main[[#This Row],[Price]]*tbl_main[[#This Row],[Qty]])</f>
        <v>500</v>
      </c>
      <c r="N45" s="3">
        <f>_xlfn.LET(_xlpm.x,_xlfn.XLOOKUP(tbl_main[[#This Row],[Service]],tbl_service[Service],tbl_service[Profit],""),
               IF(tbl_main[[#This Row],[Qty]]="","",_xlpm.x*tbl_main[[#This Row],[Qty]]))</f>
        <v>225</v>
      </c>
    </row>
    <row r="46" spans="1:14" x14ac:dyDescent="0.25">
      <c r="A46" t="s">
        <v>88</v>
      </c>
      <c r="B46" s="1">
        <v>45671</v>
      </c>
      <c r="C46">
        <f>IF(tbl_main[[#This Row],[Date]]="","",YEAR(B46))</f>
        <v>2025</v>
      </c>
      <c r="D46" t="str">
        <f>IF(tbl_main[[#This Row],[Date]]="","",TEXT(B46,"mmm"))</f>
        <v>Jan</v>
      </c>
      <c r="E46" t="str">
        <f>IF(tbl_main[[#This Row],[Date]]="","",TEXT(B46,"DDD"))</f>
        <v>Tue</v>
      </c>
      <c r="F46" t="s">
        <v>27</v>
      </c>
      <c r="G46" t="s">
        <v>40</v>
      </c>
      <c r="H46" s="3" t="s">
        <v>22</v>
      </c>
      <c r="I46" s="3" t="s">
        <v>19</v>
      </c>
      <c r="J46" s="3" t="s">
        <v>25</v>
      </c>
      <c r="K46" s="3">
        <f>_xlfn.XLOOKUP(tbl_main[[#This Row],[Service]],tbl_service[Service],tbl_service[Price],"")</f>
        <v>150</v>
      </c>
      <c r="L46" s="3">
        <v>2</v>
      </c>
      <c r="M46" s="3">
        <f>IF(AND(tbl_main[[#This Row],[Price]]="",tbl_main[[#This Row],[Qty]]=""),"",tbl_main[[#This Row],[Price]]*tbl_main[[#This Row],[Qty]])</f>
        <v>300</v>
      </c>
      <c r="N46" s="3">
        <f>_xlfn.LET(_xlpm.x,_xlfn.XLOOKUP(tbl_main[[#This Row],[Service]],tbl_service[Service],tbl_service[Profit],""),
               IF(tbl_main[[#This Row],[Qty]]="","",_xlpm.x*tbl_main[[#This Row],[Qty]]))</f>
        <v>134</v>
      </c>
    </row>
    <row r="47" spans="1:14" x14ac:dyDescent="0.25">
      <c r="A47" t="s">
        <v>89</v>
      </c>
      <c r="B47" s="1">
        <v>45671</v>
      </c>
      <c r="C47">
        <f>IF(tbl_main[[#This Row],[Date]]="","",YEAR(B47))</f>
        <v>2025</v>
      </c>
      <c r="D47" t="str">
        <f>IF(tbl_main[[#This Row],[Date]]="","",TEXT(B47,"mmm"))</f>
        <v>Jan</v>
      </c>
      <c r="E47" t="str">
        <f>IF(tbl_main[[#This Row],[Date]]="","",TEXT(B47,"DDD"))</f>
        <v>Tue</v>
      </c>
      <c r="F47" t="s">
        <v>13</v>
      </c>
      <c r="G47" t="s">
        <v>14</v>
      </c>
      <c r="H47" s="3" t="s">
        <v>22</v>
      </c>
      <c r="I47" s="3" t="s">
        <v>35</v>
      </c>
      <c r="J47" s="3" t="s">
        <v>32</v>
      </c>
      <c r="K47" s="3">
        <f>_xlfn.XLOOKUP(tbl_main[[#This Row],[Service]],tbl_service[Service],tbl_service[Price],"")</f>
        <v>150</v>
      </c>
      <c r="L47" s="3">
        <v>1</v>
      </c>
      <c r="M47" s="3">
        <f>IF(AND(tbl_main[[#This Row],[Price]]="",tbl_main[[#This Row],[Qty]]=""),"",tbl_main[[#This Row],[Price]]*tbl_main[[#This Row],[Qty]])</f>
        <v>150</v>
      </c>
      <c r="N47" s="3">
        <f>_xlfn.LET(_xlpm.x,_xlfn.XLOOKUP(tbl_main[[#This Row],[Service]],tbl_service[Service],tbl_service[Profit],""),
               IF(tbl_main[[#This Row],[Qty]]="","",_xlpm.x*tbl_main[[#This Row],[Qty]]))</f>
        <v>67</v>
      </c>
    </row>
    <row r="48" spans="1:14" x14ac:dyDescent="0.25">
      <c r="A48" t="s">
        <v>90</v>
      </c>
      <c r="B48" s="1">
        <v>45671</v>
      </c>
      <c r="C48">
        <f>IF(tbl_main[[#This Row],[Date]]="","",YEAR(B48))</f>
        <v>2025</v>
      </c>
      <c r="D48" t="str">
        <f>IF(tbl_main[[#This Row],[Date]]="","",TEXT(B48,"mmm"))</f>
        <v>Jan</v>
      </c>
      <c r="E48" t="str">
        <f>IF(tbl_main[[#This Row],[Date]]="","",TEXT(B48,"DDD"))</f>
        <v>Tue</v>
      </c>
      <c r="F48" t="s">
        <v>27</v>
      </c>
      <c r="G48" t="s">
        <v>28</v>
      </c>
      <c r="H48" s="3" t="s">
        <v>34</v>
      </c>
      <c r="I48" s="3" t="s">
        <v>35</v>
      </c>
      <c r="J48" s="3" t="s">
        <v>32</v>
      </c>
      <c r="K48" s="3">
        <f>_xlfn.XLOOKUP(tbl_main[[#This Row],[Service]],tbl_service[Service],tbl_service[Price],"")</f>
        <v>100</v>
      </c>
      <c r="L48" s="3">
        <v>2</v>
      </c>
      <c r="M48" s="3">
        <f>IF(AND(tbl_main[[#This Row],[Price]]="",tbl_main[[#This Row],[Qty]]=""),"",tbl_main[[#This Row],[Price]]*tbl_main[[#This Row],[Qty]])</f>
        <v>200</v>
      </c>
      <c r="N48" s="3">
        <f>_xlfn.LET(_xlpm.x,_xlfn.XLOOKUP(tbl_main[[#This Row],[Service]],tbl_service[Service],tbl_service[Profit],""),
               IF(tbl_main[[#This Row],[Qty]]="","",_xlpm.x*tbl_main[[#This Row],[Qty]]))</f>
        <v>90</v>
      </c>
    </row>
    <row r="49" spans="1:14" x14ac:dyDescent="0.25">
      <c r="A49" t="s">
        <v>91</v>
      </c>
      <c r="B49" s="1">
        <v>45672</v>
      </c>
      <c r="C49">
        <f>IF(tbl_main[[#This Row],[Date]]="","",YEAR(B49))</f>
        <v>2025</v>
      </c>
      <c r="D49" t="str">
        <f>IF(tbl_main[[#This Row],[Date]]="","",TEXT(B49,"mmm"))</f>
        <v>Jan</v>
      </c>
      <c r="E49" t="str">
        <f>IF(tbl_main[[#This Row],[Date]]="","",TEXT(B49,"DDD"))</f>
        <v>Wed</v>
      </c>
      <c r="F49" t="s">
        <v>20</v>
      </c>
      <c r="G49" t="s">
        <v>21</v>
      </c>
      <c r="H49" s="3" t="s">
        <v>18</v>
      </c>
      <c r="I49" s="3" t="s">
        <v>23</v>
      </c>
      <c r="J49" s="3" t="s">
        <v>25</v>
      </c>
      <c r="K49" s="3">
        <f>_xlfn.XLOOKUP(tbl_main[[#This Row],[Service]],tbl_service[Service],tbl_service[Price],"")</f>
        <v>500</v>
      </c>
      <c r="L49" s="3">
        <v>2</v>
      </c>
      <c r="M49" s="3">
        <f>IF(AND(tbl_main[[#This Row],[Price]]="",tbl_main[[#This Row],[Qty]]=""),"",tbl_main[[#This Row],[Price]]*tbl_main[[#This Row],[Qty]])</f>
        <v>1000</v>
      </c>
      <c r="N49" s="3">
        <f>_xlfn.LET(_xlpm.x,_xlfn.XLOOKUP(tbl_main[[#This Row],[Service]],tbl_service[Service],tbl_service[Profit],""),
               IF(tbl_main[[#This Row],[Qty]]="","",_xlpm.x*tbl_main[[#This Row],[Qty]]))</f>
        <v>314</v>
      </c>
    </row>
    <row r="50" spans="1:14" x14ac:dyDescent="0.25">
      <c r="A50" t="s">
        <v>92</v>
      </c>
      <c r="B50" s="1">
        <v>45672</v>
      </c>
      <c r="C50">
        <f>IF(tbl_main[[#This Row],[Date]]="","",YEAR(B50))</f>
        <v>2025</v>
      </c>
      <c r="D50" t="str">
        <f>IF(tbl_main[[#This Row],[Date]]="","",TEXT(B50,"mmm"))</f>
        <v>Jan</v>
      </c>
      <c r="E50" t="str">
        <f>IF(tbl_main[[#This Row],[Date]]="","",TEXT(B50,"DDD"))</f>
        <v>Wed</v>
      </c>
      <c r="F50" t="s">
        <v>13</v>
      </c>
      <c r="G50" t="s">
        <v>33</v>
      </c>
      <c r="H50" s="3" t="s">
        <v>22</v>
      </c>
      <c r="I50" s="3" t="s">
        <v>37</v>
      </c>
      <c r="J50" s="3" t="s">
        <v>32</v>
      </c>
      <c r="K50" s="3">
        <f>_xlfn.XLOOKUP(tbl_main[[#This Row],[Service]],tbl_service[Service],tbl_service[Price],"")</f>
        <v>150</v>
      </c>
      <c r="L50" s="3">
        <v>1</v>
      </c>
      <c r="M50" s="3">
        <f>IF(AND(tbl_main[[#This Row],[Price]]="",tbl_main[[#This Row],[Qty]]=""),"",tbl_main[[#This Row],[Price]]*tbl_main[[#This Row],[Qty]])</f>
        <v>150</v>
      </c>
      <c r="N50" s="3">
        <f>_xlfn.LET(_xlpm.x,_xlfn.XLOOKUP(tbl_main[[#This Row],[Service]],tbl_service[Service],tbl_service[Profit],""),
               IF(tbl_main[[#This Row],[Qty]]="","",_xlpm.x*tbl_main[[#This Row],[Qty]]))</f>
        <v>67</v>
      </c>
    </row>
    <row r="51" spans="1:14" x14ac:dyDescent="0.25">
      <c r="A51" t="s">
        <v>93</v>
      </c>
      <c r="B51" s="1">
        <v>45672</v>
      </c>
      <c r="C51">
        <f>IF(tbl_main[[#This Row],[Date]]="","",YEAR(B51))</f>
        <v>2025</v>
      </c>
      <c r="D51" t="str">
        <f>IF(tbl_main[[#This Row],[Date]]="","",TEXT(B51,"mmm"))</f>
        <v>Jan</v>
      </c>
      <c r="E51" t="str">
        <f>IF(tbl_main[[#This Row],[Date]]="","",TEXT(B51,"DDD"))</f>
        <v>Wed</v>
      </c>
      <c r="F51" t="s">
        <v>30</v>
      </c>
      <c r="G51" t="s">
        <v>36</v>
      </c>
      <c r="H51" s="3" t="s">
        <v>24</v>
      </c>
      <c r="I51" s="3" t="s">
        <v>38</v>
      </c>
      <c r="J51" s="3" t="s">
        <v>17</v>
      </c>
      <c r="K51" s="3">
        <f>_xlfn.XLOOKUP(tbl_main[[#This Row],[Service]],tbl_service[Service],tbl_service[Price],"")</f>
        <v>80</v>
      </c>
      <c r="L51" s="3">
        <v>1</v>
      </c>
      <c r="M51" s="3">
        <f>IF(AND(tbl_main[[#This Row],[Price]]="",tbl_main[[#This Row],[Qty]]=""),"",tbl_main[[#This Row],[Price]]*tbl_main[[#This Row],[Qty]])</f>
        <v>80</v>
      </c>
      <c r="N51" s="3">
        <f>_xlfn.LET(_xlpm.x,_xlfn.XLOOKUP(tbl_main[[#This Row],[Service]],tbl_service[Service],tbl_service[Profit],""),
               IF(tbl_main[[#This Row],[Qty]]="","",_xlpm.x*tbl_main[[#This Row],[Qty]]))</f>
        <v>36</v>
      </c>
    </row>
    <row r="52" spans="1:14" x14ac:dyDescent="0.25">
      <c r="A52" t="s">
        <v>94</v>
      </c>
      <c r="B52" s="1">
        <v>45673</v>
      </c>
      <c r="C52">
        <f>IF(tbl_main[[#This Row],[Date]]="","",YEAR(B52))</f>
        <v>2025</v>
      </c>
      <c r="D52" t="str">
        <f>IF(tbl_main[[#This Row],[Date]]="","",TEXT(B52,"mmm"))</f>
        <v>Jan</v>
      </c>
      <c r="E52" t="str">
        <f>IF(tbl_main[[#This Row],[Date]]="","",TEXT(B52,"DDD"))</f>
        <v>Thu</v>
      </c>
      <c r="F52" t="s">
        <v>27</v>
      </c>
      <c r="G52" t="s">
        <v>40</v>
      </c>
      <c r="H52" s="3" t="s">
        <v>34</v>
      </c>
      <c r="I52" s="3" t="s">
        <v>16</v>
      </c>
      <c r="J52" s="3" t="s">
        <v>32</v>
      </c>
      <c r="K52" s="3">
        <f>_xlfn.XLOOKUP(tbl_main[[#This Row],[Service]],tbl_service[Service],tbl_service[Price],"")</f>
        <v>100</v>
      </c>
      <c r="L52" s="3">
        <v>2</v>
      </c>
      <c r="M52" s="3">
        <f>IF(AND(tbl_main[[#This Row],[Price]]="",tbl_main[[#This Row],[Qty]]=""),"",tbl_main[[#This Row],[Price]]*tbl_main[[#This Row],[Qty]])</f>
        <v>200</v>
      </c>
      <c r="N52" s="3">
        <f>_xlfn.LET(_xlpm.x,_xlfn.XLOOKUP(tbl_main[[#This Row],[Service]],tbl_service[Service],tbl_service[Profit],""),
               IF(tbl_main[[#This Row],[Qty]]="","",_xlpm.x*tbl_main[[#This Row],[Qty]]))</f>
        <v>90</v>
      </c>
    </row>
    <row r="53" spans="1:14" x14ac:dyDescent="0.25">
      <c r="A53" t="s">
        <v>95</v>
      </c>
      <c r="B53" s="1">
        <v>45673</v>
      </c>
      <c r="C53">
        <f>IF(tbl_main[[#This Row],[Date]]="","",YEAR(B53))</f>
        <v>2025</v>
      </c>
      <c r="D53" t="str">
        <f>IF(tbl_main[[#This Row],[Date]]="","",TEXT(B53,"mmm"))</f>
        <v>Jan</v>
      </c>
      <c r="E53" t="str">
        <f>IF(tbl_main[[#This Row],[Date]]="","",TEXT(B53,"DDD"))</f>
        <v>Thu</v>
      </c>
      <c r="F53" t="s">
        <v>27</v>
      </c>
      <c r="G53" t="s">
        <v>28</v>
      </c>
      <c r="H53" s="3" t="s">
        <v>18</v>
      </c>
      <c r="I53" s="3" t="s">
        <v>19</v>
      </c>
      <c r="J53" s="3" t="s">
        <v>32</v>
      </c>
      <c r="K53" s="3">
        <f>_xlfn.XLOOKUP(tbl_main[[#This Row],[Service]],tbl_service[Service],tbl_service[Price],"")</f>
        <v>500</v>
      </c>
      <c r="L53" s="3">
        <v>2</v>
      </c>
      <c r="M53" s="3">
        <f>IF(AND(tbl_main[[#This Row],[Price]]="",tbl_main[[#This Row],[Qty]]=""),"",tbl_main[[#This Row],[Price]]*tbl_main[[#This Row],[Qty]])</f>
        <v>1000</v>
      </c>
      <c r="N53" s="3">
        <f>_xlfn.LET(_xlpm.x,_xlfn.XLOOKUP(tbl_main[[#This Row],[Service]],tbl_service[Service],tbl_service[Profit],""),
               IF(tbl_main[[#This Row],[Qty]]="","",_xlpm.x*tbl_main[[#This Row],[Qty]]))</f>
        <v>314</v>
      </c>
    </row>
    <row r="54" spans="1:14" x14ac:dyDescent="0.25">
      <c r="A54" t="s">
        <v>96</v>
      </c>
      <c r="B54" s="1">
        <v>45673</v>
      </c>
      <c r="C54">
        <f>IF(tbl_main[[#This Row],[Date]]="","",YEAR(B54))</f>
        <v>2025</v>
      </c>
      <c r="D54" t="str">
        <f>IF(tbl_main[[#This Row],[Date]]="","",TEXT(B54,"mmm"))</f>
        <v>Jan</v>
      </c>
      <c r="E54" t="str">
        <f>IF(tbl_main[[#This Row],[Date]]="","",TEXT(B54,"DDD"))</f>
        <v>Thu</v>
      </c>
      <c r="F54" t="s">
        <v>20</v>
      </c>
      <c r="G54" t="s">
        <v>21</v>
      </c>
      <c r="H54" s="3" t="s">
        <v>22</v>
      </c>
      <c r="I54" s="3" t="s">
        <v>23</v>
      </c>
      <c r="J54" s="3" t="s">
        <v>32</v>
      </c>
      <c r="K54" s="3">
        <f>_xlfn.XLOOKUP(tbl_main[[#This Row],[Service]],tbl_service[Service],tbl_service[Price],"")</f>
        <v>150</v>
      </c>
      <c r="L54" s="3">
        <v>2</v>
      </c>
      <c r="M54" s="3">
        <f>IF(AND(tbl_main[[#This Row],[Price]]="",tbl_main[[#This Row],[Qty]]=""),"",tbl_main[[#This Row],[Price]]*tbl_main[[#This Row],[Qty]])</f>
        <v>300</v>
      </c>
      <c r="N54" s="3">
        <f>_xlfn.LET(_xlpm.x,_xlfn.XLOOKUP(tbl_main[[#This Row],[Service]],tbl_service[Service],tbl_service[Profit],""),
               IF(tbl_main[[#This Row],[Qty]]="","",_xlpm.x*tbl_main[[#This Row],[Qty]]))</f>
        <v>134</v>
      </c>
    </row>
    <row r="55" spans="1:14" x14ac:dyDescent="0.25">
      <c r="A55" t="s">
        <v>97</v>
      </c>
      <c r="B55" s="1">
        <v>45674</v>
      </c>
      <c r="C55">
        <f>IF(tbl_main[[#This Row],[Date]]="","",YEAR(B55))</f>
        <v>2025</v>
      </c>
      <c r="D55" t="str">
        <f>IF(tbl_main[[#This Row],[Date]]="","",TEXT(B55,"mmm"))</f>
        <v>Jan</v>
      </c>
      <c r="E55" t="str">
        <f>IF(tbl_main[[#This Row],[Date]]="","",TEXT(B55,"DDD"))</f>
        <v>Fri</v>
      </c>
      <c r="F55" t="s">
        <v>30</v>
      </c>
      <c r="G55" t="s">
        <v>36</v>
      </c>
      <c r="H55" s="3" t="s">
        <v>34</v>
      </c>
      <c r="I55" s="3" t="s">
        <v>19</v>
      </c>
      <c r="J55" s="3" t="s">
        <v>25</v>
      </c>
      <c r="K55" s="3">
        <f>_xlfn.XLOOKUP(tbl_main[[#This Row],[Service]],tbl_service[Service],tbl_service[Price],"")</f>
        <v>100</v>
      </c>
      <c r="L55" s="3">
        <v>1</v>
      </c>
      <c r="M55" s="3">
        <f>IF(AND(tbl_main[[#This Row],[Price]]="",tbl_main[[#This Row],[Qty]]=""),"",tbl_main[[#This Row],[Price]]*tbl_main[[#This Row],[Qty]])</f>
        <v>100</v>
      </c>
      <c r="N55" s="3">
        <f>_xlfn.LET(_xlpm.x,_xlfn.XLOOKUP(tbl_main[[#This Row],[Service]],tbl_service[Service],tbl_service[Profit],""),
               IF(tbl_main[[#This Row],[Qty]]="","",_xlpm.x*tbl_main[[#This Row],[Qty]]))</f>
        <v>45</v>
      </c>
    </row>
    <row r="56" spans="1:14" x14ac:dyDescent="0.25">
      <c r="A56" t="s">
        <v>98</v>
      </c>
      <c r="B56" s="1">
        <v>45674</v>
      </c>
      <c r="C56">
        <f>IF(tbl_main[[#This Row],[Date]]="","",YEAR(B56))</f>
        <v>2025</v>
      </c>
      <c r="D56" t="str">
        <f>IF(tbl_main[[#This Row],[Date]]="","",TEXT(B56,"mmm"))</f>
        <v>Jan</v>
      </c>
      <c r="E56" t="str">
        <f>IF(tbl_main[[#This Row],[Date]]="","",TEXT(B56,"DDD"))</f>
        <v>Fri</v>
      </c>
      <c r="F56" t="s">
        <v>13</v>
      </c>
      <c r="G56" t="s">
        <v>33</v>
      </c>
      <c r="H56" s="3" t="s">
        <v>18</v>
      </c>
      <c r="I56" s="3" t="s">
        <v>19</v>
      </c>
      <c r="J56" s="3" t="s">
        <v>25</v>
      </c>
      <c r="K56" s="3">
        <f>_xlfn.XLOOKUP(tbl_main[[#This Row],[Service]],tbl_service[Service],tbl_service[Price],"")</f>
        <v>500</v>
      </c>
      <c r="L56" s="3">
        <v>1</v>
      </c>
      <c r="M56" s="3">
        <f>IF(AND(tbl_main[[#This Row],[Price]]="",tbl_main[[#This Row],[Qty]]=""),"",tbl_main[[#This Row],[Price]]*tbl_main[[#This Row],[Qty]])</f>
        <v>500</v>
      </c>
      <c r="N56" s="3">
        <f>_xlfn.LET(_xlpm.x,_xlfn.XLOOKUP(tbl_main[[#This Row],[Service]],tbl_service[Service],tbl_service[Profit],""),
               IF(tbl_main[[#This Row],[Qty]]="","",_xlpm.x*tbl_main[[#This Row],[Qty]]))</f>
        <v>157</v>
      </c>
    </row>
    <row r="57" spans="1:14" x14ac:dyDescent="0.25">
      <c r="A57" t="s">
        <v>99</v>
      </c>
      <c r="B57" s="1">
        <v>45674</v>
      </c>
      <c r="C57">
        <f>IF(tbl_main[[#This Row],[Date]]="","",YEAR(B57))</f>
        <v>2025</v>
      </c>
      <c r="D57" t="str">
        <f>IF(tbl_main[[#This Row],[Date]]="","",TEXT(B57,"mmm"))</f>
        <v>Jan</v>
      </c>
      <c r="E57" t="str">
        <f>IF(tbl_main[[#This Row],[Date]]="","",TEXT(B57,"DDD"))</f>
        <v>Fri</v>
      </c>
      <c r="F57" t="s">
        <v>20</v>
      </c>
      <c r="G57" t="s">
        <v>21</v>
      </c>
      <c r="H57" s="3" t="s">
        <v>34</v>
      </c>
      <c r="I57" s="3" t="s">
        <v>35</v>
      </c>
      <c r="J57" s="3" t="s">
        <v>25</v>
      </c>
      <c r="K57" s="3">
        <f>_xlfn.XLOOKUP(tbl_main[[#This Row],[Service]],tbl_service[Service],tbl_service[Price],"")</f>
        <v>100</v>
      </c>
      <c r="L57" s="3">
        <v>2</v>
      </c>
      <c r="M57" s="3">
        <f>IF(AND(tbl_main[[#This Row],[Price]]="",tbl_main[[#This Row],[Qty]]=""),"",tbl_main[[#This Row],[Price]]*tbl_main[[#This Row],[Qty]])</f>
        <v>200</v>
      </c>
      <c r="N57" s="3">
        <f>_xlfn.LET(_xlpm.x,_xlfn.XLOOKUP(tbl_main[[#This Row],[Service]],tbl_service[Service],tbl_service[Profit],""),
               IF(tbl_main[[#This Row],[Qty]]="","",_xlpm.x*tbl_main[[#This Row],[Qty]]))</f>
        <v>90</v>
      </c>
    </row>
    <row r="58" spans="1:14" x14ac:dyDescent="0.25">
      <c r="A58" t="s">
        <v>100</v>
      </c>
      <c r="B58" s="1">
        <v>45675</v>
      </c>
      <c r="C58">
        <f>IF(tbl_main[[#This Row],[Date]]="","",YEAR(B58))</f>
        <v>2025</v>
      </c>
      <c r="D58" t="str">
        <f>IF(tbl_main[[#This Row],[Date]]="","",TEXT(B58,"mmm"))</f>
        <v>Jan</v>
      </c>
      <c r="E58" t="str">
        <f>IF(tbl_main[[#This Row],[Date]]="","",TEXT(B58,"DDD"))</f>
        <v>Sat</v>
      </c>
      <c r="F58" t="s">
        <v>20</v>
      </c>
      <c r="G58" t="s">
        <v>21</v>
      </c>
      <c r="H58" s="3" t="s">
        <v>34</v>
      </c>
      <c r="I58" s="3" t="s">
        <v>35</v>
      </c>
      <c r="J58" s="3" t="s">
        <v>32</v>
      </c>
      <c r="K58" s="3">
        <f>_xlfn.XLOOKUP(tbl_main[[#This Row],[Service]],tbl_service[Service],tbl_service[Price],"")</f>
        <v>100</v>
      </c>
      <c r="L58" s="3">
        <v>1</v>
      </c>
      <c r="M58" s="3">
        <f>IF(AND(tbl_main[[#This Row],[Price]]="",tbl_main[[#This Row],[Qty]]=""),"",tbl_main[[#This Row],[Price]]*tbl_main[[#This Row],[Qty]])</f>
        <v>100</v>
      </c>
      <c r="N58" s="3">
        <f>_xlfn.LET(_xlpm.x,_xlfn.XLOOKUP(tbl_main[[#This Row],[Service]],tbl_service[Service],tbl_service[Profit],""),
               IF(tbl_main[[#This Row],[Qty]]="","",_xlpm.x*tbl_main[[#This Row],[Qty]]))</f>
        <v>45</v>
      </c>
    </row>
    <row r="59" spans="1:14" x14ac:dyDescent="0.25">
      <c r="A59" t="s">
        <v>101</v>
      </c>
      <c r="B59" s="1">
        <v>45675</v>
      </c>
      <c r="C59">
        <f>IF(tbl_main[[#This Row],[Date]]="","",YEAR(B59))</f>
        <v>2025</v>
      </c>
      <c r="D59" t="str">
        <f>IF(tbl_main[[#This Row],[Date]]="","",TEXT(B59,"mmm"))</f>
        <v>Jan</v>
      </c>
      <c r="E59" t="str">
        <f>IF(tbl_main[[#This Row],[Date]]="","",TEXT(B59,"DDD"))</f>
        <v>Sat</v>
      </c>
      <c r="F59" t="s">
        <v>27</v>
      </c>
      <c r="G59" t="s">
        <v>28</v>
      </c>
      <c r="H59" s="3" t="s">
        <v>18</v>
      </c>
      <c r="I59" s="3" t="s">
        <v>23</v>
      </c>
      <c r="J59" s="3" t="s">
        <v>32</v>
      </c>
      <c r="K59" s="3">
        <f>_xlfn.XLOOKUP(tbl_main[[#This Row],[Service]],tbl_service[Service],tbl_service[Price],"")</f>
        <v>500</v>
      </c>
      <c r="L59" s="3">
        <v>1</v>
      </c>
      <c r="M59" s="3">
        <f>IF(AND(tbl_main[[#This Row],[Price]]="",tbl_main[[#This Row],[Qty]]=""),"",tbl_main[[#This Row],[Price]]*tbl_main[[#This Row],[Qty]])</f>
        <v>500</v>
      </c>
      <c r="N59" s="3">
        <f>_xlfn.LET(_xlpm.x,_xlfn.XLOOKUP(tbl_main[[#This Row],[Service]],tbl_service[Service],tbl_service[Profit],""),
               IF(tbl_main[[#This Row],[Qty]]="","",_xlpm.x*tbl_main[[#This Row],[Qty]]))</f>
        <v>157</v>
      </c>
    </row>
    <row r="60" spans="1:14" x14ac:dyDescent="0.25">
      <c r="A60" t="s">
        <v>102</v>
      </c>
      <c r="B60" s="1">
        <v>45675</v>
      </c>
      <c r="C60">
        <f>IF(tbl_main[[#This Row],[Date]]="","",YEAR(B60))</f>
        <v>2025</v>
      </c>
      <c r="D60" t="str">
        <f>IF(tbl_main[[#This Row],[Date]]="","",TEXT(B60,"mmm"))</f>
        <v>Jan</v>
      </c>
      <c r="E60" t="str">
        <f>IF(tbl_main[[#This Row],[Date]]="","",TEXT(B60,"DDD"))</f>
        <v>Sat</v>
      </c>
      <c r="F60" t="s">
        <v>13</v>
      </c>
      <c r="G60" t="s">
        <v>33</v>
      </c>
      <c r="H60" s="3" t="s">
        <v>22</v>
      </c>
      <c r="I60" s="3" t="s">
        <v>37</v>
      </c>
      <c r="J60" s="3" t="s">
        <v>32</v>
      </c>
      <c r="K60" s="3">
        <f>_xlfn.XLOOKUP(tbl_main[[#This Row],[Service]],tbl_service[Service],tbl_service[Price],"")</f>
        <v>150</v>
      </c>
      <c r="L60" s="3">
        <v>1</v>
      </c>
      <c r="M60" s="3">
        <f>IF(AND(tbl_main[[#This Row],[Price]]="",tbl_main[[#This Row],[Qty]]=""),"",tbl_main[[#This Row],[Price]]*tbl_main[[#This Row],[Qty]])</f>
        <v>150</v>
      </c>
      <c r="N60" s="3">
        <f>_xlfn.LET(_xlpm.x,_xlfn.XLOOKUP(tbl_main[[#This Row],[Service]],tbl_service[Service],tbl_service[Profit],""),
               IF(tbl_main[[#This Row],[Qty]]="","",_xlpm.x*tbl_main[[#This Row],[Qty]]))</f>
        <v>67</v>
      </c>
    </row>
    <row r="61" spans="1:14" x14ac:dyDescent="0.25">
      <c r="A61" t="s">
        <v>103</v>
      </c>
      <c r="B61" s="1">
        <v>45675</v>
      </c>
      <c r="C61">
        <f>IF(tbl_main[[#This Row],[Date]]="","",YEAR(B61))</f>
        <v>2025</v>
      </c>
      <c r="D61" t="str">
        <f>IF(tbl_main[[#This Row],[Date]]="","",TEXT(B61,"mmm"))</f>
        <v>Jan</v>
      </c>
      <c r="E61" t="str">
        <f>IF(tbl_main[[#This Row],[Date]]="","",TEXT(B61,"DDD"))</f>
        <v>Sat</v>
      </c>
      <c r="F61" t="s">
        <v>13</v>
      </c>
      <c r="G61" t="s">
        <v>33</v>
      </c>
      <c r="H61" s="3" t="s">
        <v>22</v>
      </c>
      <c r="I61" s="3" t="s">
        <v>38</v>
      </c>
      <c r="J61" s="3" t="s">
        <v>32</v>
      </c>
      <c r="K61" s="3">
        <f>_xlfn.XLOOKUP(tbl_main[[#This Row],[Service]],tbl_service[Service],tbl_service[Price],"")</f>
        <v>150</v>
      </c>
      <c r="L61" s="3">
        <v>2</v>
      </c>
      <c r="M61" s="3">
        <f>IF(AND(tbl_main[[#This Row],[Price]]="",tbl_main[[#This Row],[Qty]]=""),"",tbl_main[[#This Row],[Price]]*tbl_main[[#This Row],[Qty]])</f>
        <v>300</v>
      </c>
      <c r="N61" s="3">
        <f>_xlfn.LET(_xlpm.x,_xlfn.XLOOKUP(tbl_main[[#This Row],[Service]],tbl_service[Service],tbl_service[Profit],""),
               IF(tbl_main[[#This Row],[Qty]]="","",_xlpm.x*tbl_main[[#This Row],[Qty]]))</f>
        <v>134</v>
      </c>
    </row>
    <row r="62" spans="1:14" x14ac:dyDescent="0.25">
      <c r="A62" t="s">
        <v>104</v>
      </c>
      <c r="B62" s="1">
        <v>45676</v>
      </c>
      <c r="C62">
        <f>IF(tbl_main[[#This Row],[Date]]="","",YEAR(B62))</f>
        <v>2025</v>
      </c>
      <c r="D62" t="str">
        <f>IF(tbl_main[[#This Row],[Date]]="","",TEXT(B62,"mmm"))</f>
        <v>Jan</v>
      </c>
      <c r="E62" t="str">
        <f>IF(tbl_main[[#This Row],[Date]]="","",TEXT(B62,"DDD"))</f>
        <v>Sun</v>
      </c>
      <c r="F62" t="s">
        <v>30</v>
      </c>
      <c r="G62" t="s">
        <v>36</v>
      </c>
      <c r="H62" s="3" t="s">
        <v>26</v>
      </c>
      <c r="I62" s="3" t="s">
        <v>16</v>
      </c>
      <c r="J62" s="3" t="s">
        <v>17</v>
      </c>
      <c r="K62" s="3">
        <f>_xlfn.XLOOKUP(tbl_main[[#This Row],[Service]],tbl_service[Service],tbl_service[Price],"")</f>
        <v>200</v>
      </c>
      <c r="L62" s="3">
        <v>1</v>
      </c>
      <c r="M62" s="3">
        <f>IF(AND(tbl_main[[#This Row],[Price]]="",tbl_main[[#This Row],[Qty]]=""),"",tbl_main[[#This Row],[Price]]*tbl_main[[#This Row],[Qty]])</f>
        <v>200</v>
      </c>
      <c r="N62" s="3">
        <f>_xlfn.LET(_xlpm.x,_xlfn.XLOOKUP(tbl_main[[#This Row],[Service]],tbl_service[Service],tbl_service[Profit],""),
               IF(tbl_main[[#This Row],[Qty]]="","",_xlpm.x*tbl_main[[#This Row],[Qty]]))</f>
        <v>90</v>
      </c>
    </row>
    <row r="63" spans="1:14" x14ac:dyDescent="0.25">
      <c r="A63" t="s">
        <v>105</v>
      </c>
      <c r="B63" s="1">
        <v>45676</v>
      </c>
      <c r="C63">
        <f>IF(tbl_main[[#This Row],[Date]]="","",YEAR(B63))</f>
        <v>2025</v>
      </c>
      <c r="D63" t="str">
        <f>IF(tbl_main[[#This Row],[Date]]="","",TEXT(B63,"mmm"))</f>
        <v>Jan</v>
      </c>
      <c r="E63" t="str">
        <f>IF(tbl_main[[#This Row],[Date]]="","",TEXT(B63,"DDD"))</f>
        <v>Sun</v>
      </c>
      <c r="F63" t="s">
        <v>13</v>
      </c>
      <c r="G63" t="s">
        <v>14</v>
      </c>
      <c r="H63" s="3" t="s">
        <v>18</v>
      </c>
      <c r="I63" s="3" t="s">
        <v>19</v>
      </c>
      <c r="J63" s="3" t="s">
        <v>25</v>
      </c>
      <c r="K63" s="3">
        <f>_xlfn.XLOOKUP(tbl_main[[#This Row],[Service]],tbl_service[Service],tbl_service[Price],"")</f>
        <v>500</v>
      </c>
      <c r="L63" s="3">
        <v>2</v>
      </c>
      <c r="M63" s="3">
        <f>IF(AND(tbl_main[[#This Row],[Price]]="",tbl_main[[#This Row],[Qty]]=""),"",tbl_main[[#This Row],[Price]]*tbl_main[[#This Row],[Qty]])</f>
        <v>1000</v>
      </c>
      <c r="N63" s="3">
        <f>_xlfn.LET(_xlpm.x,_xlfn.XLOOKUP(tbl_main[[#This Row],[Service]],tbl_service[Service],tbl_service[Profit],""),
               IF(tbl_main[[#This Row],[Qty]]="","",_xlpm.x*tbl_main[[#This Row],[Qty]]))</f>
        <v>314</v>
      </c>
    </row>
    <row r="64" spans="1:14" x14ac:dyDescent="0.25">
      <c r="A64" t="s">
        <v>106</v>
      </c>
      <c r="B64" s="1">
        <v>45676</v>
      </c>
      <c r="C64">
        <f>IF(tbl_main[[#This Row],[Date]]="","",YEAR(B64))</f>
        <v>2025</v>
      </c>
      <c r="D64" t="str">
        <f>IF(tbl_main[[#This Row],[Date]]="","",TEXT(B64,"mmm"))</f>
        <v>Jan</v>
      </c>
      <c r="E64" t="str">
        <f>IF(tbl_main[[#This Row],[Date]]="","",TEXT(B64,"DDD"))</f>
        <v>Sun</v>
      </c>
      <c r="F64" t="s">
        <v>13</v>
      </c>
      <c r="G64" t="s">
        <v>14</v>
      </c>
      <c r="H64" s="3" t="s">
        <v>22</v>
      </c>
      <c r="I64" s="3" t="s">
        <v>23</v>
      </c>
      <c r="J64" s="3" t="s">
        <v>25</v>
      </c>
      <c r="K64" s="3">
        <f>_xlfn.XLOOKUP(tbl_main[[#This Row],[Service]],tbl_service[Service],tbl_service[Price],"")</f>
        <v>150</v>
      </c>
      <c r="L64" s="3">
        <v>1</v>
      </c>
      <c r="M64" s="3">
        <f>IF(AND(tbl_main[[#This Row],[Price]]="",tbl_main[[#This Row],[Qty]]=""),"",tbl_main[[#This Row],[Price]]*tbl_main[[#This Row],[Qty]])</f>
        <v>150</v>
      </c>
      <c r="N64" s="3">
        <f>_xlfn.LET(_xlpm.x,_xlfn.XLOOKUP(tbl_main[[#This Row],[Service]],tbl_service[Service],tbl_service[Profit],""),
               IF(tbl_main[[#This Row],[Qty]]="","",_xlpm.x*tbl_main[[#This Row],[Qty]]))</f>
        <v>67</v>
      </c>
    </row>
    <row r="65" spans="1:14" x14ac:dyDescent="0.25">
      <c r="A65" t="s">
        <v>107</v>
      </c>
      <c r="B65" s="1">
        <v>45676</v>
      </c>
      <c r="C65">
        <f>IF(tbl_main[[#This Row],[Date]]="","",YEAR(B65))</f>
        <v>2025</v>
      </c>
      <c r="D65" t="str">
        <f>IF(tbl_main[[#This Row],[Date]]="","",TEXT(B65,"mmm"))</f>
        <v>Jan</v>
      </c>
      <c r="E65" t="str">
        <f>IF(tbl_main[[#This Row],[Date]]="","",TEXT(B65,"DDD"))</f>
        <v>Sun</v>
      </c>
      <c r="F65" t="s">
        <v>27</v>
      </c>
      <c r="G65" t="s">
        <v>28</v>
      </c>
      <c r="H65" s="3" t="s">
        <v>22</v>
      </c>
      <c r="I65" s="3" t="s">
        <v>19</v>
      </c>
      <c r="J65" s="3" t="s">
        <v>17</v>
      </c>
      <c r="K65" s="3">
        <f>_xlfn.XLOOKUP(tbl_main[[#This Row],[Service]],tbl_service[Service],tbl_service[Price],"")</f>
        <v>150</v>
      </c>
      <c r="L65" s="3">
        <v>1</v>
      </c>
      <c r="M65" s="3">
        <f>IF(AND(tbl_main[[#This Row],[Price]]="",tbl_main[[#This Row],[Qty]]=""),"",tbl_main[[#This Row],[Price]]*tbl_main[[#This Row],[Qty]])</f>
        <v>150</v>
      </c>
      <c r="N65" s="3">
        <f>_xlfn.LET(_xlpm.x,_xlfn.XLOOKUP(tbl_main[[#This Row],[Service]],tbl_service[Service],tbl_service[Profit],""),
               IF(tbl_main[[#This Row],[Qty]]="","",_xlpm.x*tbl_main[[#This Row],[Qty]]))</f>
        <v>67</v>
      </c>
    </row>
    <row r="66" spans="1:14" x14ac:dyDescent="0.25">
      <c r="A66" t="s">
        <v>108</v>
      </c>
      <c r="B66" s="1">
        <v>45677</v>
      </c>
      <c r="C66">
        <f>IF(tbl_main[[#This Row],[Date]]="","",YEAR(B66))</f>
        <v>2025</v>
      </c>
      <c r="D66" t="str">
        <f>IF(tbl_main[[#This Row],[Date]]="","",TEXT(B66,"mmm"))</f>
        <v>Jan</v>
      </c>
      <c r="E66" t="str">
        <f>IF(tbl_main[[#This Row],[Date]]="","",TEXT(B66,"DDD"))</f>
        <v>Mon</v>
      </c>
      <c r="F66" t="s">
        <v>27</v>
      </c>
      <c r="G66" t="s">
        <v>40</v>
      </c>
      <c r="H66" s="3" t="s">
        <v>15</v>
      </c>
      <c r="I66" s="3" t="s">
        <v>19</v>
      </c>
      <c r="J66" s="3" t="s">
        <v>17</v>
      </c>
      <c r="K66" s="3">
        <f>_xlfn.XLOOKUP(tbl_main[[#This Row],[Service]],tbl_service[Service],tbl_service[Price],"")</f>
        <v>500</v>
      </c>
      <c r="L66" s="3">
        <v>2</v>
      </c>
      <c r="M66" s="3">
        <f>IF(AND(tbl_main[[#This Row],[Price]]="",tbl_main[[#This Row],[Qty]]=""),"",tbl_main[[#This Row],[Price]]*tbl_main[[#This Row],[Qty]])</f>
        <v>1000</v>
      </c>
      <c r="N66" s="3">
        <f>_xlfn.LET(_xlpm.x,_xlfn.XLOOKUP(tbl_main[[#This Row],[Service]],tbl_service[Service],tbl_service[Profit],""),
               IF(tbl_main[[#This Row],[Qty]]="","",_xlpm.x*tbl_main[[#This Row],[Qty]]))</f>
        <v>450</v>
      </c>
    </row>
    <row r="67" spans="1:14" x14ac:dyDescent="0.25">
      <c r="A67" t="s">
        <v>109</v>
      </c>
      <c r="B67" s="1">
        <v>45677</v>
      </c>
      <c r="C67">
        <f>IF(tbl_main[[#This Row],[Date]]="","",YEAR(B67))</f>
        <v>2025</v>
      </c>
      <c r="D67" t="str">
        <f>IF(tbl_main[[#This Row],[Date]]="","",TEXT(B67,"mmm"))</f>
        <v>Jan</v>
      </c>
      <c r="E67" t="str">
        <f>IF(tbl_main[[#This Row],[Date]]="","",TEXT(B67,"DDD"))</f>
        <v>Mon</v>
      </c>
      <c r="F67" t="s">
        <v>20</v>
      </c>
      <c r="G67" t="s">
        <v>39</v>
      </c>
      <c r="H67" s="3" t="s">
        <v>34</v>
      </c>
      <c r="I67" s="3" t="s">
        <v>35</v>
      </c>
      <c r="J67" s="3" t="s">
        <v>32</v>
      </c>
      <c r="K67" s="3">
        <f>_xlfn.XLOOKUP(tbl_main[[#This Row],[Service]],tbl_service[Service],tbl_service[Price],"")</f>
        <v>100</v>
      </c>
      <c r="L67" s="3">
        <v>2</v>
      </c>
      <c r="M67" s="3">
        <f>IF(AND(tbl_main[[#This Row],[Price]]="",tbl_main[[#This Row],[Qty]]=""),"",tbl_main[[#This Row],[Price]]*tbl_main[[#This Row],[Qty]])</f>
        <v>200</v>
      </c>
      <c r="N67" s="3">
        <f>_xlfn.LET(_xlpm.x,_xlfn.XLOOKUP(tbl_main[[#This Row],[Service]],tbl_service[Service],tbl_service[Profit],""),
               IF(tbl_main[[#This Row],[Qty]]="","",_xlpm.x*tbl_main[[#This Row],[Qty]]))</f>
        <v>90</v>
      </c>
    </row>
    <row r="68" spans="1:14" x14ac:dyDescent="0.25">
      <c r="A68" t="s">
        <v>110</v>
      </c>
      <c r="B68" s="1">
        <v>45677</v>
      </c>
      <c r="C68">
        <f>IF(tbl_main[[#This Row],[Date]]="","",YEAR(B68))</f>
        <v>2025</v>
      </c>
      <c r="D68" t="str">
        <f>IF(tbl_main[[#This Row],[Date]]="","",TEXT(B68,"mmm"))</f>
        <v>Jan</v>
      </c>
      <c r="E68" t="str">
        <f>IF(tbl_main[[#This Row],[Date]]="","",TEXT(B68,"DDD"))</f>
        <v>Mon</v>
      </c>
      <c r="F68" t="s">
        <v>27</v>
      </c>
      <c r="G68" t="s">
        <v>28</v>
      </c>
      <c r="H68" s="3" t="s">
        <v>18</v>
      </c>
      <c r="I68" s="3" t="s">
        <v>35</v>
      </c>
      <c r="J68" s="3" t="s">
        <v>25</v>
      </c>
      <c r="K68" s="3">
        <f>_xlfn.XLOOKUP(tbl_main[[#This Row],[Service]],tbl_service[Service],tbl_service[Price],"")</f>
        <v>500</v>
      </c>
      <c r="L68" s="3">
        <v>2</v>
      </c>
      <c r="M68" s="3">
        <f>IF(AND(tbl_main[[#This Row],[Price]]="",tbl_main[[#This Row],[Qty]]=""),"",tbl_main[[#This Row],[Price]]*tbl_main[[#This Row],[Qty]])</f>
        <v>1000</v>
      </c>
      <c r="N68" s="3">
        <f>_xlfn.LET(_xlpm.x,_xlfn.XLOOKUP(tbl_main[[#This Row],[Service]],tbl_service[Service],tbl_service[Profit],""),
               IF(tbl_main[[#This Row],[Qty]]="","",_xlpm.x*tbl_main[[#This Row],[Qty]]))</f>
        <v>314</v>
      </c>
    </row>
    <row r="69" spans="1:14" x14ac:dyDescent="0.25">
      <c r="A69" t="s">
        <v>111</v>
      </c>
      <c r="B69" s="1">
        <v>45677</v>
      </c>
      <c r="C69">
        <f>IF(tbl_main[[#This Row],[Date]]="","",YEAR(B69))</f>
        <v>2025</v>
      </c>
      <c r="D69" t="str">
        <f>IF(tbl_main[[#This Row],[Date]]="","",TEXT(B69,"mmm"))</f>
        <v>Jan</v>
      </c>
      <c r="E69" t="str">
        <f>IF(tbl_main[[#This Row],[Date]]="","",TEXT(B69,"DDD"))</f>
        <v>Mon</v>
      </c>
      <c r="F69" t="s">
        <v>27</v>
      </c>
      <c r="G69" t="s">
        <v>40</v>
      </c>
      <c r="H69" s="3" t="s">
        <v>24</v>
      </c>
      <c r="I69" s="3" t="s">
        <v>23</v>
      </c>
      <c r="J69" s="3" t="s">
        <v>17</v>
      </c>
      <c r="K69" s="3">
        <f>_xlfn.XLOOKUP(tbl_main[[#This Row],[Service]],tbl_service[Service],tbl_service[Price],"")</f>
        <v>80</v>
      </c>
      <c r="L69" s="3">
        <v>1</v>
      </c>
      <c r="M69" s="3">
        <f>IF(AND(tbl_main[[#This Row],[Price]]="",tbl_main[[#This Row],[Qty]]=""),"",tbl_main[[#This Row],[Price]]*tbl_main[[#This Row],[Qty]])</f>
        <v>80</v>
      </c>
      <c r="N69" s="3">
        <f>_xlfn.LET(_xlpm.x,_xlfn.XLOOKUP(tbl_main[[#This Row],[Service]],tbl_service[Service],tbl_service[Profit],""),
               IF(tbl_main[[#This Row],[Qty]]="","",_xlpm.x*tbl_main[[#This Row],[Qty]]))</f>
        <v>36</v>
      </c>
    </row>
    <row r="70" spans="1:14" x14ac:dyDescent="0.25">
      <c r="A70" t="s">
        <v>112</v>
      </c>
      <c r="B70" s="1">
        <v>45678</v>
      </c>
      <c r="C70">
        <f>IF(tbl_main[[#This Row],[Date]]="","",YEAR(B70))</f>
        <v>2025</v>
      </c>
      <c r="D70" t="str">
        <f>IF(tbl_main[[#This Row],[Date]]="","",TEXT(B70,"mmm"))</f>
        <v>Jan</v>
      </c>
      <c r="E70" t="str">
        <f>IF(tbl_main[[#This Row],[Date]]="","",TEXT(B70,"DDD"))</f>
        <v>Tue</v>
      </c>
      <c r="F70" t="s">
        <v>30</v>
      </c>
      <c r="G70" t="s">
        <v>31</v>
      </c>
      <c r="H70" s="3" t="s">
        <v>22</v>
      </c>
      <c r="I70" s="3" t="s">
        <v>37</v>
      </c>
      <c r="J70" s="3" t="s">
        <v>32</v>
      </c>
      <c r="K70" s="3">
        <f>_xlfn.XLOOKUP(tbl_main[[#This Row],[Service]],tbl_service[Service],tbl_service[Price],"")</f>
        <v>150</v>
      </c>
      <c r="L70" s="3">
        <v>2</v>
      </c>
      <c r="M70" s="3">
        <f>IF(AND(tbl_main[[#This Row],[Price]]="",tbl_main[[#This Row],[Qty]]=""),"",tbl_main[[#This Row],[Price]]*tbl_main[[#This Row],[Qty]])</f>
        <v>300</v>
      </c>
      <c r="N70" s="3">
        <f>_xlfn.LET(_xlpm.x,_xlfn.XLOOKUP(tbl_main[[#This Row],[Service]],tbl_service[Service],tbl_service[Profit],""),
               IF(tbl_main[[#This Row],[Qty]]="","",_xlpm.x*tbl_main[[#This Row],[Qty]]))</f>
        <v>134</v>
      </c>
    </row>
    <row r="71" spans="1:14" x14ac:dyDescent="0.25">
      <c r="A71" t="s">
        <v>113</v>
      </c>
      <c r="B71" s="1">
        <v>45678</v>
      </c>
      <c r="C71">
        <f>IF(tbl_main[[#This Row],[Date]]="","",YEAR(B71))</f>
        <v>2025</v>
      </c>
      <c r="D71" t="str">
        <f>IF(tbl_main[[#This Row],[Date]]="","",TEXT(B71,"mmm"))</f>
        <v>Jan</v>
      </c>
      <c r="E71" t="str">
        <f>IF(tbl_main[[#This Row],[Date]]="","",TEXT(B71,"DDD"))</f>
        <v>Tue</v>
      </c>
      <c r="F71" t="s">
        <v>13</v>
      </c>
      <c r="G71" t="s">
        <v>33</v>
      </c>
      <c r="H71" s="3" t="s">
        <v>26</v>
      </c>
      <c r="I71" s="3" t="s">
        <v>38</v>
      </c>
      <c r="J71" s="3" t="s">
        <v>32</v>
      </c>
      <c r="K71" s="3">
        <f>_xlfn.XLOOKUP(tbl_main[[#This Row],[Service]],tbl_service[Service],tbl_service[Price],"")</f>
        <v>200</v>
      </c>
      <c r="L71" s="3">
        <v>2</v>
      </c>
      <c r="M71" s="3">
        <f>IF(AND(tbl_main[[#This Row],[Price]]="",tbl_main[[#This Row],[Qty]]=""),"",tbl_main[[#This Row],[Price]]*tbl_main[[#This Row],[Qty]])</f>
        <v>400</v>
      </c>
      <c r="N71" s="3">
        <f>_xlfn.LET(_xlpm.x,_xlfn.XLOOKUP(tbl_main[[#This Row],[Service]],tbl_service[Service],tbl_service[Profit],""),
               IF(tbl_main[[#This Row],[Qty]]="","",_xlpm.x*tbl_main[[#This Row],[Qty]]))</f>
        <v>180</v>
      </c>
    </row>
    <row r="72" spans="1:14" x14ac:dyDescent="0.25">
      <c r="A72" t="s">
        <v>114</v>
      </c>
      <c r="B72" s="1">
        <v>45679</v>
      </c>
      <c r="C72">
        <f>IF(tbl_main[[#This Row],[Date]]="","",YEAR(B72))</f>
        <v>2025</v>
      </c>
      <c r="D72" t="str">
        <f>IF(tbl_main[[#This Row],[Date]]="","",TEXT(B72,"mmm"))</f>
        <v>Jan</v>
      </c>
      <c r="E72" t="str">
        <f>IF(tbl_main[[#This Row],[Date]]="","",TEXT(B72,"DDD"))</f>
        <v>Wed</v>
      </c>
      <c r="F72" t="s">
        <v>27</v>
      </c>
      <c r="G72" t="s">
        <v>28</v>
      </c>
      <c r="H72" s="3" t="s">
        <v>34</v>
      </c>
      <c r="I72" s="3" t="s">
        <v>16</v>
      </c>
      <c r="J72" s="3" t="s">
        <v>17</v>
      </c>
      <c r="K72" s="3">
        <f>_xlfn.XLOOKUP(tbl_main[[#This Row],[Service]],tbl_service[Service],tbl_service[Price],"")</f>
        <v>100</v>
      </c>
      <c r="L72" s="3">
        <v>1</v>
      </c>
      <c r="M72" s="3">
        <f>IF(AND(tbl_main[[#This Row],[Price]]="",tbl_main[[#This Row],[Qty]]=""),"",tbl_main[[#This Row],[Price]]*tbl_main[[#This Row],[Qty]])</f>
        <v>100</v>
      </c>
      <c r="N72" s="3">
        <f>_xlfn.LET(_xlpm.x,_xlfn.XLOOKUP(tbl_main[[#This Row],[Service]],tbl_service[Service],tbl_service[Profit],""),
               IF(tbl_main[[#This Row],[Qty]]="","",_xlpm.x*tbl_main[[#This Row],[Qty]]))</f>
        <v>45</v>
      </c>
    </row>
    <row r="73" spans="1:14" x14ac:dyDescent="0.25">
      <c r="A73" t="s">
        <v>115</v>
      </c>
      <c r="B73" s="1">
        <v>45679</v>
      </c>
      <c r="C73">
        <f>IF(tbl_main[[#This Row],[Date]]="","",YEAR(B73))</f>
        <v>2025</v>
      </c>
      <c r="D73" t="str">
        <f>IF(tbl_main[[#This Row],[Date]]="","",TEXT(B73,"mmm"))</f>
        <v>Jan</v>
      </c>
      <c r="E73" t="str">
        <f>IF(tbl_main[[#This Row],[Date]]="","",TEXT(B73,"DDD"))</f>
        <v>Wed</v>
      </c>
      <c r="F73" t="s">
        <v>27</v>
      </c>
      <c r="G73" t="s">
        <v>28</v>
      </c>
      <c r="H73" s="3" t="s">
        <v>34</v>
      </c>
      <c r="I73" s="3" t="s">
        <v>19</v>
      </c>
      <c r="J73" s="3" t="s">
        <v>25</v>
      </c>
      <c r="K73" s="3">
        <f>_xlfn.XLOOKUP(tbl_main[[#This Row],[Service]],tbl_service[Service],tbl_service[Price],"")</f>
        <v>100</v>
      </c>
      <c r="L73" s="3">
        <v>1</v>
      </c>
      <c r="M73" s="3">
        <f>IF(AND(tbl_main[[#This Row],[Price]]="",tbl_main[[#This Row],[Qty]]=""),"",tbl_main[[#This Row],[Price]]*tbl_main[[#This Row],[Qty]])</f>
        <v>100</v>
      </c>
      <c r="N73" s="3">
        <f>_xlfn.LET(_xlpm.x,_xlfn.XLOOKUP(tbl_main[[#This Row],[Service]],tbl_service[Service],tbl_service[Profit],""),
               IF(tbl_main[[#This Row],[Qty]]="","",_xlpm.x*tbl_main[[#This Row],[Qty]]))</f>
        <v>45</v>
      </c>
    </row>
    <row r="74" spans="1:14" x14ac:dyDescent="0.25">
      <c r="A74" t="s">
        <v>116</v>
      </c>
      <c r="B74" s="1">
        <v>45679</v>
      </c>
      <c r="C74">
        <f>IF(tbl_main[[#This Row],[Date]]="","",YEAR(B74))</f>
        <v>2025</v>
      </c>
      <c r="D74" t="str">
        <f>IF(tbl_main[[#This Row],[Date]]="","",TEXT(B74,"mmm"))</f>
        <v>Jan</v>
      </c>
      <c r="E74" t="str">
        <f>IF(tbl_main[[#This Row],[Date]]="","",TEXT(B74,"DDD"))</f>
        <v>Wed</v>
      </c>
      <c r="F74" t="s">
        <v>20</v>
      </c>
      <c r="G74" t="s">
        <v>39</v>
      </c>
      <c r="H74" s="3" t="s">
        <v>24</v>
      </c>
      <c r="I74" s="3" t="s">
        <v>23</v>
      </c>
      <c r="J74" s="3" t="s">
        <v>32</v>
      </c>
      <c r="K74" s="3">
        <f>_xlfn.XLOOKUP(tbl_main[[#This Row],[Service]],tbl_service[Service],tbl_service[Price],"")</f>
        <v>80</v>
      </c>
      <c r="L74" s="3">
        <v>1</v>
      </c>
      <c r="M74" s="3">
        <f>IF(AND(tbl_main[[#This Row],[Price]]="",tbl_main[[#This Row],[Qty]]=""),"",tbl_main[[#This Row],[Price]]*tbl_main[[#This Row],[Qty]])</f>
        <v>80</v>
      </c>
      <c r="N74" s="3">
        <f>_xlfn.LET(_xlpm.x,_xlfn.XLOOKUP(tbl_main[[#This Row],[Service]],tbl_service[Service],tbl_service[Profit],""),
               IF(tbl_main[[#This Row],[Qty]]="","",_xlpm.x*tbl_main[[#This Row],[Qty]]))</f>
        <v>36</v>
      </c>
    </row>
    <row r="75" spans="1:14" x14ac:dyDescent="0.25">
      <c r="A75" t="s">
        <v>117</v>
      </c>
      <c r="B75" s="1">
        <v>45680</v>
      </c>
      <c r="C75">
        <f>IF(tbl_main[[#This Row],[Date]]="","",YEAR(B75))</f>
        <v>2025</v>
      </c>
      <c r="D75" t="str">
        <f>IF(tbl_main[[#This Row],[Date]]="","",TEXT(B75,"mmm"))</f>
        <v>Jan</v>
      </c>
      <c r="E75" t="str">
        <f>IF(tbl_main[[#This Row],[Date]]="","",TEXT(B75,"DDD"))</f>
        <v>Thu</v>
      </c>
      <c r="F75" t="s">
        <v>20</v>
      </c>
      <c r="G75" t="s">
        <v>21</v>
      </c>
      <c r="H75" s="3" t="s">
        <v>18</v>
      </c>
      <c r="I75" s="3" t="s">
        <v>19</v>
      </c>
      <c r="J75" s="3" t="s">
        <v>25</v>
      </c>
      <c r="K75" s="3">
        <f>_xlfn.XLOOKUP(tbl_main[[#This Row],[Service]],tbl_service[Service],tbl_service[Price],"")</f>
        <v>500</v>
      </c>
      <c r="L75" s="3">
        <v>1</v>
      </c>
      <c r="M75" s="3">
        <f>IF(AND(tbl_main[[#This Row],[Price]]="",tbl_main[[#This Row],[Qty]]=""),"",tbl_main[[#This Row],[Price]]*tbl_main[[#This Row],[Qty]])</f>
        <v>500</v>
      </c>
      <c r="N75" s="3">
        <f>_xlfn.LET(_xlpm.x,_xlfn.XLOOKUP(tbl_main[[#This Row],[Service]],tbl_service[Service],tbl_service[Profit],""),
               IF(tbl_main[[#This Row],[Qty]]="","",_xlpm.x*tbl_main[[#This Row],[Qty]]))</f>
        <v>157</v>
      </c>
    </row>
    <row r="76" spans="1:14" x14ac:dyDescent="0.25">
      <c r="A76" t="s">
        <v>118</v>
      </c>
      <c r="B76" s="1">
        <v>45680</v>
      </c>
      <c r="C76">
        <f>IF(tbl_main[[#This Row],[Date]]="","",YEAR(B76))</f>
        <v>2025</v>
      </c>
      <c r="D76" t="str">
        <f>IF(tbl_main[[#This Row],[Date]]="","",TEXT(B76,"mmm"))</f>
        <v>Jan</v>
      </c>
      <c r="E76" t="str">
        <f>IF(tbl_main[[#This Row],[Date]]="","",TEXT(B76,"DDD"))</f>
        <v>Thu</v>
      </c>
      <c r="F76" t="s">
        <v>20</v>
      </c>
      <c r="G76" t="s">
        <v>39</v>
      </c>
      <c r="H76" s="3" t="s">
        <v>26</v>
      </c>
      <c r="I76" s="3" t="s">
        <v>19</v>
      </c>
      <c r="J76" s="3" t="s">
        <v>17</v>
      </c>
      <c r="K76" s="3">
        <f>_xlfn.XLOOKUP(tbl_main[[#This Row],[Service]],tbl_service[Service],tbl_service[Price],"")</f>
        <v>200</v>
      </c>
      <c r="L76" s="3">
        <v>1</v>
      </c>
      <c r="M76" s="3">
        <f>IF(AND(tbl_main[[#This Row],[Price]]="",tbl_main[[#This Row],[Qty]]=""),"",tbl_main[[#This Row],[Price]]*tbl_main[[#This Row],[Qty]])</f>
        <v>200</v>
      </c>
      <c r="N76" s="3">
        <f>_xlfn.LET(_xlpm.x,_xlfn.XLOOKUP(tbl_main[[#This Row],[Service]],tbl_service[Service],tbl_service[Profit],""),
               IF(tbl_main[[#This Row],[Qty]]="","",_xlpm.x*tbl_main[[#This Row],[Qty]]))</f>
        <v>90</v>
      </c>
    </row>
    <row r="77" spans="1:14" x14ac:dyDescent="0.25">
      <c r="A77" t="s">
        <v>119</v>
      </c>
      <c r="B77" s="1">
        <v>45680</v>
      </c>
      <c r="C77">
        <f>IF(tbl_main[[#This Row],[Date]]="","",YEAR(B77))</f>
        <v>2025</v>
      </c>
      <c r="D77" t="str">
        <f>IF(tbl_main[[#This Row],[Date]]="","",TEXT(B77,"mmm"))</f>
        <v>Jan</v>
      </c>
      <c r="E77" t="str">
        <f>IF(tbl_main[[#This Row],[Date]]="","",TEXT(B77,"DDD"))</f>
        <v>Thu</v>
      </c>
      <c r="F77" t="s">
        <v>27</v>
      </c>
      <c r="G77" t="s">
        <v>40</v>
      </c>
      <c r="H77" s="3" t="s">
        <v>15</v>
      </c>
      <c r="I77" s="3" t="s">
        <v>35</v>
      </c>
      <c r="J77" s="3" t="s">
        <v>32</v>
      </c>
      <c r="K77" s="3">
        <f>_xlfn.XLOOKUP(tbl_main[[#This Row],[Service]],tbl_service[Service],tbl_service[Price],"")</f>
        <v>500</v>
      </c>
      <c r="L77" s="3">
        <v>1</v>
      </c>
      <c r="M77" s="3">
        <f>IF(AND(tbl_main[[#This Row],[Price]]="",tbl_main[[#This Row],[Qty]]=""),"",tbl_main[[#This Row],[Price]]*tbl_main[[#This Row],[Qty]])</f>
        <v>500</v>
      </c>
      <c r="N77" s="3">
        <f>_xlfn.LET(_xlpm.x,_xlfn.XLOOKUP(tbl_main[[#This Row],[Service]],tbl_service[Service],tbl_service[Profit],""),
               IF(tbl_main[[#This Row],[Qty]]="","",_xlpm.x*tbl_main[[#This Row],[Qty]]))</f>
        <v>225</v>
      </c>
    </row>
    <row r="78" spans="1:14" x14ac:dyDescent="0.25">
      <c r="A78" t="s">
        <v>120</v>
      </c>
      <c r="B78" s="1">
        <v>45681</v>
      </c>
      <c r="C78">
        <f>IF(tbl_main[[#This Row],[Date]]="","",YEAR(B78))</f>
        <v>2025</v>
      </c>
      <c r="D78" t="str">
        <f>IF(tbl_main[[#This Row],[Date]]="","",TEXT(B78,"mmm"))</f>
        <v>Jan</v>
      </c>
      <c r="E78" t="str">
        <f>IF(tbl_main[[#This Row],[Date]]="","",TEXT(B78,"DDD"))</f>
        <v>Fri</v>
      </c>
      <c r="F78" t="s">
        <v>27</v>
      </c>
      <c r="G78" t="s">
        <v>28</v>
      </c>
      <c r="H78" s="3" t="s">
        <v>18</v>
      </c>
      <c r="I78" s="3" t="s">
        <v>35</v>
      </c>
      <c r="J78" s="3" t="s">
        <v>32</v>
      </c>
      <c r="K78" s="3">
        <f>_xlfn.XLOOKUP(tbl_main[[#This Row],[Service]],tbl_service[Service],tbl_service[Price],"")</f>
        <v>500</v>
      </c>
      <c r="L78" s="3">
        <v>1</v>
      </c>
      <c r="M78" s="3">
        <f>IF(AND(tbl_main[[#This Row],[Price]]="",tbl_main[[#This Row],[Qty]]=""),"",tbl_main[[#This Row],[Price]]*tbl_main[[#This Row],[Qty]])</f>
        <v>500</v>
      </c>
      <c r="N78" s="3">
        <f>_xlfn.LET(_xlpm.x,_xlfn.XLOOKUP(tbl_main[[#This Row],[Service]],tbl_service[Service],tbl_service[Profit],""),
               IF(tbl_main[[#This Row],[Qty]]="","",_xlpm.x*tbl_main[[#This Row],[Qty]]))</f>
        <v>157</v>
      </c>
    </row>
    <row r="79" spans="1:14" x14ac:dyDescent="0.25">
      <c r="A79" t="s">
        <v>121</v>
      </c>
      <c r="B79" s="1">
        <v>45681</v>
      </c>
      <c r="C79">
        <f>IF(tbl_main[[#This Row],[Date]]="","",YEAR(B79))</f>
        <v>2025</v>
      </c>
      <c r="D79" t="str">
        <f>IF(tbl_main[[#This Row],[Date]]="","",TEXT(B79,"mmm"))</f>
        <v>Jan</v>
      </c>
      <c r="E79" t="str">
        <f>IF(tbl_main[[#This Row],[Date]]="","",TEXT(B79,"DDD"))</f>
        <v>Fri</v>
      </c>
      <c r="F79" t="s">
        <v>30</v>
      </c>
      <c r="G79" t="s">
        <v>36</v>
      </c>
      <c r="H79" s="3" t="s">
        <v>34</v>
      </c>
      <c r="I79" s="3" t="s">
        <v>23</v>
      </c>
      <c r="J79" s="3" t="s">
        <v>32</v>
      </c>
      <c r="K79" s="3">
        <f>_xlfn.XLOOKUP(tbl_main[[#This Row],[Service]],tbl_service[Service],tbl_service[Price],"")</f>
        <v>100</v>
      </c>
      <c r="L79" s="3">
        <v>2</v>
      </c>
      <c r="M79" s="3">
        <f>IF(AND(tbl_main[[#This Row],[Price]]="",tbl_main[[#This Row],[Qty]]=""),"",tbl_main[[#This Row],[Price]]*tbl_main[[#This Row],[Qty]])</f>
        <v>200</v>
      </c>
      <c r="N79" s="3">
        <f>_xlfn.LET(_xlpm.x,_xlfn.XLOOKUP(tbl_main[[#This Row],[Service]],tbl_service[Service],tbl_service[Profit],""),
               IF(tbl_main[[#This Row],[Qty]]="","",_xlpm.x*tbl_main[[#This Row],[Qty]]))</f>
        <v>90</v>
      </c>
    </row>
    <row r="80" spans="1:14" x14ac:dyDescent="0.25">
      <c r="A80" t="s">
        <v>122</v>
      </c>
      <c r="B80" s="1">
        <v>45681</v>
      </c>
      <c r="C80">
        <f>IF(tbl_main[[#This Row],[Date]]="","",YEAR(B80))</f>
        <v>2025</v>
      </c>
      <c r="D80" t="str">
        <f>IF(tbl_main[[#This Row],[Date]]="","",TEXT(B80,"mmm"))</f>
        <v>Jan</v>
      </c>
      <c r="E80" t="str">
        <f>IF(tbl_main[[#This Row],[Date]]="","",TEXT(B80,"DDD"))</f>
        <v>Fri</v>
      </c>
      <c r="F80" t="s">
        <v>27</v>
      </c>
      <c r="G80" t="s">
        <v>28</v>
      </c>
      <c r="H80" s="3" t="s">
        <v>24</v>
      </c>
      <c r="I80" s="3" t="s">
        <v>37</v>
      </c>
      <c r="J80" s="3" t="s">
        <v>25</v>
      </c>
      <c r="K80" s="3">
        <f>_xlfn.XLOOKUP(tbl_main[[#This Row],[Service]],tbl_service[Service],tbl_service[Price],"")</f>
        <v>80</v>
      </c>
      <c r="L80" s="3">
        <v>1</v>
      </c>
      <c r="M80" s="3">
        <f>IF(AND(tbl_main[[#This Row],[Price]]="",tbl_main[[#This Row],[Qty]]=""),"",tbl_main[[#This Row],[Price]]*tbl_main[[#This Row],[Qty]])</f>
        <v>80</v>
      </c>
      <c r="N80" s="3">
        <f>_xlfn.LET(_xlpm.x,_xlfn.XLOOKUP(tbl_main[[#This Row],[Service]],tbl_service[Service],tbl_service[Profit],""),
               IF(tbl_main[[#This Row],[Qty]]="","",_xlpm.x*tbl_main[[#This Row],[Qty]]))</f>
        <v>36</v>
      </c>
    </row>
    <row r="81" spans="1:14" x14ac:dyDescent="0.25">
      <c r="A81" t="s">
        <v>123</v>
      </c>
      <c r="B81" s="1">
        <v>45681</v>
      </c>
      <c r="C81">
        <f>IF(tbl_main[[#This Row],[Date]]="","",YEAR(B81))</f>
        <v>2025</v>
      </c>
      <c r="D81" t="str">
        <f>IF(tbl_main[[#This Row],[Date]]="","",TEXT(B81,"mmm"))</f>
        <v>Jan</v>
      </c>
      <c r="E81" t="str">
        <f>IF(tbl_main[[#This Row],[Date]]="","",TEXT(B81,"DDD"))</f>
        <v>Fri</v>
      </c>
      <c r="F81" t="s">
        <v>20</v>
      </c>
      <c r="G81" t="s">
        <v>21</v>
      </c>
      <c r="H81" s="3" t="s">
        <v>18</v>
      </c>
      <c r="I81" s="3" t="s">
        <v>38</v>
      </c>
      <c r="J81" s="3" t="s">
        <v>32</v>
      </c>
      <c r="K81" s="3">
        <f>_xlfn.XLOOKUP(tbl_main[[#This Row],[Service]],tbl_service[Service],tbl_service[Price],"")</f>
        <v>500</v>
      </c>
      <c r="L81" s="3">
        <v>1</v>
      </c>
      <c r="M81" s="3">
        <f>IF(AND(tbl_main[[#This Row],[Price]]="",tbl_main[[#This Row],[Qty]]=""),"",tbl_main[[#This Row],[Price]]*tbl_main[[#This Row],[Qty]])</f>
        <v>500</v>
      </c>
      <c r="N81" s="3">
        <f>_xlfn.LET(_xlpm.x,_xlfn.XLOOKUP(tbl_main[[#This Row],[Service]],tbl_service[Service],tbl_service[Profit],""),
               IF(tbl_main[[#This Row],[Qty]]="","",_xlpm.x*tbl_main[[#This Row],[Qty]]))</f>
        <v>157</v>
      </c>
    </row>
    <row r="82" spans="1:14" x14ac:dyDescent="0.25">
      <c r="A82" t="s">
        <v>124</v>
      </c>
      <c r="B82" s="1">
        <v>45682</v>
      </c>
      <c r="C82">
        <f>IF(tbl_main[[#This Row],[Date]]="","",YEAR(B82))</f>
        <v>2025</v>
      </c>
      <c r="D82" t="str">
        <f>IF(tbl_main[[#This Row],[Date]]="","",TEXT(B82,"mmm"))</f>
        <v>Jan</v>
      </c>
      <c r="E82" t="str">
        <f>IF(tbl_main[[#This Row],[Date]]="","",TEXT(B82,"DDD"))</f>
        <v>Sat</v>
      </c>
      <c r="F82" t="s">
        <v>13</v>
      </c>
      <c r="G82" t="s">
        <v>33</v>
      </c>
      <c r="H82" s="3" t="s">
        <v>22</v>
      </c>
      <c r="I82" s="3" t="s">
        <v>16</v>
      </c>
      <c r="J82" s="3" t="s">
        <v>17</v>
      </c>
      <c r="K82" s="3">
        <f>_xlfn.XLOOKUP(tbl_main[[#This Row],[Service]],tbl_service[Service],tbl_service[Price],"")</f>
        <v>150</v>
      </c>
      <c r="L82" s="3">
        <v>1</v>
      </c>
      <c r="M82" s="3">
        <f>IF(AND(tbl_main[[#This Row],[Price]]="",tbl_main[[#This Row],[Qty]]=""),"",tbl_main[[#This Row],[Price]]*tbl_main[[#This Row],[Qty]])</f>
        <v>150</v>
      </c>
      <c r="N82" s="3">
        <f>_xlfn.LET(_xlpm.x,_xlfn.XLOOKUP(tbl_main[[#This Row],[Service]],tbl_service[Service],tbl_service[Profit],""),
               IF(tbl_main[[#This Row],[Qty]]="","",_xlpm.x*tbl_main[[#This Row],[Qty]]))</f>
        <v>67</v>
      </c>
    </row>
    <row r="83" spans="1:14" x14ac:dyDescent="0.25">
      <c r="A83" t="s">
        <v>125</v>
      </c>
      <c r="B83" s="1">
        <v>45682</v>
      </c>
      <c r="C83">
        <f>IF(tbl_main[[#This Row],[Date]]="","",YEAR(B83))</f>
        <v>2025</v>
      </c>
      <c r="D83" t="str">
        <f>IF(tbl_main[[#This Row],[Date]]="","",TEXT(B83,"mmm"))</f>
        <v>Jan</v>
      </c>
      <c r="E83" t="str">
        <f>IF(tbl_main[[#This Row],[Date]]="","",TEXT(B83,"DDD"))</f>
        <v>Sat</v>
      </c>
      <c r="F83" t="s">
        <v>20</v>
      </c>
      <c r="G83" t="s">
        <v>29</v>
      </c>
      <c r="H83" s="3" t="s">
        <v>15</v>
      </c>
      <c r="I83" s="3" t="s">
        <v>19</v>
      </c>
      <c r="J83" s="3" t="s">
        <v>25</v>
      </c>
      <c r="K83" s="3">
        <f>_xlfn.XLOOKUP(tbl_main[[#This Row],[Service]],tbl_service[Service],tbl_service[Price],"")</f>
        <v>500</v>
      </c>
      <c r="L83" s="3">
        <v>2</v>
      </c>
      <c r="M83" s="3">
        <f>IF(AND(tbl_main[[#This Row],[Price]]="",tbl_main[[#This Row],[Qty]]=""),"",tbl_main[[#This Row],[Price]]*tbl_main[[#This Row],[Qty]])</f>
        <v>1000</v>
      </c>
      <c r="N83" s="3">
        <f>_xlfn.LET(_xlpm.x,_xlfn.XLOOKUP(tbl_main[[#This Row],[Service]],tbl_service[Service],tbl_service[Profit],""),
               IF(tbl_main[[#This Row],[Qty]]="","",_xlpm.x*tbl_main[[#This Row],[Qty]]))</f>
        <v>450</v>
      </c>
    </row>
    <row r="84" spans="1:14" x14ac:dyDescent="0.25">
      <c r="A84" t="s">
        <v>126</v>
      </c>
      <c r="B84" s="1">
        <v>45682</v>
      </c>
      <c r="C84">
        <f>IF(tbl_main[[#This Row],[Date]]="","",YEAR(B84))</f>
        <v>2025</v>
      </c>
      <c r="D84" t="str">
        <f>IF(tbl_main[[#This Row],[Date]]="","",TEXT(B84,"mmm"))</f>
        <v>Jan</v>
      </c>
      <c r="E84" t="str">
        <f>IF(tbl_main[[#This Row],[Date]]="","",TEXT(B84,"DDD"))</f>
        <v>Sat</v>
      </c>
      <c r="F84" t="s">
        <v>27</v>
      </c>
      <c r="G84" t="s">
        <v>40</v>
      </c>
      <c r="H84" s="3" t="s">
        <v>18</v>
      </c>
      <c r="I84" s="3" t="s">
        <v>23</v>
      </c>
      <c r="J84" s="3" t="s">
        <v>32</v>
      </c>
      <c r="K84" s="3">
        <f>_xlfn.XLOOKUP(tbl_main[[#This Row],[Service]],tbl_service[Service],tbl_service[Price],"")</f>
        <v>500</v>
      </c>
      <c r="L84" s="3">
        <v>2</v>
      </c>
      <c r="M84" s="3">
        <f>IF(AND(tbl_main[[#This Row],[Price]]="",tbl_main[[#This Row],[Qty]]=""),"",tbl_main[[#This Row],[Price]]*tbl_main[[#This Row],[Qty]])</f>
        <v>1000</v>
      </c>
      <c r="N84" s="3">
        <f>_xlfn.LET(_xlpm.x,_xlfn.XLOOKUP(tbl_main[[#This Row],[Service]],tbl_service[Service],tbl_service[Profit],""),
               IF(tbl_main[[#This Row],[Qty]]="","",_xlpm.x*tbl_main[[#This Row],[Qty]]))</f>
        <v>314</v>
      </c>
    </row>
    <row r="85" spans="1:14" x14ac:dyDescent="0.25">
      <c r="A85" t="s">
        <v>127</v>
      </c>
      <c r="B85" s="1">
        <v>45683</v>
      </c>
      <c r="C85">
        <f>IF(tbl_main[[#This Row],[Date]]="","",YEAR(B85))</f>
        <v>2025</v>
      </c>
      <c r="D85" t="str">
        <f>IF(tbl_main[[#This Row],[Date]]="","",TEXT(B85,"mmm"))</f>
        <v>Jan</v>
      </c>
      <c r="E85" t="str">
        <f>IF(tbl_main[[#This Row],[Date]]="","",TEXT(B85,"DDD"))</f>
        <v>Sun</v>
      </c>
      <c r="F85" t="s">
        <v>27</v>
      </c>
      <c r="G85" t="s">
        <v>28</v>
      </c>
      <c r="H85" s="3" t="s">
        <v>34</v>
      </c>
      <c r="I85" s="3" t="s">
        <v>19</v>
      </c>
      <c r="J85" s="3" t="s">
        <v>32</v>
      </c>
      <c r="K85" s="3">
        <f>_xlfn.XLOOKUP(tbl_main[[#This Row],[Service]],tbl_service[Service],tbl_service[Price],"")</f>
        <v>100</v>
      </c>
      <c r="L85" s="3">
        <v>2</v>
      </c>
      <c r="M85" s="3">
        <f>IF(AND(tbl_main[[#This Row],[Price]]="",tbl_main[[#This Row],[Qty]]=""),"",tbl_main[[#This Row],[Price]]*tbl_main[[#This Row],[Qty]])</f>
        <v>200</v>
      </c>
      <c r="N85" s="3">
        <f>_xlfn.LET(_xlpm.x,_xlfn.XLOOKUP(tbl_main[[#This Row],[Service]],tbl_service[Service],tbl_service[Profit],""),
               IF(tbl_main[[#This Row],[Qty]]="","",_xlpm.x*tbl_main[[#This Row],[Qty]]))</f>
        <v>90</v>
      </c>
    </row>
    <row r="86" spans="1:14" x14ac:dyDescent="0.25">
      <c r="A86" t="s">
        <v>128</v>
      </c>
      <c r="B86" s="1">
        <v>45683</v>
      </c>
      <c r="C86">
        <f>IF(tbl_main[[#This Row],[Date]]="","",YEAR(B86))</f>
        <v>2025</v>
      </c>
      <c r="D86" t="str">
        <f>IF(tbl_main[[#This Row],[Date]]="","",TEXT(B86,"mmm"))</f>
        <v>Jan</v>
      </c>
      <c r="E86" t="str">
        <f>IF(tbl_main[[#This Row],[Date]]="","",TEXT(B86,"DDD"))</f>
        <v>Sun</v>
      </c>
      <c r="F86" t="s">
        <v>13</v>
      </c>
      <c r="G86" t="s">
        <v>33</v>
      </c>
      <c r="H86" s="3" t="s">
        <v>22</v>
      </c>
      <c r="I86" s="3" t="s">
        <v>19</v>
      </c>
      <c r="J86" s="3" t="s">
        <v>25</v>
      </c>
      <c r="K86" s="3">
        <f>_xlfn.XLOOKUP(tbl_main[[#This Row],[Service]],tbl_service[Service],tbl_service[Price],"")</f>
        <v>150</v>
      </c>
      <c r="L86" s="3">
        <v>2</v>
      </c>
      <c r="M86" s="3">
        <f>IF(AND(tbl_main[[#This Row],[Price]]="",tbl_main[[#This Row],[Qty]]=""),"",tbl_main[[#This Row],[Price]]*tbl_main[[#This Row],[Qty]])</f>
        <v>300</v>
      </c>
      <c r="N86" s="3">
        <f>_xlfn.LET(_xlpm.x,_xlfn.XLOOKUP(tbl_main[[#This Row],[Service]],tbl_service[Service],tbl_service[Profit],""),
               IF(tbl_main[[#This Row],[Qty]]="","",_xlpm.x*tbl_main[[#This Row],[Qty]]))</f>
        <v>134</v>
      </c>
    </row>
    <row r="87" spans="1:14" x14ac:dyDescent="0.25">
      <c r="A87" t="s">
        <v>129</v>
      </c>
      <c r="B87" s="1">
        <v>45683</v>
      </c>
      <c r="C87">
        <f>IF(tbl_main[[#This Row],[Date]]="","",YEAR(B87))</f>
        <v>2025</v>
      </c>
      <c r="D87" t="str">
        <f>IF(tbl_main[[#This Row],[Date]]="","",TEXT(B87,"mmm"))</f>
        <v>Jan</v>
      </c>
      <c r="E87" t="str">
        <f>IF(tbl_main[[#This Row],[Date]]="","",TEXT(B87,"DDD"))</f>
        <v>Sun</v>
      </c>
      <c r="F87" t="s">
        <v>30</v>
      </c>
      <c r="G87" t="s">
        <v>36</v>
      </c>
      <c r="H87" s="3" t="s">
        <v>24</v>
      </c>
      <c r="I87" s="3" t="s">
        <v>35</v>
      </c>
      <c r="J87" s="3" t="s">
        <v>17</v>
      </c>
      <c r="K87" s="3">
        <f>_xlfn.XLOOKUP(tbl_main[[#This Row],[Service]],tbl_service[Service],tbl_service[Price],"")</f>
        <v>80</v>
      </c>
      <c r="L87" s="3">
        <v>2</v>
      </c>
      <c r="M87" s="3">
        <f>IF(AND(tbl_main[[#This Row],[Price]]="",tbl_main[[#This Row],[Qty]]=""),"",tbl_main[[#This Row],[Price]]*tbl_main[[#This Row],[Qty]])</f>
        <v>160</v>
      </c>
      <c r="N87" s="3">
        <f>_xlfn.LET(_xlpm.x,_xlfn.XLOOKUP(tbl_main[[#This Row],[Service]],tbl_service[Service],tbl_service[Profit],""),
               IF(tbl_main[[#This Row],[Qty]]="","",_xlpm.x*tbl_main[[#This Row],[Qty]]))</f>
        <v>72</v>
      </c>
    </row>
    <row r="88" spans="1:14" x14ac:dyDescent="0.25">
      <c r="A88" t="s">
        <v>130</v>
      </c>
      <c r="B88" s="1">
        <v>45684</v>
      </c>
      <c r="C88">
        <f>IF(tbl_main[[#This Row],[Date]]="","",YEAR(B88))</f>
        <v>2025</v>
      </c>
      <c r="D88" t="str">
        <f>IF(tbl_main[[#This Row],[Date]]="","",TEXT(B88,"mmm"))</f>
        <v>Jan</v>
      </c>
      <c r="E88" t="str">
        <f>IF(tbl_main[[#This Row],[Date]]="","",TEXT(B88,"DDD"))</f>
        <v>Mon</v>
      </c>
      <c r="F88" t="s">
        <v>13</v>
      </c>
      <c r="G88" t="s">
        <v>33</v>
      </c>
      <c r="H88" s="3" t="s">
        <v>18</v>
      </c>
      <c r="I88" s="3" t="s">
        <v>35</v>
      </c>
      <c r="J88" s="3" t="s">
        <v>32</v>
      </c>
      <c r="K88" s="3">
        <f>_xlfn.XLOOKUP(tbl_main[[#This Row],[Service]],tbl_service[Service],tbl_service[Price],"")</f>
        <v>500</v>
      </c>
      <c r="L88" s="3">
        <v>1</v>
      </c>
      <c r="M88" s="3">
        <f>IF(AND(tbl_main[[#This Row],[Price]]="",tbl_main[[#This Row],[Qty]]=""),"",tbl_main[[#This Row],[Price]]*tbl_main[[#This Row],[Qty]])</f>
        <v>500</v>
      </c>
      <c r="N88" s="3">
        <f>_xlfn.LET(_xlpm.x,_xlfn.XLOOKUP(tbl_main[[#This Row],[Service]],tbl_service[Service],tbl_service[Profit],""),
               IF(tbl_main[[#This Row],[Qty]]="","",_xlpm.x*tbl_main[[#This Row],[Qty]]))</f>
        <v>157</v>
      </c>
    </row>
    <row r="89" spans="1:14" x14ac:dyDescent="0.25">
      <c r="A89" t="s">
        <v>131</v>
      </c>
      <c r="B89" s="1">
        <v>45684</v>
      </c>
      <c r="C89">
        <f>IF(tbl_main[[#This Row],[Date]]="","",YEAR(B89))</f>
        <v>2025</v>
      </c>
      <c r="D89" t="str">
        <f>IF(tbl_main[[#This Row],[Date]]="","",TEXT(B89,"mmm"))</f>
        <v>Jan</v>
      </c>
      <c r="E89" t="str">
        <f>IF(tbl_main[[#This Row],[Date]]="","",TEXT(B89,"DDD"))</f>
        <v>Mon</v>
      </c>
      <c r="F89" t="s">
        <v>13</v>
      </c>
      <c r="G89" t="s">
        <v>33</v>
      </c>
      <c r="H89" s="3" t="s">
        <v>24</v>
      </c>
      <c r="I89" s="3" t="s">
        <v>23</v>
      </c>
      <c r="J89" s="3" t="s">
        <v>25</v>
      </c>
      <c r="K89" s="3">
        <f>_xlfn.XLOOKUP(tbl_main[[#This Row],[Service]],tbl_service[Service],tbl_service[Price],"")</f>
        <v>80</v>
      </c>
      <c r="L89" s="3">
        <v>2</v>
      </c>
      <c r="M89" s="3">
        <f>IF(AND(tbl_main[[#This Row],[Price]]="",tbl_main[[#This Row],[Qty]]=""),"",tbl_main[[#This Row],[Price]]*tbl_main[[#This Row],[Qty]])</f>
        <v>160</v>
      </c>
      <c r="N89" s="3">
        <f>_xlfn.LET(_xlpm.x,_xlfn.XLOOKUP(tbl_main[[#This Row],[Service]],tbl_service[Service],tbl_service[Profit],""),
               IF(tbl_main[[#This Row],[Qty]]="","",_xlpm.x*tbl_main[[#This Row],[Qty]]))</f>
        <v>72</v>
      </c>
    </row>
    <row r="90" spans="1:14" x14ac:dyDescent="0.25">
      <c r="A90" t="s">
        <v>132</v>
      </c>
      <c r="B90" s="1">
        <v>45684</v>
      </c>
      <c r="C90">
        <f>IF(tbl_main[[#This Row],[Date]]="","",YEAR(B90))</f>
        <v>2025</v>
      </c>
      <c r="D90" t="str">
        <f>IF(tbl_main[[#This Row],[Date]]="","",TEXT(B90,"mmm"))</f>
        <v>Jan</v>
      </c>
      <c r="E90" t="str">
        <f>IF(tbl_main[[#This Row],[Date]]="","",TEXT(B90,"DDD"))</f>
        <v>Mon</v>
      </c>
      <c r="F90" t="s">
        <v>13</v>
      </c>
      <c r="G90" t="s">
        <v>33</v>
      </c>
      <c r="H90" s="3" t="s">
        <v>24</v>
      </c>
      <c r="I90" s="3" t="s">
        <v>37</v>
      </c>
      <c r="J90" s="3" t="s">
        <v>17</v>
      </c>
      <c r="K90" s="3">
        <f>_xlfn.XLOOKUP(tbl_main[[#This Row],[Service]],tbl_service[Service],tbl_service[Price],"")</f>
        <v>80</v>
      </c>
      <c r="L90" s="3">
        <v>2</v>
      </c>
      <c r="M90" s="3">
        <f>IF(AND(tbl_main[[#This Row],[Price]]="",tbl_main[[#This Row],[Qty]]=""),"",tbl_main[[#This Row],[Price]]*tbl_main[[#This Row],[Qty]])</f>
        <v>160</v>
      </c>
      <c r="N90" s="3">
        <f>_xlfn.LET(_xlpm.x,_xlfn.XLOOKUP(tbl_main[[#This Row],[Service]],tbl_service[Service],tbl_service[Profit],""),
               IF(tbl_main[[#This Row],[Qty]]="","",_xlpm.x*tbl_main[[#This Row],[Qty]]))</f>
        <v>72</v>
      </c>
    </row>
    <row r="91" spans="1:14" x14ac:dyDescent="0.25">
      <c r="A91" t="s">
        <v>133</v>
      </c>
      <c r="B91" s="1">
        <v>45685</v>
      </c>
      <c r="C91">
        <f>IF(tbl_main[[#This Row],[Date]]="","",YEAR(B91))</f>
        <v>2025</v>
      </c>
      <c r="D91" t="str">
        <f>IF(tbl_main[[#This Row],[Date]]="","",TEXT(B91,"mmm"))</f>
        <v>Jan</v>
      </c>
      <c r="E91" t="str">
        <f>IF(tbl_main[[#This Row],[Date]]="","",TEXT(B91,"DDD"))</f>
        <v>Tue</v>
      </c>
      <c r="F91" t="s">
        <v>13</v>
      </c>
      <c r="G91" t="s">
        <v>33</v>
      </c>
      <c r="H91" s="3" t="s">
        <v>26</v>
      </c>
      <c r="I91" s="3" t="s">
        <v>38</v>
      </c>
      <c r="J91" s="3" t="s">
        <v>17</v>
      </c>
      <c r="K91" s="3">
        <f>_xlfn.XLOOKUP(tbl_main[[#This Row],[Service]],tbl_service[Service],tbl_service[Price],"")</f>
        <v>200</v>
      </c>
      <c r="L91" s="3">
        <v>2</v>
      </c>
      <c r="M91" s="3">
        <f>IF(AND(tbl_main[[#This Row],[Price]]="",tbl_main[[#This Row],[Qty]]=""),"",tbl_main[[#This Row],[Price]]*tbl_main[[#This Row],[Qty]])</f>
        <v>400</v>
      </c>
      <c r="N91" s="3">
        <f>_xlfn.LET(_xlpm.x,_xlfn.XLOOKUP(tbl_main[[#This Row],[Service]],tbl_service[Service],tbl_service[Profit],""),
               IF(tbl_main[[#This Row],[Qty]]="","",_xlpm.x*tbl_main[[#This Row],[Qty]]))</f>
        <v>180</v>
      </c>
    </row>
    <row r="92" spans="1:14" x14ac:dyDescent="0.25">
      <c r="A92" t="s">
        <v>134</v>
      </c>
      <c r="B92" s="1">
        <v>45685</v>
      </c>
      <c r="C92">
        <f>IF(tbl_main[[#This Row],[Date]]="","",YEAR(B92))</f>
        <v>2025</v>
      </c>
      <c r="D92" t="str">
        <f>IF(tbl_main[[#This Row],[Date]]="","",TEXT(B92,"mmm"))</f>
        <v>Jan</v>
      </c>
      <c r="E92" t="str">
        <f>IF(tbl_main[[#This Row],[Date]]="","",TEXT(B92,"DDD"))</f>
        <v>Tue</v>
      </c>
      <c r="F92" t="s">
        <v>27</v>
      </c>
      <c r="G92" t="s">
        <v>28</v>
      </c>
      <c r="H92" s="3" t="s">
        <v>22</v>
      </c>
      <c r="I92" s="3" t="s">
        <v>16</v>
      </c>
      <c r="J92" s="3" t="s">
        <v>25</v>
      </c>
      <c r="K92" s="3">
        <f>_xlfn.XLOOKUP(tbl_main[[#This Row],[Service]],tbl_service[Service],tbl_service[Price],"")</f>
        <v>150</v>
      </c>
      <c r="L92" s="3">
        <v>1</v>
      </c>
      <c r="M92" s="3">
        <f>IF(AND(tbl_main[[#This Row],[Price]]="",tbl_main[[#This Row],[Qty]]=""),"",tbl_main[[#This Row],[Price]]*tbl_main[[#This Row],[Qty]])</f>
        <v>150</v>
      </c>
      <c r="N92" s="3">
        <f>_xlfn.LET(_xlpm.x,_xlfn.XLOOKUP(tbl_main[[#This Row],[Service]],tbl_service[Service],tbl_service[Profit],""),
               IF(tbl_main[[#This Row],[Qty]]="","",_xlpm.x*tbl_main[[#This Row],[Qty]]))</f>
        <v>67</v>
      </c>
    </row>
    <row r="93" spans="1:14" x14ac:dyDescent="0.25">
      <c r="A93" t="s">
        <v>135</v>
      </c>
      <c r="B93" s="1">
        <v>45685</v>
      </c>
      <c r="C93">
        <f>IF(tbl_main[[#This Row],[Date]]="","",YEAR(B93))</f>
        <v>2025</v>
      </c>
      <c r="D93" t="str">
        <f>IF(tbl_main[[#This Row],[Date]]="","",TEXT(B93,"mmm"))</f>
        <v>Jan</v>
      </c>
      <c r="E93" t="str">
        <f>IF(tbl_main[[#This Row],[Date]]="","",TEXT(B93,"DDD"))</f>
        <v>Tue</v>
      </c>
      <c r="F93" t="s">
        <v>27</v>
      </c>
      <c r="G93" t="s">
        <v>28</v>
      </c>
      <c r="H93" s="3" t="s">
        <v>18</v>
      </c>
      <c r="I93" s="3" t="s">
        <v>19</v>
      </c>
      <c r="J93" s="3" t="s">
        <v>17</v>
      </c>
      <c r="K93" s="3">
        <f>_xlfn.XLOOKUP(tbl_main[[#This Row],[Service]],tbl_service[Service],tbl_service[Price],"")</f>
        <v>500</v>
      </c>
      <c r="L93" s="3">
        <v>1</v>
      </c>
      <c r="M93" s="3">
        <f>IF(AND(tbl_main[[#This Row],[Price]]="",tbl_main[[#This Row],[Qty]]=""),"",tbl_main[[#This Row],[Price]]*tbl_main[[#This Row],[Qty]])</f>
        <v>500</v>
      </c>
      <c r="N93" s="3">
        <f>_xlfn.LET(_xlpm.x,_xlfn.XLOOKUP(tbl_main[[#This Row],[Service]],tbl_service[Service],tbl_service[Profit],""),
               IF(tbl_main[[#This Row],[Qty]]="","",_xlpm.x*tbl_main[[#This Row],[Qty]]))</f>
        <v>157</v>
      </c>
    </row>
    <row r="94" spans="1:14" x14ac:dyDescent="0.25">
      <c r="A94" t="s">
        <v>136</v>
      </c>
      <c r="B94" s="1">
        <v>45685</v>
      </c>
      <c r="C94">
        <f>IF(tbl_main[[#This Row],[Date]]="","",YEAR(B94))</f>
        <v>2025</v>
      </c>
      <c r="D94" t="str">
        <f>IF(tbl_main[[#This Row],[Date]]="","",TEXT(B94,"mmm"))</f>
        <v>Jan</v>
      </c>
      <c r="E94" t="str">
        <f>IF(tbl_main[[#This Row],[Date]]="","",TEXT(B94,"DDD"))</f>
        <v>Tue</v>
      </c>
      <c r="F94" t="s">
        <v>27</v>
      </c>
      <c r="G94" t="s">
        <v>40</v>
      </c>
      <c r="H94" s="3" t="s">
        <v>18</v>
      </c>
      <c r="I94" s="3" t="s">
        <v>23</v>
      </c>
      <c r="J94" s="3" t="s">
        <v>32</v>
      </c>
      <c r="K94" s="3">
        <f>_xlfn.XLOOKUP(tbl_main[[#This Row],[Service]],tbl_service[Service],tbl_service[Price],"")</f>
        <v>500</v>
      </c>
      <c r="L94" s="3">
        <v>2</v>
      </c>
      <c r="M94" s="3">
        <f>IF(AND(tbl_main[[#This Row],[Price]]="",tbl_main[[#This Row],[Qty]]=""),"",tbl_main[[#This Row],[Price]]*tbl_main[[#This Row],[Qty]])</f>
        <v>1000</v>
      </c>
      <c r="N94" s="3">
        <f>_xlfn.LET(_xlpm.x,_xlfn.XLOOKUP(tbl_main[[#This Row],[Service]],tbl_service[Service],tbl_service[Profit],""),
               IF(tbl_main[[#This Row],[Qty]]="","",_xlpm.x*tbl_main[[#This Row],[Qty]]))</f>
        <v>314</v>
      </c>
    </row>
    <row r="95" spans="1:14" x14ac:dyDescent="0.25">
      <c r="A95" t="s">
        <v>137</v>
      </c>
      <c r="B95" s="1">
        <v>45686</v>
      </c>
      <c r="C95">
        <f>IF(tbl_main[[#This Row],[Date]]="","",YEAR(B95))</f>
        <v>2025</v>
      </c>
      <c r="D95" t="str">
        <f>IF(tbl_main[[#This Row],[Date]]="","",TEXT(B95,"mmm"))</f>
        <v>Jan</v>
      </c>
      <c r="E95" t="str">
        <f>IF(tbl_main[[#This Row],[Date]]="","",TEXT(B95,"DDD"))</f>
        <v>Wed</v>
      </c>
      <c r="F95" t="s">
        <v>13</v>
      </c>
      <c r="G95" t="s">
        <v>33</v>
      </c>
      <c r="H95" s="3" t="s">
        <v>22</v>
      </c>
      <c r="I95" s="3" t="s">
        <v>19</v>
      </c>
      <c r="J95" s="3" t="s">
        <v>32</v>
      </c>
      <c r="K95" s="3">
        <f>_xlfn.XLOOKUP(tbl_main[[#This Row],[Service]],tbl_service[Service],tbl_service[Price],"")</f>
        <v>150</v>
      </c>
      <c r="L95" s="3">
        <v>2</v>
      </c>
      <c r="M95" s="3">
        <f>IF(AND(tbl_main[[#This Row],[Price]]="",tbl_main[[#This Row],[Qty]]=""),"",tbl_main[[#This Row],[Price]]*tbl_main[[#This Row],[Qty]])</f>
        <v>300</v>
      </c>
      <c r="N95" s="3">
        <f>_xlfn.LET(_xlpm.x,_xlfn.XLOOKUP(tbl_main[[#This Row],[Service]],tbl_service[Service],tbl_service[Profit],""),
               IF(tbl_main[[#This Row],[Qty]]="","",_xlpm.x*tbl_main[[#This Row],[Qty]]))</f>
        <v>134</v>
      </c>
    </row>
    <row r="96" spans="1:14" x14ac:dyDescent="0.25">
      <c r="A96" t="s">
        <v>138</v>
      </c>
      <c r="B96" s="1">
        <v>45686</v>
      </c>
      <c r="C96">
        <f>IF(tbl_main[[#This Row],[Date]]="","",YEAR(B96))</f>
        <v>2025</v>
      </c>
      <c r="D96" t="str">
        <f>IF(tbl_main[[#This Row],[Date]]="","",TEXT(B96,"mmm"))</f>
        <v>Jan</v>
      </c>
      <c r="E96" t="str">
        <f>IF(tbl_main[[#This Row],[Date]]="","",TEXT(B96,"DDD"))</f>
        <v>Wed</v>
      </c>
      <c r="F96" t="s">
        <v>30</v>
      </c>
      <c r="G96" t="s">
        <v>31</v>
      </c>
      <c r="H96" s="3" t="s">
        <v>15</v>
      </c>
      <c r="I96" s="3" t="s">
        <v>19</v>
      </c>
      <c r="J96" s="3" t="s">
        <v>25</v>
      </c>
      <c r="K96" s="3">
        <f>_xlfn.XLOOKUP(tbl_main[[#This Row],[Service]],tbl_service[Service],tbl_service[Price],"")</f>
        <v>500</v>
      </c>
      <c r="L96" s="3">
        <v>1</v>
      </c>
      <c r="M96" s="3">
        <f>IF(AND(tbl_main[[#This Row],[Price]]="",tbl_main[[#This Row],[Qty]]=""),"",tbl_main[[#This Row],[Price]]*tbl_main[[#This Row],[Qty]])</f>
        <v>500</v>
      </c>
      <c r="N96" s="3">
        <f>_xlfn.LET(_xlpm.x,_xlfn.XLOOKUP(tbl_main[[#This Row],[Service]],tbl_service[Service],tbl_service[Profit],""),
               IF(tbl_main[[#This Row],[Qty]]="","",_xlpm.x*tbl_main[[#This Row],[Qty]]))</f>
        <v>225</v>
      </c>
    </row>
    <row r="97" spans="1:14" x14ac:dyDescent="0.25">
      <c r="A97" t="s">
        <v>139</v>
      </c>
      <c r="B97" s="1">
        <v>45686</v>
      </c>
      <c r="C97">
        <f>IF(tbl_main[[#This Row],[Date]]="","",YEAR(B97))</f>
        <v>2025</v>
      </c>
      <c r="D97" t="str">
        <f>IF(tbl_main[[#This Row],[Date]]="","",TEXT(B97,"mmm"))</f>
        <v>Jan</v>
      </c>
      <c r="E97" t="str">
        <f>IF(tbl_main[[#This Row],[Date]]="","",TEXT(B97,"DDD"))</f>
        <v>Wed</v>
      </c>
      <c r="F97" t="s">
        <v>20</v>
      </c>
      <c r="G97" t="s">
        <v>21</v>
      </c>
      <c r="H97" s="3" t="s">
        <v>26</v>
      </c>
      <c r="I97" s="3" t="s">
        <v>35</v>
      </c>
      <c r="J97" s="3" t="s">
        <v>25</v>
      </c>
      <c r="K97" s="3">
        <f>_xlfn.XLOOKUP(tbl_main[[#This Row],[Service]],tbl_service[Service],tbl_service[Price],"")</f>
        <v>200</v>
      </c>
      <c r="L97" s="3">
        <v>2</v>
      </c>
      <c r="M97" s="3">
        <f>IF(AND(tbl_main[[#This Row],[Price]]="",tbl_main[[#This Row],[Qty]]=""),"",tbl_main[[#This Row],[Price]]*tbl_main[[#This Row],[Qty]])</f>
        <v>400</v>
      </c>
      <c r="N97" s="3">
        <f>_xlfn.LET(_xlpm.x,_xlfn.XLOOKUP(tbl_main[[#This Row],[Service]],tbl_service[Service],tbl_service[Profit],""),
               IF(tbl_main[[#This Row],[Qty]]="","",_xlpm.x*tbl_main[[#This Row],[Qty]]))</f>
        <v>180</v>
      </c>
    </row>
    <row r="98" spans="1:14" x14ac:dyDescent="0.25">
      <c r="A98" t="s">
        <v>140</v>
      </c>
      <c r="B98" s="1">
        <v>45686</v>
      </c>
      <c r="C98">
        <f>IF(tbl_main[[#This Row],[Date]]="","",YEAR(B98))</f>
        <v>2025</v>
      </c>
      <c r="D98" t="str">
        <f>IF(tbl_main[[#This Row],[Date]]="","",TEXT(B98,"mmm"))</f>
        <v>Jan</v>
      </c>
      <c r="E98" t="str">
        <f>IF(tbl_main[[#This Row],[Date]]="","",TEXT(B98,"DDD"))</f>
        <v>Wed</v>
      </c>
      <c r="F98" t="s">
        <v>27</v>
      </c>
      <c r="G98" t="s">
        <v>40</v>
      </c>
      <c r="H98" s="3" t="s">
        <v>18</v>
      </c>
      <c r="I98" s="3" t="s">
        <v>35</v>
      </c>
      <c r="J98" s="3" t="s">
        <v>25</v>
      </c>
      <c r="K98" s="3">
        <f>_xlfn.XLOOKUP(tbl_main[[#This Row],[Service]],tbl_service[Service],tbl_service[Price],"")</f>
        <v>500</v>
      </c>
      <c r="L98" s="3">
        <v>1</v>
      </c>
      <c r="M98" s="3">
        <f>IF(AND(tbl_main[[#This Row],[Price]]="",tbl_main[[#This Row],[Qty]]=""),"",tbl_main[[#This Row],[Price]]*tbl_main[[#This Row],[Qty]])</f>
        <v>500</v>
      </c>
      <c r="N98" s="3">
        <f>_xlfn.LET(_xlpm.x,_xlfn.XLOOKUP(tbl_main[[#This Row],[Service]],tbl_service[Service],tbl_service[Profit],""),
               IF(tbl_main[[#This Row],[Qty]]="","",_xlpm.x*tbl_main[[#This Row],[Qty]]))</f>
        <v>157</v>
      </c>
    </row>
    <row r="99" spans="1:14" x14ac:dyDescent="0.25">
      <c r="A99" t="s">
        <v>141</v>
      </c>
      <c r="B99" s="1">
        <v>45687</v>
      </c>
      <c r="C99">
        <f>IF(tbl_main[[#This Row],[Date]]="","",YEAR(B99))</f>
        <v>2025</v>
      </c>
      <c r="D99" t="str">
        <f>IF(tbl_main[[#This Row],[Date]]="","",TEXT(B99,"mmm"))</f>
        <v>Jan</v>
      </c>
      <c r="E99" t="str">
        <f>IF(tbl_main[[#This Row],[Date]]="","",TEXT(B99,"DDD"))</f>
        <v>Thu</v>
      </c>
      <c r="F99" t="s">
        <v>20</v>
      </c>
      <c r="G99" t="s">
        <v>29</v>
      </c>
      <c r="H99" s="3" t="s">
        <v>22</v>
      </c>
      <c r="I99" s="3" t="s">
        <v>23</v>
      </c>
      <c r="J99" s="3" t="s">
        <v>25</v>
      </c>
      <c r="K99" s="3">
        <f>_xlfn.XLOOKUP(tbl_main[[#This Row],[Service]],tbl_service[Service],tbl_service[Price],"")</f>
        <v>150</v>
      </c>
      <c r="L99" s="3">
        <v>2</v>
      </c>
      <c r="M99" s="3">
        <f>IF(AND(tbl_main[[#This Row],[Price]]="",tbl_main[[#This Row],[Qty]]=""),"",tbl_main[[#This Row],[Price]]*tbl_main[[#This Row],[Qty]])</f>
        <v>300</v>
      </c>
      <c r="N99" s="3">
        <f>_xlfn.LET(_xlpm.x,_xlfn.XLOOKUP(tbl_main[[#This Row],[Service]],tbl_service[Service],tbl_service[Profit],""),
               IF(tbl_main[[#This Row],[Qty]]="","",_xlpm.x*tbl_main[[#This Row],[Qty]]))</f>
        <v>134</v>
      </c>
    </row>
    <row r="100" spans="1:14" x14ac:dyDescent="0.25">
      <c r="A100" t="s">
        <v>142</v>
      </c>
      <c r="B100" s="1">
        <v>45687</v>
      </c>
      <c r="C100">
        <f>IF(tbl_main[[#This Row],[Date]]="","",YEAR(B100))</f>
        <v>2025</v>
      </c>
      <c r="D100" t="str">
        <f>IF(tbl_main[[#This Row],[Date]]="","",TEXT(B100,"mmm"))</f>
        <v>Jan</v>
      </c>
      <c r="E100" t="str">
        <f>IF(tbl_main[[#This Row],[Date]]="","",TEXT(B100,"DDD"))</f>
        <v>Thu</v>
      </c>
      <c r="F100" t="s">
        <v>20</v>
      </c>
      <c r="G100" t="s">
        <v>21</v>
      </c>
      <c r="H100" s="3" t="s">
        <v>26</v>
      </c>
      <c r="I100" s="3" t="s">
        <v>37</v>
      </c>
      <c r="J100" s="3" t="s">
        <v>32</v>
      </c>
      <c r="K100" s="3">
        <f>_xlfn.XLOOKUP(tbl_main[[#This Row],[Service]],tbl_service[Service],tbl_service[Price],"")</f>
        <v>200</v>
      </c>
      <c r="L100" s="3">
        <v>1</v>
      </c>
      <c r="M100" s="3">
        <f>IF(AND(tbl_main[[#This Row],[Price]]="",tbl_main[[#This Row],[Qty]]=""),"",tbl_main[[#This Row],[Price]]*tbl_main[[#This Row],[Qty]])</f>
        <v>200</v>
      </c>
      <c r="N100" s="3">
        <f>_xlfn.LET(_xlpm.x,_xlfn.XLOOKUP(tbl_main[[#This Row],[Service]],tbl_service[Service],tbl_service[Profit],""),
               IF(tbl_main[[#This Row],[Qty]]="","",_xlpm.x*tbl_main[[#This Row],[Qty]]))</f>
        <v>90</v>
      </c>
    </row>
    <row r="101" spans="1:14" x14ac:dyDescent="0.25">
      <c r="A101" t="s">
        <v>143</v>
      </c>
      <c r="B101" s="1">
        <v>45687</v>
      </c>
      <c r="C101">
        <f>IF(tbl_main[[#This Row],[Date]]="","",YEAR(B101))</f>
        <v>2025</v>
      </c>
      <c r="D101" t="str">
        <f>IF(tbl_main[[#This Row],[Date]]="","",TEXT(B101,"mmm"))</f>
        <v>Jan</v>
      </c>
      <c r="E101" t="str">
        <f>IF(tbl_main[[#This Row],[Date]]="","",TEXT(B101,"DDD"))</f>
        <v>Thu</v>
      </c>
      <c r="F101" t="s">
        <v>20</v>
      </c>
      <c r="G101" t="s">
        <v>21</v>
      </c>
      <c r="H101" s="3" t="s">
        <v>24</v>
      </c>
      <c r="I101" s="3" t="s">
        <v>38</v>
      </c>
      <c r="J101" s="3" t="s">
        <v>17</v>
      </c>
      <c r="K101" s="3">
        <f>_xlfn.XLOOKUP(tbl_main[[#This Row],[Service]],tbl_service[Service],tbl_service[Price],"")</f>
        <v>80</v>
      </c>
      <c r="L101" s="3">
        <v>2</v>
      </c>
      <c r="M101" s="3">
        <f>IF(AND(tbl_main[[#This Row],[Price]]="",tbl_main[[#This Row],[Qty]]=""),"",tbl_main[[#This Row],[Price]]*tbl_main[[#This Row],[Qty]])</f>
        <v>160</v>
      </c>
      <c r="N101" s="3">
        <f>_xlfn.LET(_xlpm.x,_xlfn.XLOOKUP(tbl_main[[#This Row],[Service]],tbl_service[Service],tbl_service[Profit],""),
               IF(tbl_main[[#This Row],[Qty]]="","",_xlpm.x*tbl_main[[#This Row],[Qty]]))</f>
        <v>72</v>
      </c>
    </row>
    <row r="102" spans="1:14" x14ac:dyDescent="0.25">
      <c r="A102" t="s">
        <v>144</v>
      </c>
      <c r="B102" s="1">
        <v>45687</v>
      </c>
      <c r="C102">
        <f>IF(tbl_main[[#This Row],[Date]]="","",YEAR(B102))</f>
        <v>2025</v>
      </c>
      <c r="D102" t="str">
        <f>IF(tbl_main[[#This Row],[Date]]="","",TEXT(B102,"mmm"))</f>
        <v>Jan</v>
      </c>
      <c r="E102" t="str">
        <f>IF(tbl_main[[#This Row],[Date]]="","",TEXT(B102,"DDD"))</f>
        <v>Thu</v>
      </c>
      <c r="F102" t="s">
        <v>13</v>
      </c>
      <c r="G102" t="s">
        <v>33</v>
      </c>
      <c r="H102" s="3" t="s">
        <v>34</v>
      </c>
      <c r="I102" s="3" t="s">
        <v>16</v>
      </c>
      <c r="J102" s="3" t="s">
        <v>32</v>
      </c>
      <c r="K102" s="3">
        <f>_xlfn.XLOOKUP(tbl_main[[#This Row],[Service]],tbl_service[Service],tbl_service[Price],"")</f>
        <v>100</v>
      </c>
      <c r="L102" s="3">
        <v>2</v>
      </c>
      <c r="M102" s="3">
        <f>IF(AND(tbl_main[[#This Row],[Price]]="",tbl_main[[#This Row],[Qty]]=""),"",tbl_main[[#This Row],[Price]]*tbl_main[[#This Row],[Qty]])</f>
        <v>200</v>
      </c>
      <c r="N102" s="3">
        <f>_xlfn.LET(_xlpm.x,_xlfn.XLOOKUP(tbl_main[[#This Row],[Service]],tbl_service[Service],tbl_service[Profit],""),
               IF(tbl_main[[#This Row],[Qty]]="","",_xlpm.x*tbl_main[[#This Row],[Qty]]))</f>
        <v>90</v>
      </c>
    </row>
    <row r="103" spans="1:14" x14ac:dyDescent="0.25">
      <c r="A103" t="s">
        <v>145</v>
      </c>
      <c r="B103" s="1">
        <v>45688</v>
      </c>
      <c r="C103">
        <f>IF(tbl_main[[#This Row],[Date]]="","",YEAR(B103))</f>
        <v>2025</v>
      </c>
      <c r="D103" t="str">
        <f>IF(tbl_main[[#This Row],[Date]]="","",TEXT(B103,"mmm"))</f>
        <v>Jan</v>
      </c>
      <c r="E103" t="str">
        <f>IF(tbl_main[[#This Row],[Date]]="","",TEXT(B103,"DDD"))</f>
        <v>Fri</v>
      </c>
      <c r="F103" t="s">
        <v>13</v>
      </c>
      <c r="G103" t="s">
        <v>33</v>
      </c>
      <c r="H103" s="3" t="s">
        <v>22</v>
      </c>
      <c r="I103" s="3" t="s">
        <v>19</v>
      </c>
      <c r="J103" s="3" t="s">
        <v>25</v>
      </c>
      <c r="K103" s="3">
        <f>_xlfn.XLOOKUP(tbl_main[[#This Row],[Service]],tbl_service[Service],tbl_service[Price],"")</f>
        <v>150</v>
      </c>
      <c r="L103" s="3">
        <v>2</v>
      </c>
      <c r="M103" s="3">
        <f>IF(AND(tbl_main[[#This Row],[Price]]="",tbl_main[[#This Row],[Qty]]=""),"",tbl_main[[#This Row],[Price]]*tbl_main[[#This Row],[Qty]])</f>
        <v>300</v>
      </c>
      <c r="N103" s="3">
        <f>_xlfn.LET(_xlpm.x,_xlfn.XLOOKUP(tbl_main[[#This Row],[Service]],tbl_service[Service],tbl_service[Profit],""),
               IF(tbl_main[[#This Row],[Qty]]="","",_xlpm.x*tbl_main[[#This Row],[Qty]]))</f>
        <v>134</v>
      </c>
    </row>
    <row r="104" spans="1:14" x14ac:dyDescent="0.25">
      <c r="A104" t="s">
        <v>146</v>
      </c>
      <c r="B104" s="1">
        <v>45688</v>
      </c>
      <c r="C104">
        <f>IF(tbl_main[[#This Row],[Date]]="","",YEAR(B104))</f>
        <v>2025</v>
      </c>
      <c r="D104" t="str">
        <f>IF(tbl_main[[#This Row],[Date]]="","",TEXT(B104,"mmm"))</f>
        <v>Jan</v>
      </c>
      <c r="E104" t="str">
        <f>IF(tbl_main[[#This Row],[Date]]="","",TEXT(B104,"DDD"))</f>
        <v>Fri</v>
      </c>
      <c r="F104" t="s">
        <v>13</v>
      </c>
      <c r="G104" t="s">
        <v>33</v>
      </c>
      <c r="H104" s="3" t="s">
        <v>26</v>
      </c>
      <c r="I104" s="3" t="s">
        <v>19</v>
      </c>
      <c r="J104" s="3" t="s">
        <v>17</v>
      </c>
      <c r="K104" s="3">
        <f>_xlfn.XLOOKUP(tbl_main[[#This Row],[Service]],tbl_service[Service],tbl_service[Price],"")</f>
        <v>200</v>
      </c>
      <c r="L104" s="3">
        <v>2</v>
      </c>
      <c r="M104" s="3">
        <f>IF(AND(tbl_main[[#This Row],[Price]]="",tbl_main[[#This Row],[Qty]]=""),"",tbl_main[[#This Row],[Price]]*tbl_main[[#This Row],[Qty]])</f>
        <v>400</v>
      </c>
      <c r="N104" s="3">
        <f>_xlfn.LET(_xlpm.x,_xlfn.XLOOKUP(tbl_main[[#This Row],[Service]],tbl_service[Service],tbl_service[Profit],""),
               IF(tbl_main[[#This Row],[Qty]]="","",_xlpm.x*tbl_main[[#This Row],[Qty]]))</f>
        <v>180</v>
      </c>
    </row>
    <row r="105" spans="1:14" x14ac:dyDescent="0.25">
      <c r="A105" t="s">
        <v>147</v>
      </c>
      <c r="B105" s="1">
        <v>45688</v>
      </c>
      <c r="C105">
        <f>IF(tbl_main[[#This Row],[Date]]="","",YEAR(B105))</f>
        <v>2025</v>
      </c>
      <c r="D105" t="str">
        <f>IF(tbl_main[[#This Row],[Date]]="","",TEXT(B105,"mmm"))</f>
        <v>Jan</v>
      </c>
      <c r="E105" t="str">
        <f>IF(tbl_main[[#This Row],[Date]]="","",TEXT(B105,"DDD"))</f>
        <v>Fri</v>
      </c>
      <c r="F105" t="s">
        <v>30</v>
      </c>
      <c r="G105" t="s">
        <v>31</v>
      </c>
      <c r="H105" s="3" t="s">
        <v>26</v>
      </c>
      <c r="I105" s="3" t="s">
        <v>19</v>
      </c>
      <c r="J105" s="3" t="s">
        <v>32</v>
      </c>
      <c r="K105" s="3">
        <f>_xlfn.XLOOKUP(tbl_main[[#This Row],[Service]],tbl_service[Service],tbl_service[Price],"")</f>
        <v>200</v>
      </c>
      <c r="L105" s="3">
        <v>1</v>
      </c>
      <c r="M105" s="3">
        <f>IF(AND(tbl_main[[#This Row],[Price]]="",tbl_main[[#This Row],[Qty]]=""),"",tbl_main[[#This Row],[Price]]*tbl_main[[#This Row],[Qty]])</f>
        <v>200</v>
      </c>
      <c r="N105" s="3">
        <f>_xlfn.LET(_xlpm.x,_xlfn.XLOOKUP(tbl_main[[#This Row],[Service]],tbl_service[Service],tbl_service[Profit],""),
               IF(tbl_main[[#This Row],[Qty]]="","",_xlpm.x*tbl_main[[#This Row],[Qty]]))</f>
        <v>90</v>
      </c>
    </row>
    <row r="106" spans="1:14" x14ac:dyDescent="0.25">
      <c r="A106" t="s">
        <v>148</v>
      </c>
      <c r="B106" s="1">
        <v>45688</v>
      </c>
      <c r="C106">
        <f>IF(tbl_main[[#This Row],[Date]]="","",YEAR(B106))</f>
        <v>2025</v>
      </c>
      <c r="D106" t="str">
        <f>IF(tbl_main[[#This Row],[Date]]="","",TEXT(B106,"mmm"))</f>
        <v>Jan</v>
      </c>
      <c r="E106" t="str">
        <f>IF(tbl_main[[#This Row],[Date]]="","",TEXT(B106,"DDD"))</f>
        <v>Fri</v>
      </c>
      <c r="F106" t="s">
        <v>13</v>
      </c>
      <c r="G106" t="s">
        <v>33</v>
      </c>
      <c r="H106" s="3" t="s">
        <v>22</v>
      </c>
      <c r="I106" s="3" t="s">
        <v>19</v>
      </c>
      <c r="J106" s="3" t="s">
        <v>17</v>
      </c>
      <c r="K106" s="3">
        <f>_xlfn.XLOOKUP(tbl_main[[#This Row],[Service]],tbl_service[Service],tbl_service[Price],"")</f>
        <v>150</v>
      </c>
      <c r="L106" s="3">
        <v>1</v>
      </c>
      <c r="M106" s="3">
        <f>IF(AND(tbl_main[[#This Row],[Price]]="",tbl_main[[#This Row],[Qty]]=""),"",tbl_main[[#This Row],[Price]]*tbl_main[[#This Row],[Qty]])</f>
        <v>150</v>
      </c>
      <c r="N106" s="3">
        <f>_xlfn.LET(_xlpm.x,_xlfn.XLOOKUP(tbl_main[[#This Row],[Service]],tbl_service[Service],tbl_service[Profit],""),
               IF(tbl_main[[#This Row],[Qty]]="","",_xlpm.x*tbl_main[[#This Row],[Qty]]))</f>
        <v>67</v>
      </c>
    </row>
    <row r="107" spans="1:14" x14ac:dyDescent="0.25">
      <c r="A107" t="s">
        <v>149</v>
      </c>
      <c r="B107" s="1">
        <v>45689</v>
      </c>
      <c r="C107">
        <f>IF(tbl_main[[#This Row],[Date]]="","",YEAR(B107))</f>
        <v>2025</v>
      </c>
      <c r="D107" t="str">
        <f>IF(tbl_main[[#This Row],[Date]]="","",TEXT(B107,"mmm"))</f>
        <v>Feb</v>
      </c>
      <c r="E107" t="str">
        <f>IF(tbl_main[[#This Row],[Date]]="","",TEXT(B107,"DDD"))</f>
        <v>Sat</v>
      </c>
      <c r="F107" t="s">
        <v>30</v>
      </c>
      <c r="G107" t="s">
        <v>31</v>
      </c>
      <c r="H107" s="3" t="s">
        <v>24</v>
      </c>
      <c r="I107" s="3" t="s">
        <v>19</v>
      </c>
      <c r="J107" s="3" t="s">
        <v>17</v>
      </c>
      <c r="K107" s="3">
        <f>_xlfn.XLOOKUP(tbl_main[[#This Row],[Service]],tbl_service[Service],tbl_service[Price],"")</f>
        <v>80</v>
      </c>
      <c r="L107" s="3">
        <v>1</v>
      </c>
      <c r="M107" s="3">
        <f>IF(AND(tbl_main[[#This Row],[Price]]="",tbl_main[[#This Row],[Qty]]=""),"",tbl_main[[#This Row],[Price]]*tbl_main[[#This Row],[Qty]])</f>
        <v>80</v>
      </c>
      <c r="N107" s="3">
        <f>_xlfn.LET(_xlpm.x,_xlfn.XLOOKUP(tbl_main[[#This Row],[Service]],tbl_service[Service],tbl_service[Profit],""),
               IF(tbl_main[[#This Row],[Qty]]="","",_xlpm.x*tbl_main[[#This Row],[Qty]]))</f>
        <v>36</v>
      </c>
    </row>
    <row r="108" spans="1:14" x14ac:dyDescent="0.25">
      <c r="A108" t="s">
        <v>150</v>
      </c>
      <c r="B108" s="1">
        <v>45689</v>
      </c>
      <c r="C108">
        <f>IF(tbl_main[[#This Row],[Date]]="","",YEAR(B108))</f>
        <v>2025</v>
      </c>
      <c r="D108" t="str">
        <f>IF(tbl_main[[#This Row],[Date]]="","",TEXT(B108,"mmm"))</f>
        <v>Feb</v>
      </c>
      <c r="E108" t="str">
        <f>IF(tbl_main[[#This Row],[Date]]="","",TEXT(B108,"DDD"))</f>
        <v>Sat</v>
      </c>
      <c r="F108" t="s">
        <v>27</v>
      </c>
      <c r="G108" t="s">
        <v>40</v>
      </c>
      <c r="H108" s="3" t="s">
        <v>26</v>
      </c>
      <c r="I108" s="3" t="s">
        <v>19</v>
      </c>
      <c r="J108" s="3" t="s">
        <v>32</v>
      </c>
      <c r="K108" s="3">
        <f>_xlfn.XLOOKUP(tbl_main[[#This Row],[Service]],tbl_service[Service],tbl_service[Price],"")</f>
        <v>200</v>
      </c>
      <c r="L108" s="3">
        <v>2</v>
      </c>
      <c r="M108" s="3">
        <f>IF(AND(tbl_main[[#This Row],[Price]]="",tbl_main[[#This Row],[Qty]]=""),"",tbl_main[[#This Row],[Price]]*tbl_main[[#This Row],[Qty]])</f>
        <v>400</v>
      </c>
      <c r="N108" s="3">
        <f>_xlfn.LET(_xlpm.x,_xlfn.XLOOKUP(tbl_main[[#This Row],[Service]],tbl_service[Service],tbl_service[Profit],""),
               IF(tbl_main[[#This Row],[Qty]]="","",_xlpm.x*tbl_main[[#This Row],[Qty]]))</f>
        <v>180</v>
      </c>
    </row>
    <row r="109" spans="1:14" x14ac:dyDescent="0.25">
      <c r="A109" t="s">
        <v>151</v>
      </c>
      <c r="B109" s="1">
        <v>45690</v>
      </c>
      <c r="C109">
        <f>IF(tbl_main[[#This Row],[Date]]="","",YEAR(B109))</f>
        <v>2025</v>
      </c>
      <c r="D109" t="str">
        <f>IF(tbl_main[[#This Row],[Date]]="","",TEXT(B109,"mmm"))</f>
        <v>Feb</v>
      </c>
      <c r="E109" t="str">
        <f>IF(tbl_main[[#This Row],[Date]]="","",TEXT(B109,"DDD"))</f>
        <v>Sun</v>
      </c>
      <c r="F109" t="s">
        <v>27</v>
      </c>
      <c r="G109" t="s">
        <v>40</v>
      </c>
      <c r="H109" s="3" t="s">
        <v>15</v>
      </c>
      <c r="I109" s="3" t="s">
        <v>19</v>
      </c>
      <c r="J109" s="3" t="s">
        <v>32</v>
      </c>
      <c r="K109" s="3">
        <f>_xlfn.XLOOKUP(tbl_main[[#This Row],[Service]],tbl_service[Service],tbl_service[Price],"")</f>
        <v>500</v>
      </c>
      <c r="L109" s="3">
        <v>1</v>
      </c>
      <c r="M109" s="3">
        <f>IF(AND(tbl_main[[#This Row],[Price]]="",tbl_main[[#This Row],[Qty]]=""),"",tbl_main[[#This Row],[Price]]*tbl_main[[#This Row],[Qty]])</f>
        <v>500</v>
      </c>
      <c r="N109" s="3">
        <f>_xlfn.LET(_xlpm.x,_xlfn.XLOOKUP(tbl_main[[#This Row],[Service]],tbl_service[Service],tbl_service[Profit],""),
               IF(tbl_main[[#This Row],[Qty]]="","",_xlpm.x*tbl_main[[#This Row],[Qty]]))</f>
        <v>225</v>
      </c>
    </row>
    <row r="110" spans="1:14" x14ac:dyDescent="0.25">
      <c r="A110" t="s">
        <v>152</v>
      </c>
      <c r="B110" s="1">
        <v>45690</v>
      </c>
      <c r="C110">
        <f>IF(tbl_main[[#This Row],[Date]]="","",YEAR(B110))</f>
        <v>2025</v>
      </c>
      <c r="D110" t="str">
        <f>IF(tbl_main[[#This Row],[Date]]="","",TEXT(B110,"mmm"))</f>
        <v>Feb</v>
      </c>
      <c r="E110" t="str">
        <f>IF(tbl_main[[#This Row],[Date]]="","",TEXT(B110,"DDD"))</f>
        <v>Sun</v>
      </c>
      <c r="F110" t="s">
        <v>13</v>
      </c>
      <c r="G110" t="s">
        <v>33</v>
      </c>
      <c r="H110" s="3" t="s">
        <v>34</v>
      </c>
      <c r="I110" s="3" t="s">
        <v>19</v>
      </c>
      <c r="J110" s="3" t="s">
        <v>32</v>
      </c>
      <c r="K110" s="3">
        <f>_xlfn.XLOOKUP(tbl_main[[#This Row],[Service]],tbl_service[Service],tbl_service[Price],"")</f>
        <v>100</v>
      </c>
      <c r="L110" s="3">
        <v>1</v>
      </c>
      <c r="M110" s="3">
        <f>IF(AND(tbl_main[[#This Row],[Price]]="",tbl_main[[#This Row],[Qty]]=""),"",tbl_main[[#This Row],[Price]]*tbl_main[[#This Row],[Qty]])</f>
        <v>100</v>
      </c>
      <c r="N110" s="3">
        <f>_xlfn.LET(_xlpm.x,_xlfn.XLOOKUP(tbl_main[[#This Row],[Service]],tbl_service[Service],tbl_service[Profit],""),
               IF(tbl_main[[#This Row],[Qty]]="","",_xlpm.x*tbl_main[[#This Row],[Qty]]))</f>
        <v>45</v>
      </c>
    </row>
    <row r="111" spans="1:14" x14ac:dyDescent="0.25">
      <c r="A111" t="s">
        <v>153</v>
      </c>
      <c r="B111" s="1">
        <v>45690</v>
      </c>
      <c r="C111">
        <f>IF(tbl_main[[#This Row],[Date]]="","",YEAR(B111))</f>
        <v>2025</v>
      </c>
      <c r="D111" t="str">
        <f>IF(tbl_main[[#This Row],[Date]]="","",TEXT(B111,"mmm"))</f>
        <v>Feb</v>
      </c>
      <c r="E111" t="str">
        <f>IF(tbl_main[[#This Row],[Date]]="","",TEXT(B111,"DDD"))</f>
        <v>Sun</v>
      </c>
      <c r="F111" t="s">
        <v>20</v>
      </c>
      <c r="G111" t="s">
        <v>29</v>
      </c>
      <c r="H111" s="3" t="s">
        <v>26</v>
      </c>
      <c r="I111" s="3" t="s">
        <v>19</v>
      </c>
      <c r="J111" s="3" t="s">
        <v>25</v>
      </c>
      <c r="K111" s="3">
        <f>_xlfn.XLOOKUP(tbl_main[[#This Row],[Service]],tbl_service[Service],tbl_service[Price],"")</f>
        <v>200</v>
      </c>
      <c r="L111" s="3">
        <v>1</v>
      </c>
      <c r="M111" s="3">
        <f>IF(AND(tbl_main[[#This Row],[Price]]="",tbl_main[[#This Row],[Qty]]=""),"",tbl_main[[#This Row],[Price]]*tbl_main[[#This Row],[Qty]])</f>
        <v>200</v>
      </c>
      <c r="N111" s="3">
        <f>_xlfn.LET(_xlpm.x,_xlfn.XLOOKUP(tbl_main[[#This Row],[Service]],tbl_service[Service],tbl_service[Profit],""),
               IF(tbl_main[[#This Row],[Qty]]="","",_xlpm.x*tbl_main[[#This Row],[Qty]]))</f>
        <v>90</v>
      </c>
    </row>
    <row r="112" spans="1:14" x14ac:dyDescent="0.25">
      <c r="A112" t="s">
        <v>154</v>
      </c>
      <c r="B112" s="1">
        <v>45690</v>
      </c>
      <c r="C112">
        <f>IF(tbl_main[[#This Row],[Date]]="","",YEAR(B112))</f>
        <v>2025</v>
      </c>
      <c r="D112" t="str">
        <f>IF(tbl_main[[#This Row],[Date]]="","",TEXT(B112,"mmm"))</f>
        <v>Feb</v>
      </c>
      <c r="E112" t="str">
        <f>IF(tbl_main[[#This Row],[Date]]="","",TEXT(B112,"DDD"))</f>
        <v>Sun</v>
      </c>
      <c r="F112" t="s">
        <v>27</v>
      </c>
      <c r="G112" t="s">
        <v>28</v>
      </c>
      <c r="H112" s="3" t="s">
        <v>22</v>
      </c>
      <c r="I112" s="3" t="s">
        <v>19</v>
      </c>
      <c r="J112" s="3" t="s">
        <v>25</v>
      </c>
      <c r="K112" s="3">
        <f>_xlfn.XLOOKUP(tbl_main[[#This Row],[Service]],tbl_service[Service],tbl_service[Price],"")</f>
        <v>150</v>
      </c>
      <c r="L112" s="3">
        <v>2</v>
      </c>
      <c r="M112" s="3">
        <f>IF(AND(tbl_main[[#This Row],[Price]]="",tbl_main[[#This Row],[Qty]]=""),"",tbl_main[[#This Row],[Price]]*tbl_main[[#This Row],[Qty]])</f>
        <v>300</v>
      </c>
      <c r="N112" s="3">
        <f>_xlfn.LET(_xlpm.x,_xlfn.XLOOKUP(tbl_main[[#This Row],[Service]],tbl_service[Service],tbl_service[Profit],""),
               IF(tbl_main[[#This Row],[Qty]]="","",_xlpm.x*tbl_main[[#This Row],[Qty]]))</f>
        <v>134</v>
      </c>
    </row>
    <row r="113" spans="1:14" x14ac:dyDescent="0.25">
      <c r="A113" t="s">
        <v>155</v>
      </c>
      <c r="B113" s="1">
        <v>45691</v>
      </c>
      <c r="C113">
        <f>IF(tbl_main[[#This Row],[Date]]="","",YEAR(B113))</f>
        <v>2025</v>
      </c>
      <c r="D113" t="str">
        <f>IF(tbl_main[[#This Row],[Date]]="","",TEXT(B113,"mmm"))</f>
        <v>Feb</v>
      </c>
      <c r="E113" t="str">
        <f>IF(tbl_main[[#This Row],[Date]]="","",TEXT(B113,"DDD"))</f>
        <v>Mon</v>
      </c>
      <c r="F113" t="s">
        <v>13</v>
      </c>
      <c r="G113" t="s">
        <v>14</v>
      </c>
      <c r="H113" s="3" t="s">
        <v>18</v>
      </c>
      <c r="I113" s="3" t="s">
        <v>19</v>
      </c>
      <c r="J113" s="3" t="s">
        <v>32</v>
      </c>
      <c r="K113" s="3">
        <f>_xlfn.XLOOKUP(tbl_main[[#This Row],[Service]],tbl_service[Service],tbl_service[Price],"")</f>
        <v>500</v>
      </c>
      <c r="L113" s="3">
        <v>2</v>
      </c>
      <c r="M113" s="3">
        <f>IF(AND(tbl_main[[#This Row],[Price]]="",tbl_main[[#This Row],[Qty]]=""),"",tbl_main[[#This Row],[Price]]*tbl_main[[#This Row],[Qty]])</f>
        <v>1000</v>
      </c>
      <c r="N113" s="3">
        <f>_xlfn.LET(_xlpm.x,_xlfn.XLOOKUP(tbl_main[[#This Row],[Service]],tbl_service[Service],tbl_service[Profit],""),
               IF(tbl_main[[#This Row],[Qty]]="","",_xlpm.x*tbl_main[[#This Row],[Qty]]))</f>
        <v>314</v>
      </c>
    </row>
    <row r="114" spans="1:14" x14ac:dyDescent="0.25">
      <c r="A114" t="s">
        <v>156</v>
      </c>
      <c r="B114" s="1">
        <v>45691</v>
      </c>
      <c r="C114">
        <f>IF(tbl_main[[#This Row],[Date]]="","",YEAR(B114))</f>
        <v>2025</v>
      </c>
      <c r="D114" t="str">
        <f>IF(tbl_main[[#This Row],[Date]]="","",TEXT(B114,"mmm"))</f>
        <v>Feb</v>
      </c>
      <c r="E114" t="str">
        <f>IF(tbl_main[[#This Row],[Date]]="","",TEXT(B114,"DDD"))</f>
        <v>Mon</v>
      </c>
      <c r="F114" t="s">
        <v>20</v>
      </c>
      <c r="G114" t="s">
        <v>21</v>
      </c>
      <c r="H114" s="3" t="s">
        <v>26</v>
      </c>
      <c r="I114" s="3" t="s">
        <v>19</v>
      </c>
      <c r="J114" s="3" t="s">
        <v>17</v>
      </c>
      <c r="K114" s="3">
        <f>_xlfn.XLOOKUP(tbl_main[[#This Row],[Service]],tbl_service[Service],tbl_service[Price],"")</f>
        <v>200</v>
      </c>
      <c r="L114" s="3">
        <v>2</v>
      </c>
      <c r="M114" s="3">
        <f>IF(AND(tbl_main[[#This Row],[Price]]="",tbl_main[[#This Row],[Qty]]=""),"",tbl_main[[#This Row],[Price]]*tbl_main[[#This Row],[Qty]])</f>
        <v>400</v>
      </c>
      <c r="N114" s="3">
        <f>_xlfn.LET(_xlpm.x,_xlfn.XLOOKUP(tbl_main[[#This Row],[Service]],tbl_service[Service],tbl_service[Profit],""),
               IF(tbl_main[[#This Row],[Qty]]="","",_xlpm.x*tbl_main[[#This Row],[Qty]]))</f>
        <v>180</v>
      </c>
    </row>
    <row r="115" spans="1:14" x14ac:dyDescent="0.25">
      <c r="A115" t="s">
        <v>157</v>
      </c>
      <c r="B115" s="1">
        <v>45691</v>
      </c>
      <c r="C115">
        <f>IF(tbl_main[[#This Row],[Date]]="","",YEAR(B115))</f>
        <v>2025</v>
      </c>
      <c r="D115" t="str">
        <f>IF(tbl_main[[#This Row],[Date]]="","",TEXT(B115,"mmm"))</f>
        <v>Feb</v>
      </c>
      <c r="E115" t="str">
        <f>IF(tbl_main[[#This Row],[Date]]="","",TEXT(B115,"DDD"))</f>
        <v>Mon</v>
      </c>
      <c r="F115" t="s">
        <v>27</v>
      </c>
      <c r="G115" t="s">
        <v>40</v>
      </c>
      <c r="H115" s="3" t="s">
        <v>34</v>
      </c>
      <c r="I115" s="3" t="s">
        <v>19</v>
      </c>
      <c r="J115" s="3" t="s">
        <v>32</v>
      </c>
      <c r="K115" s="3">
        <f>_xlfn.XLOOKUP(tbl_main[[#This Row],[Service]],tbl_service[Service],tbl_service[Price],"")</f>
        <v>100</v>
      </c>
      <c r="L115" s="3">
        <v>2</v>
      </c>
      <c r="M115" s="3">
        <f>IF(AND(tbl_main[[#This Row],[Price]]="",tbl_main[[#This Row],[Qty]]=""),"",tbl_main[[#This Row],[Price]]*tbl_main[[#This Row],[Qty]])</f>
        <v>200</v>
      </c>
      <c r="N115" s="3">
        <f>_xlfn.LET(_xlpm.x,_xlfn.XLOOKUP(tbl_main[[#This Row],[Service]],tbl_service[Service],tbl_service[Profit],""),
               IF(tbl_main[[#This Row],[Qty]]="","",_xlpm.x*tbl_main[[#This Row],[Qty]]))</f>
        <v>90</v>
      </c>
    </row>
    <row r="116" spans="1:14" x14ac:dyDescent="0.25">
      <c r="A116" t="s">
        <v>158</v>
      </c>
      <c r="B116" s="1">
        <v>45692</v>
      </c>
      <c r="C116">
        <f>IF(tbl_main[[#This Row],[Date]]="","",YEAR(B116))</f>
        <v>2025</v>
      </c>
      <c r="D116" t="str">
        <f>IF(tbl_main[[#This Row],[Date]]="","",TEXT(B116,"mmm"))</f>
        <v>Feb</v>
      </c>
      <c r="E116" t="str">
        <f>IF(tbl_main[[#This Row],[Date]]="","",TEXT(B116,"DDD"))</f>
        <v>Tue</v>
      </c>
      <c r="F116" t="s">
        <v>13</v>
      </c>
      <c r="G116" t="s">
        <v>14</v>
      </c>
      <c r="H116" s="3" t="s">
        <v>24</v>
      </c>
      <c r="I116" s="3" t="s">
        <v>19</v>
      </c>
      <c r="J116" s="3" t="s">
        <v>17</v>
      </c>
      <c r="K116" s="3">
        <f>_xlfn.XLOOKUP(tbl_main[[#This Row],[Service]],tbl_service[Service],tbl_service[Price],"")</f>
        <v>80</v>
      </c>
      <c r="L116" s="3">
        <v>1</v>
      </c>
      <c r="M116" s="3">
        <f>IF(AND(tbl_main[[#This Row],[Price]]="",tbl_main[[#This Row],[Qty]]=""),"",tbl_main[[#This Row],[Price]]*tbl_main[[#This Row],[Qty]])</f>
        <v>80</v>
      </c>
      <c r="N116" s="3">
        <f>_xlfn.LET(_xlpm.x,_xlfn.XLOOKUP(tbl_main[[#This Row],[Service]],tbl_service[Service],tbl_service[Profit],""),
               IF(tbl_main[[#This Row],[Qty]]="","",_xlpm.x*tbl_main[[#This Row],[Qty]]))</f>
        <v>36</v>
      </c>
    </row>
    <row r="117" spans="1:14" x14ac:dyDescent="0.25">
      <c r="A117" t="s">
        <v>159</v>
      </c>
      <c r="B117" s="1">
        <v>45692</v>
      </c>
      <c r="C117">
        <f>IF(tbl_main[[#This Row],[Date]]="","",YEAR(B117))</f>
        <v>2025</v>
      </c>
      <c r="D117" t="str">
        <f>IF(tbl_main[[#This Row],[Date]]="","",TEXT(B117,"mmm"))</f>
        <v>Feb</v>
      </c>
      <c r="E117" t="str">
        <f>IF(tbl_main[[#This Row],[Date]]="","",TEXT(B117,"DDD"))</f>
        <v>Tue</v>
      </c>
      <c r="F117" t="s">
        <v>30</v>
      </c>
      <c r="G117" t="s">
        <v>31</v>
      </c>
      <c r="H117" s="3" t="s">
        <v>18</v>
      </c>
      <c r="I117" s="3" t="s">
        <v>19</v>
      </c>
      <c r="J117" s="3" t="s">
        <v>25</v>
      </c>
      <c r="K117" s="3">
        <f>_xlfn.XLOOKUP(tbl_main[[#This Row],[Service]],tbl_service[Service],tbl_service[Price],"")</f>
        <v>500</v>
      </c>
      <c r="L117" s="3">
        <v>2</v>
      </c>
      <c r="M117" s="3">
        <f>IF(AND(tbl_main[[#This Row],[Price]]="",tbl_main[[#This Row],[Qty]]=""),"",tbl_main[[#This Row],[Price]]*tbl_main[[#This Row],[Qty]])</f>
        <v>1000</v>
      </c>
      <c r="N117" s="3">
        <f>_xlfn.LET(_xlpm.x,_xlfn.XLOOKUP(tbl_main[[#This Row],[Service]],tbl_service[Service],tbl_service[Profit],""),
               IF(tbl_main[[#This Row],[Qty]]="","",_xlpm.x*tbl_main[[#This Row],[Qty]]))</f>
        <v>314</v>
      </c>
    </row>
    <row r="118" spans="1:14" x14ac:dyDescent="0.25">
      <c r="A118" t="s">
        <v>160</v>
      </c>
      <c r="B118" s="1">
        <v>45692</v>
      </c>
      <c r="C118">
        <f>IF(tbl_main[[#This Row],[Date]]="","",YEAR(B118))</f>
        <v>2025</v>
      </c>
      <c r="D118" t="str">
        <f>IF(tbl_main[[#This Row],[Date]]="","",TEXT(B118,"mmm"))</f>
        <v>Feb</v>
      </c>
      <c r="E118" t="str">
        <f>IF(tbl_main[[#This Row],[Date]]="","",TEXT(B118,"DDD"))</f>
        <v>Tue</v>
      </c>
      <c r="F118" t="s">
        <v>27</v>
      </c>
      <c r="G118" t="s">
        <v>28</v>
      </c>
      <c r="H118" s="3" t="s">
        <v>15</v>
      </c>
      <c r="I118" s="3" t="s">
        <v>19</v>
      </c>
      <c r="J118" s="3" t="s">
        <v>17</v>
      </c>
      <c r="K118" s="3">
        <f>_xlfn.XLOOKUP(tbl_main[[#This Row],[Service]],tbl_service[Service],tbl_service[Price],"")</f>
        <v>500</v>
      </c>
      <c r="L118" s="3">
        <v>1</v>
      </c>
      <c r="M118" s="3">
        <f>IF(AND(tbl_main[[#This Row],[Price]]="",tbl_main[[#This Row],[Qty]]=""),"",tbl_main[[#This Row],[Price]]*tbl_main[[#This Row],[Qty]])</f>
        <v>500</v>
      </c>
      <c r="N118" s="3">
        <f>_xlfn.LET(_xlpm.x,_xlfn.XLOOKUP(tbl_main[[#This Row],[Service]],tbl_service[Service],tbl_service[Profit],""),
               IF(tbl_main[[#This Row],[Qty]]="","",_xlpm.x*tbl_main[[#This Row],[Qty]]))</f>
        <v>225</v>
      </c>
    </row>
    <row r="119" spans="1:14" x14ac:dyDescent="0.25">
      <c r="A119" t="s">
        <v>161</v>
      </c>
      <c r="B119" s="1">
        <v>45692</v>
      </c>
      <c r="C119">
        <f>IF(tbl_main[[#This Row],[Date]]="","",YEAR(B119))</f>
        <v>2025</v>
      </c>
      <c r="D119" t="str">
        <f>IF(tbl_main[[#This Row],[Date]]="","",TEXT(B119,"mmm"))</f>
        <v>Feb</v>
      </c>
      <c r="E119" t="str">
        <f>IF(tbl_main[[#This Row],[Date]]="","",TEXT(B119,"DDD"))</f>
        <v>Tue</v>
      </c>
      <c r="F119" t="s">
        <v>20</v>
      </c>
      <c r="G119" t="s">
        <v>29</v>
      </c>
      <c r="H119" s="3" t="s">
        <v>15</v>
      </c>
      <c r="I119" s="3" t="s">
        <v>19</v>
      </c>
      <c r="J119" s="3" t="s">
        <v>17</v>
      </c>
      <c r="K119" s="3">
        <f>_xlfn.XLOOKUP(tbl_main[[#This Row],[Service]],tbl_service[Service],tbl_service[Price],"")</f>
        <v>500</v>
      </c>
      <c r="L119" s="3">
        <v>2</v>
      </c>
      <c r="M119" s="3">
        <f>IF(AND(tbl_main[[#This Row],[Price]]="",tbl_main[[#This Row],[Qty]]=""),"",tbl_main[[#This Row],[Price]]*tbl_main[[#This Row],[Qty]])</f>
        <v>1000</v>
      </c>
      <c r="N119" s="3">
        <f>_xlfn.LET(_xlpm.x,_xlfn.XLOOKUP(tbl_main[[#This Row],[Service]],tbl_service[Service],tbl_service[Profit],""),
               IF(tbl_main[[#This Row],[Qty]]="","",_xlpm.x*tbl_main[[#This Row],[Qty]]))</f>
        <v>450</v>
      </c>
    </row>
    <row r="120" spans="1:14" x14ac:dyDescent="0.25">
      <c r="A120" t="s">
        <v>162</v>
      </c>
      <c r="B120" s="1">
        <v>45693</v>
      </c>
      <c r="C120">
        <f>IF(tbl_main[[#This Row],[Date]]="","",YEAR(B120))</f>
        <v>2025</v>
      </c>
      <c r="D120" t="str">
        <f>IF(tbl_main[[#This Row],[Date]]="","",TEXT(B120,"mmm"))</f>
        <v>Feb</v>
      </c>
      <c r="E120" t="str">
        <f>IF(tbl_main[[#This Row],[Date]]="","",TEXT(B120,"DDD"))</f>
        <v>Wed</v>
      </c>
      <c r="F120" t="s">
        <v>20</v>
      </c>
      <c r="G120" t="s">
        <v>21</v>
      </c>
      <c r="H120" s="3" t="s">
        <v>26</v>
      </c>
      <c r="I120" s="3" t="s">
        <v>19</v>
      </c>
      <c r="J120" s="3" t="s">
        <v>25</v>
      </c>
      <c r="K120" s="3">
        <f>_xlfn.XLOOKUP(tbl_main[[#This Row],[Service]],tbl_service[Service],tbl_service[Price],"")</f>
        <v>200</v>
      </c>
      <c r="L120" s="3">
        <v>1</v>
      </c>
      <c r="M120" s="3">
        <f>IF(AND(tbl_main[[#This Row],[Price]]="",tbl_main[[#This Row],[Qty]]=""),"",tbl_main[[#This Row],[Price]]*tbl_main[[#This Row],[Qty]])</f>
        <v>200</v>
      </c>
      <c r="N120" s="3">
        <f>_xlfn.LET(_xlpm.x,_xlfn.XLOOKUP(tbl_main[[#This Row],[Service]],tbl_service[Service],tbl_service[Profit],""),
               IF(tbl_main[[#This Row],[Qty]]="","",_xlpm.x*tbl_main[[#This Row],[Qty]]))</f>
        <v>90</v>
      </c>
    </row>
    <row r="121" spans="1:14" x14ac:dyDescent="0.25">
      <c r="A121" t="s">
        <v>163</v>
      </c>
      <c r="B121" s="1">
        <v>45693</v>
      </c>
      <c r="C121">
        <f>IF(tbl_main[[#This Row],[Date]]="","",YEAR(B121))</f>
        <v>2025</v>
      </c>
      <c r="D121" t="str">
        <f>IF(tbl_main[[#This Row],[Date]]="","",TEXT(B121,"mmm"))</f>
        <v>Feb</v>
      </c>
      <c r="E121" t="str">
        <f>IF(tbl_main[[#This Row],[Date]]="","",TEXT(B121,"DDD"))</f>
        <v>Wed</v>
      </c>
      <c r="F121" t="s">
        <v>27</v>
      </c>
      <c r="G121" t="s">
        <v>28</v>
      </c>
      <c r="H121" s="3" t="s">
        <v>15</v>
      </c>
      <c r="I121" s="3" t="s">
        <v>19</v>
      </c>
      <c r="J121" s="3" t="s">
        <v>25</v>
      </c>
      <c r="K121" s="3">
        <f>_xlfn.XLOOKUP(tbl_main[[#This Row],[Service]],tbl_service[Service],tbl_service[Price],"")</f>
        <v>500</v>
      </c>
      <c r="L121" s="3">
        <v>1</v>
      </c>
      <c r="M121" s="3">
        <f>IF(AND(tbl_main[[#This Row],[Price]]="",tbl_main[[#This Row],[Qty]]=""),"",tbl_main[[#This Row],[Price]]*tbl_main[[#This Row],[Qty]])</f>
        <v>500</v>
      </c>
      <c r="N121" s="3">
        <f>_xlfn.LET(_xlpm.x,_xlfn.XLOOKUP(tbl_main[[#This Row],[Service]],tbl_service[Service],tbl_service[Profit],""),
               IF(tbl_main[[#This Row],[Qty]]="","",_xlpm.x*tbl_main[[#This Row],[Qty]]))</f>
        <v>225</v>
      </c>
    </row>
    <row r="122" spans="1:14" x14ac:dyDescent="0.25">
      <c r="A122" t="s">
        <v>164</v>
      </c>
      <c r="B122" s="1">
        <v>45693</v>
      </c>
      <c r="C122">
        <f>IF(tbl_main[[#This Row],[Date]]="","",YEAR(B122))</f>
        <v>2025</v>
      </c>
      <c r="D122" t="str">
        <f>IF(tbl_main[[#This Row],[Date]]="","",TEXT(B122,"mmm"))</f>
        <v>Feb</v>
      </c>
      <c r="E122" t="str">
        <f>IF(tbl_main[[#This Row],[Date]]="","",TEXT(B122,"DDD"))</f>
        <v>Wed</v>
      </c>
      <c r="F122" t="s">
        <v>13</v>
      </c>
      <c r="G122" t="s">
        <v>14</v>
      </c>
      <c r="H122" s="3" t="s">
        <v>24</v>
      </c>
      <c r="I122" s="3" t="s">
        <v>19</v>
      </c>
      <c r="J122" s="3" t="s">
        <v>25</v>
      </c>
      <c r="K122" s="3">
        <f>_xlfn.XLOOKUP(tbl_main[[#This Row],[Service]],tbl_service[Service],tbl_service[Price],"")</f>
        <v>80</v>
      </c>
      <c r="L122" s="3">
        <v>1</v>
      </c>
      <c r="M122" s="3">
        <f>IF(AND(tbl_main[[#This Row],[Price]]="",tbl_main[[#This Row],[Qty]]=""),"",tbl_main[[#This Row],[Price]]*tbl_main[[#This Row],[Qty]])</f>
        <v>80</v>
      </c>
      <c r="N122" s="3">
        <f>_xlfn.LET(_xlpm.x,_xlfn.XLOOKUP(tbl_main[[#This Row],[Service]],tbl_service[Service],tbl_service[Profit],""),
               IF(tbl_main[[#This Row],[Qty]]="","",_xlpm.x*tbl_main[[#This Row],[Qty]]))</f>
        <v>36</v>
      </c>
    </row>
    <row r="123" spans="1:14" x14ac:dyDescent="0.25">
      <c r="A123" t="s">
        <v>165</v>
      </c>
      <c r="B123" s="1">
        <v>45694</v>
      </c>
      <c r="C123">
        <f>IF(tbl_main[[#This Row],[Date]]="","",YEAR(B123))</f>
        <v>2025</v>
      </c>
      <c r="D123" t="str">
        <f>IF(tbl_main[[#This Row],[Date]]="","",TEXT(B123,"mmm"))</f>
        <v>Feb</v>
      </c>
      <c r="E123" t="str">
        <f>IF(tbl_main[[#This Row],[Date]]="","",TEXT(B123,"DDD"))</f>
        <v>Thu</v>
      </c>
      <c r="F123" t="s">
        <v>27</v>
      </c>
      <c r="G123" t="s">
        <v>40</v>
      </c>
      <c r="H123" s="3" t="s">
        <v>26</v>
      </c>
      <c r="I123" s="3" t="s">
        <v>19</v>
      </c>
      <c r="J123" s="3" t="s">
        <v>25</v>
      </c>
      <c r="K123" s="3">
        <f>_xlfn.XLOOKUP(tbl_main[[#This Row],[Service]],tbl_service[Service],tbl_service[Price],"")</f>
        <v>200</v>
      </c>
      <c r="L123" s="3">
        <v>2</v>
      </c>
      <c r="M123" s="3">
        <f>IF(AND(tbl_main[[#This Row],[Price]]="",tbl_main[[#This Row],[Qty]]=""),"",tbl_main[[#This Row],[Price]]*tbl_main[[#This Row],[Qty]])</f>
        <v>400</v>
      </c>
      <c r="N123" s="3">
        <f>_xlfn.LET(_xlpm.x,_xlfn.XLOOKUP(tbl_main[[#This Row],[Service]],tbl_service[Service],tbl_service[Profit],""),
               IF(tbl_main[[#This Row],[Qty]]="","",_xlpm.x*tbl_main[[#This Row],[Qty]]))</f>
        <v>180</v>
      </c>
    </row>
    <row r="124" spans="1:14" x14ac:dyDescent="0.25">
      <c r="A124" t="s">
        <v>166</v>
      </c>
      <c r="B124" s="1">
        <v>45694</v>
      </c>
      <c r="C124">
        <f>IF(tbl_main[[#This Row],[Date]]="","",YEAR(B124))</f>
        <v>2025</v>
      </c>
      <c r="D124" t="str">
        <f>IF(tbl_main[[#This Row],[Date]]="","",TEXT(B124,"mmm"))</f>
        <v>Feb</v>
      </c>
      <c r="E124" t="str">
        <f>IF(tbl_main[[#This Row],[Date]]="","",TEXT(B124,"DDD"))</f>
        <v>Thu</v>
      </c>
      <c r="F124" t="s">
        <v>27</v>
      </c>
      <c r="G124" t="s">
        <v>28</v>
      </c>
      <c r="H124" s="3" t="s">
        <v>15</v>
      </c>
      <c r="I124" s="3" t="s">
        <v>19</v>
      </c>
      <c r="J124" s="3" t="s">
        <v>17</v>
      </c>
      <c r="K124" s="3">
        <f>_xlfn.XLOOKUP(tbl_main[[#This Row],[Service]],tbl_service[Service],tbl_service[Price],"")</f>
        <v>500</v>
      </c>
      <c r="L124" s="3">
        <v>2</v>
      </c>
      <c r="M124" s="3">
        <f>IF(AND(tbl_main[[#This Row],[Price]]="",tbl_main[[#This Row],[Qty]]=""),"",tbl_main[[#This Row],[Price]]*tbl_main[[#This Row],[Qty]])</f>
        <v>1000</v>
      </c>
      <c r="N124" s="3">
        <f>_xlfn.LET(_xlpm.x,_xlfn.XLOOKUP(tbl_main[[#This Row],[Service]],tbl_service[Service],tbl_service[Profit],""),
               IF(tbl_main[[#This Row],[Qty]]="","",_xlpm.x*tbl_main[[#This Row],[Qty]]))</f>
        <v>450</v>
      </c>
    </row>
    <row r="125" spans="1:14" x14ac:dyDescent="0.25">
      <c r="A125" t="s">
        <v>167</v>
      </c>
      <c r="B125" s="1">
        <v>45695</v>
      </c>
      <c r="C125">
        <f>IF(tbl_main[[#This Row],[Date]]="","",YEAR(B125))</f>
        <v>2025</v>
      </c>
      <c r="D125" t="str">
        <f>IF(tbl_main[[#This Row],[Date]]="","",TEXT(B125,"mmm"))</f>
        <v>Feb</v>
      </c>
      <c r="E125" t="str">
        <f>IF(tbl_main[[#This Row],[Date]]="","",TEXT(B125,"DDD"))</f>
        <v>Fri</v>
      </c>
      <c r="F125" t="s">
        <v>13</v>
      </c>
      <c r="G125" t="s">
        <v>33</v>
      </c>
      <c r="H125" s="3" t="s">
        <v>34</v>
      </c>
      <c r="I125" s="3" t="s">
        <v>19</v>
      </c>
      <c r="J125" s="3" t="s">
        <v>25</v>
      </c>
      <c r="K125" s="3">
        <f>_xlfn.XLOOKUP(tbl_main[[#This Row],[Service]],tbl_service[Service],tbl_service[Price],"")</f>
        <v>100</v>
      </c>
      <c r="L125" s="3">
        <v>1</v>
      </c>
      <c r="M125" s="3">
        <f>IF(AND(tbl_main[[#This Row],[Price]]="",tbl_main[[#This Row],[Qty]]=""),"",tbl_main[[#This Row],[Price]]*tbl_main[[#This Row],[Qty]])</f>
        <v>100</v>
      </c>
      <c r="N125" s="3">
        <f>_xlfn.LET(_xlpm.x,_xlfn.XLOOKUP(tbl_main[[#This Row],[Service]],tbl_service[Service],tbl_service[Profit],""),
               IF(tbl_main[[#This Row],[Qty]]="","",_xlpm.x*tbl_main[[#This Row],[Qty]]))</f>
        <v>45</v>
      </c>
    </row>
    <row r="126" spans="1:14" x14ac:dyDescent="0.25">
      <c r="A126" t="s">
        <v>168</v>
      </c>
      <c r="B126" s="1">
        <v>45695</v>
      </c>
      <c r="C126">
        <f>IF(tbl_main[[#This Row],[Date]]="","",YEAR(B126))</f>
        <v>2025</v>
      </c>
      <c r="D126" t="str">
        <f>IF(tbl_main[[#This Row],[Date]]="","",TEXT(B126,"mmm"))</f>
        <v>Feb</v>
      </c>
      <c r="E126" t="str">
        <f>IF(tbl_main[[#This Row],[Date]]="","",TEXT(B126,"DDD"))</f>
        <v>Fri</v>
      </c>
      <c r="F126" t="s">
        <v>13</v>
      </c>
      <c r="G126" t="s">
        <v>33</v>
      </c>
      <c r="H126" s="3" t="s">
        <v>34</v>
      </c>
      <c r="I126" s="3" t="s">
        <v>19</v>
      </c>
      <c r="J126" s="3" t="s">
        <v>25</v>
      </c>
      <c r="K126" s="3">
        <f>_xlfn.XLOOKUP(tbl_main[[#This Row],[Service]],tbl_service[Service],tbl_service[Price],"")</f>
        <v>100</v>
      </c>
      <c r="L126" s="3">
        <v>1</v>
      </c>
      <c r="M126" s="3">
        <f>IF(AND(tbl_main[[#This Row],[Price]]="",tbl_main[[#This Row],[Qty]]=""),"",tbl_main[[#This Row],[Price]]*tbl_main[[#This Row],[Qty]])</f>
        <v>100</v>
      </c>
      <c r="N126" s="3">
        <f>_xlfn.LET(_xlpm.x,_xlfn.XLOOKUP(tbl_main[[#This Row],[Service]],tbl_service[Service],tbl_service[Profit],""),
               IF(tbl_main[[#This Row],[Qty]]="","",_xlpm.x*tbl_main[[#This Row],[Qty]]))</f>
        <v>45</v>
      </c>
    </row>
    <row r="127" spans="1:14" x14ac:dyDescent="0.25">
      <c r="A127" t="s">
        <v>169</v>
      </c>
      <c r="B127" s="1">
        <v>45696</v>
      </c>
      <c r="C127">
        <f>IF(tbl_main[[#This Row],[Date]]="","",YEAR(B127))</f>
        <v>2025</v>
      </c>
      <c r="D127" t="str">
        <f>IF(tbl_main[[#This Row],[Date]]="","",TEXT(B127,"mmm"))</f>
        <v>Feb</v>
      </c>
      <c r="E127" t="str">
        <f>IF(tbl_main[[#This Row],[Date]]="","",TEXT(B127,"DDD"))</f>
        <v>Sat</v>
      </c>
      <c r="F127" t="s">
        <v>20</v>
      </c>
      <c r="G127" t="s">
        <v>39</v>
      </c>
      <c r="H127" s="3" t="s">
        <v>18</v>
      </c>
      <c r="I127" s="3" t="s">
        <v>19</v>
      </c>
      <c r="J127" s="3" t="s">
        <v>25</v>
      </c>
      <c r="K127" s="3">
        <f>_xlfn.XLOOKUP(tbl_main[[#This Row],[Service]],tbl_service[Service],tbl_service[Price],"")</f>
        <v>500</v>
      </c>
      <c r="L127" s="3">
        <v>1</v>
      </c>
      <c r="M127" s="3">
        <f>IF(AND(tbl_main[[#This Row],[Price]]="",tbl_main[[#This Row],[Qty]]=""),"",tbl_main[[#This Row],[Price]]*tbl_main[[#This Row],[Qty]])</f>
        <v>500</v>
      </c>
      <c r="N127" s="3">
        <f>_xlfn.LET(_xlpm.x,_xlfn.XLOOKUP(tbl_main[[#This Row],[Service]],tbl_service[Service],tbl_service[Profit],""),
               IF(tbl_main[[#This Row],[Qty]]="","",_xlpm.x*tbl_main[[#This Row],[Qty]]))</f>
        <v>157</v>
      </c>
    </row>
    <row r="128" spans="1:14" x14ac:dyDescent="0.25">
      <c r="A128" t="s">
        <v>170</v>
      </c>
      <c r="B128" s="1">
        <v>45696</v>
      </c>
      <c r="C128">
        <f>IF(tbl_main[[#This Row],[Date]]="","",YEAR(B128))</f>
        <v>2025</v>
      </c>
      <c r="D128" t="str">
        <f>IF(tbl_main[[#This Row],[Date]]="","",TEXT(B128,"mmm"))</f>
        <v>Feb</v>
      </c>
      <c r="E128" t="str">
        <f>IF(tbl_main[[#This Row],[Date]]="","",TEXT(B128,"DDD"))</f>
        <v>Sat</v>
      </c>
      <c r="F128" t="s">
        <v>20</v>
      </c>
      <c r="G128" t="s">
        <v>21</v>
      </c>
      <c r="H128" s="3" t="s">
        <v>26</v>
      </c>
      <c r="I128" s="3" t="s">
        <v>19</v>
      </c>
      <c r="J128" s="3" t="s">
        <v>25</v>
      </c>
      <c r="K128" s="3">
        <f>_xlfn.XLOOKUP(tbl_main[[#This Row],[Service]],tbl_service[Service],tbl_service[Price],"")</f>
        <v>200</v>
      </c>
      <c r="L128" s="3">
        <v>2</v>
      </c>
      <c r="M128" s="3">
        <f>IF(AND(tbl_main[[#This Row],[Price]]="",tbl_main[[#This Row],[Qty]]=""),"",tbl_main[[#This Row],[Price]]*tbl_main[[#This Row],[Qty]])</f>
        <v>400</v>
      </c>
      <c r="N128" s="3">
        <f>_xlfn.LET(_xlpm.x,_xlfn.XLOOKUP(tbl_main[[#This Row],[Service]],tbl_service[Service],tbl_service[Profit],""),
               IF(tbl_main[[#This Row],[Qty]]="","",_xlpm.x*tbl_main[[#This Row],[Qty]]))</f>
        <v>180</v>
      </c>
    </row>
    <row r="129" spans="1:14" x14ac:dyDescent="0.25">
      <c r="A129" t="s">
        <v>171</v>
      </c>
      <c r="B129" s="1">
        <v>45696</v>
      </c>
      <c r="C129">
        <f>IF(tbl_main[[#This Row],[Date]]="","",YEAR(B129))</f>
        <v>2025</v>
      </c>
      <c r="D129" t="str">
        <f>IF(tbl_main[[#This Row],[Date]]="","",TEXT(B129,"mmm"))</f>
        <v>Feb</v>
      </c>
      <c r="E129" t="str">
        <f>IF(tbl_main[[#This Row],[Date]]="","",TEXT(B129,"DDD"))</f>
        <v>Sat</v>
      </c>
      <c r="F129" t="s">
        <v>27</v>
      </c>
      <c r="G129" t="s">
        <v>28</v>
      </c>
      <c r="H129" s="3" t="s">
        <v>18</v>
      </c>
      <c r="I129" s="3" t="s">
        <v>19</v>
      </c>
      <c r="J129" s="3" t="s">
        <v>32</v>
      </c>
      <c r="K129" s="3">
        <f>_xlfn.XLOOKUP(tbl_main[[#This Row],[Service]],tbl_service[Service],tbl_service[Price],"")</f>
        <v>500</v>
      </c>
      <c r="L129" s="3">
        <v>1</v>
      </c>
      <c r="M129" s="3">
        <f>IF(AND(tbl_main[[#This Row],[Price]]="",tbl_main[[#This Row],[Qty]]=""),"",tbl_main[[#This Row],[Price]]*tbl_main[[#This Row],[Qty]])</f>
        <v>500</v>
      </c>
      <c r="N129" s="3">
        <f>_xlfn.LET(_xlpm.x,_xlfn.XLOOKUP(tbl_main[[#This Row],[Service]],tbl_service[Service],tbl_service[Profit],""),
               IF(tbl_main[[#This Row],[Qty]]="","",_xlpm.x*tbl_main[[#This Row],[Qty]]))</f>
        <v>157</v>
      </c>
    </row>
    <row r="130" spans="1:14" x14ac:dyDescent="0.25">
      <c r="A130" t="s">
        <v>172</v>
      </c>
      <c r="B130" s="1">
        <v>45697</v>
      </c>
      <c r="C130">
        <f>IF(tbl_main[[#This Row],[Date]]="","",YEAR(B130))</f>
        <v>2025</v>
      </c>
      <c r="D130" t="str">
        <f>IF(tbl_main[[#This Row],[Date]]="","",TEXT(B130,"mmm"))</f>
        <v>Feb</v>
      </c>
      <c r="E130" t="str">
        <f>IF(tbl_main[[#This Row],[Date]]="","",TEXT(B130,"DDD"))</f>
        <v>Sun</v>
      </c>
      <c r="F130" t="s">
        <v>27</v>
      </c>
      <c r="G130" t="s">
        <v>28</v>
      </c>
      <c r="H130" s="3" t="s">
        <v>22</v>
      </c>
      <c r="I130" s="3" t="s">
        <v>19</v>
      </c>
      <c r="J130" s="3" t="s">
        <v>17</v>
      </c>
      <c r="K130" s="3">
        <f>_xlfn.XLOOKUP(tbl_main[[#This Row],[Service]],tbl_service[Service],tbl_service[Price],"")</f>
        <v>150</v>
      </c>
      <c r="L130" s="3">
        <v>2</v>
      </c>
      <c r="M130" s="3">
        <f>IF(AND(tbl_main[[#This Row],[Price]]="",tbl_main[[#This Row],[Qty]]=""),"",tbl_main[[#This Row],[Price]]*tbl_main[[#This Row],[Qty]])</f>
        <v>300</v>
      </c>
      <c r="N130" s="3">
        <f>_xlfn.LET(_xlpm.x,_xlfn.XLOOKUP(tbl_main[[#This Row],[Service]],tbl_service[Service],tbl_service[Profit],""),
               IF(tbl_main[[#This Row],[Qty]]="","",_xlpm.x*tbl_main[[#This Row],[Qty]]))</f>
        <v>134</v>
      </c>
    </row>
    <row r="131" spans="1:14" x14ac:dyDescent="0.25">
      <c r="A131" t="s">
        <v>173</v>
      </c>
      <c r="B131" s="1">
        <v>45697</v>
      </c>
      <c r="C131">
        <f>IF(tbl_main[[#This Row],[Date]]="","",YEAR(B131))</f>
        <v>2025</v>
      </c>
      <c r="D131" t="str">
        <f>IF(tbl_main[[#This Row],[Date]]="","",TEXT(B131,"mmm"))</f>
        <v>Feb</v>
      </c>
      <c r="E131" t="str">
        <f>IF(tbl_main[[#This Row],[Date]]="","",TEXT(B131,"DDD"))</f>
        <v>Sun</v>
      </c>
      <c r="F131" t="s">
        <v>20</v>
      </c>
      <c r="G131" t="s">
        <v>39</v>
      </c>
      <c r="H131" s="3" t="s">
        <v>34</v>
      </c>
      <c r="I131" s="3" t="s">
        <v>19</v>
      </c>
      <c r="J131" s="3" t="s">
        <v>17</v>
      </c>
      <c r="K131" s="3">
        <f>_xlfn.XLOOKUP(tbl_main[[#This Row],[Service]],tbl_service[Service],tbl_service[Price],"")</f>
        <v>100</v>
      </c>
      <c r="L131" s="3">
        <v>2</v>
      </c>
      <c r="M131" s="3">
        <f>IF(AND(tbl_main[[#This Row],[Price]]="",tbl_main[[#This Row],[Qty]]=""),"",tbl_main[[#This Row],[Price]]*tbl_main[[#This Row],[Qty]])</f>
        <v>200</v>
      </c>
      <c r="N131" s="3">
        <f>_xlfn.LET(_xlpm.x,_xlfn.XLOOKUP(tbl_main[[#This Row],[Service]],tbl_service[Service],tbl_service[Profit],""),
               IF(tbl_main[[#This Row],[Qty]]="","",_xlpm.x*tbl_main[[#This Row],[Qty]]))</f>
        <v>90</v>
      </c>
    </row>
    <row r="132" spans="1:14" x14ac:dyDescent="0.25">
      <c r="A132" t="s">
        <v>174</v>
      </c>
      <c r="B132" s="1">
        <v>45697</v>
      </c>
      <c r="C132">
        <f>IF(tbl_main[[#This Row],[Date]]="","",YEAR(B132))</f>
        <v>2025</v>
      </c>
      <c r="D132" t="str">
        <f>IF(tbl_main[[#This Row],[Date]]="","",TEXT(B132,"mmm"))</f>
        <v>Feb</v>
      </c>
      <c r="E132" t="str">
        <f>IF(tbl_main[[#This Row],[Date]]="","",TEXT(B132,"DDD"))</f>
        <v>Sun</v>
      </c>
      <c r="F132" t="s">
        <v>30</v>
      </c>
      <c r="G132" t="s">
        <v>31</v>
      </c>
      <c r="H132" s="3" t="s">
        <v>18</v>
      </c>
      <c r="I132" s="3" t="s">
        <v>19</v>
      </c>
      <c r="J132" s="3" t="s">
        <v>32</v>
      </c>
      <c r="K132" s="3">
        <f>_xlfn.XLOOKUP(tbl_main[[#This Row],[Service]],tbl_service[Service],tbl_service[Price],"")</f>
        <v>500</v>
      </c>
      <c r="L132" s="3">
        <v>2</v>
      </c>
      <c r="M132" s="3">
        <f>IF(AND(tbl_main[[#This Row],[Price]]="",tbl_main[[#This Row],[Qty]]=""),"",tbl_main[[#This Row],[Price]]*tbl_main[[#This Row],[Qty]])</f>
        <v>1000</v>
      </c>
      <c r="N132" s="3">
        <f>_xlfn.LET(_xlpm.x,_xlfn.XLOOKUP(tbl_main[[#This Row],[Service]],tbl_service[Service],tbl_service[Profit],""),
               IF(tbl_main[[#This Row],[Qty]]="","",_xlpm.x*tbl_main[[#This Row],[Qty]]))</f>
        <v>314</v>
      </c>
    </row>
    <row r="133" spans="1:14" x14ac:dyDescent="0.25">
      <c r="A133" t="s">
        <v>175</v>
      </c>
      <c r="B133" s="1">
        <v>45698</v>
      </c>
      <c r="C133">
        <f>IF(tbl_main[[#This Row],[Date]]="","",YEAR(B133))</f>
        <v>2025</v>
      </c>
      <c r="D133" t="str">
        <f>IF(tbl_main[[#This Row],[Date]]="","",TEXT(B133,"mmm"))</f>
        <v>Feb</v>
      </c>
      <c r="E133" t="str">
        <f>IF(tbl_main[[#This Row],[Date]]="","",TEXT(B133,"DDD"))</f>
        <v>Mon</v>
      </c>
      <c r="F133" t="s">
        <v>27</v>
      </c>
      <c r="G133" t="s">
        <v>40</v>
      </c>
      <c r="H133" s="3" t="s">
        <v>26</v>
      </c>
      <c r="I133" s="3" t="s">
        <v>19</v>
      </c>
      <c r="J133" s="3" t="s">
        <v>17</v>
      </c>
      <c r="K133" s="3">
        <f>_xlfn.XLOOKUP(tbl_main[[#This Row],[Service]],tbl_service[Service],tbl_service[Price],"")</f>
        <v>200</v>
      </c>
      <c r="L133" s="3">
        <v>1</v>
      </c>
      <c r="M133" s="3">
        <f>IF(AND(tbl_main[[#This Row],[Price]]="",tbl_main[[#This Row],[Qty]]=""),"",tbl_main[[#This Row],[Price]]*tbl_main[[#This Row],[Qty]])</f>
        <v>200</v>
      </c>
      <c r="N133" s="3">
        <f>_xlfn.LET(_xlpm.x,_xlfn.XLOOKUP(tbl_main[[#This Row],[Service]],tbl_service[Service],tbl_service[Profit],""),
               IF(tbl_main[[#This Row],[Qty]]="","",_xlpm.x*tbl_main[[#This Row],[Qty]]))</f>
        <v>90</v>
      </c>
    </row>
    <row r="134" spans="1:14" x14ac:dyDescent="0.25">
      <c r="A134" t="s">
        <v>176</v>
      </c>
      <c r="B134" s="1">
        <v>45698</v>
      </c>
      <c r="C134">
        <f>IF(tbl_main[[#This Row],[Date]]="","",YEAR(B134))</f>
        <v>2025</v>
      </c>
      <c r="D134" t="str">
        <f>IF(tbl_main[[#This Row],[Date]]="","",TEXT(B134,"mmm"))</f>
        <v>Feb</v>
      </c>
      <c r="E134" t="str">
        <f>IF(tbl_main[[#This Row],[Date]]="","",TEXT(B134,"DDD"))</f>
        <v>Mon</v>
      </c>
      <c r="F134" t="s">
        <v>30</v>
      </c>
      <c r="G134" t="s">
        <v>36</v>
      </c>
      <c r="H134" s="3" t="s">
        <v>18</v>
      </c>
      <c r="I134" s="3" t="s">
        <v>23</v>
      </c>
      <c r="J134" s="3" t="s">
        <v>17</v>
      </c>
      <c r="K134" s="3">
        <f>_xlfn.XLOOKUP(tbl_main[[#This Row],[Service]],tbl_service[Service],tbl_service[Price],"")</f>
        <v>500</v>
      </c>
      <c r="L134" s="3">
        <v>2</v>
      </c>
      <c r="M134" s="3">
        <f>IF(AND(tbl_main[[#This Row],[Price]]="",tbl_main[[#This Row],[Qty]]=""),"",tbl_main[[#This Row],[Price]]*tbl_main[[#This Row],[Qty]])</f>
        <v>1000</v>
      </c>
      <c r="N134" s="3">
        <f>_xlfn.LET(_xlpm.x,_xlfn.XLOOKUP(tbl_main[[#This Row],[Service]],tbl_service[Service],tbl_service[Profit],""),
               IF(tbl_main[[#This Row],[Qty]]="","",_xlpm.x*tbl_main[[#This Row],[Qty]]))</f>
        <v>314</v>
      </c>
    </row>
    <row r="135" spans="1:14" x14ac:dyDescent="0.25">
      <c r="A135" t="s">
        <v>177</v>
      </c>
      <c r="B135" s="1">
        <v>45698</v>
      </c>
      <c r="C135">
        <f>IF(tbl_main[[#This Row],[Date]]="","",YEAR(B135))</f>
        <v>2025</v>
      </c>
      <c r="D135" t="str">
        <f>IF(tbl_main[[#This Row],[Date]]="","",TEXT(B135,"mmm"))</f>
        <v>Feb</v>
      </c>
      <c r="E135" t="str">
        <f>IF(tbl_main[[#This Row],[Date]]="","",TEXT(B135,"DDD"))</f>
        <v>Mon</v>
      </c>
      <c r="F135" t="s">
        <v>13</v>
      </c>
      <c r="G135" t="s">
        <v>33</v>
      </c>
      <c r="H135" s="3" t="s">
        <v>34</v>
      </c>
      <c r="I135" s="3" t="s">
        <v>19</v>
      </c>
      <c r="J135" s="3" t="s">
        <v>32</v>
      </c>
      <c r="K135" s="3">
        <f>_xlfn.XLOOKUP(tbl_main[[#This Row],[Service]],tbl_service[Service],tbl_service[Price],"")</f>
        <v>100</v>
      </c>
      <c r="L135" s="3">
        <v>1</v>
      </c>
      <c r="M135" s="3">
        <f>IF(AND(tbl_main[[#This Row],[Price]]="",tbl_main[[#This Row],[Qty]]=""),"",tbl_main[[#This Row],[Price]]*tbl_main[[#This Row],[Qty]])</f>
        <v>100</v>
      </c>
      <c r="N135" s="3">
        <f>_xlfn.LET(_xlpm.x,_xlfn.XLOOKUP(tbl_main[[#This Row],[Service]],tbl_service[Service],tbl_service[Profit],""),
               IF(tbl_main[[#This Row],[Qty]]="","",_xlpm.x*tbl_main[[#This Row],[Qty]]))</f>
        <v>45</v>
      </c>
    </row>
    <row r="136" spans="1:14" x14ac:dyDescent="0.25">
      <c r="A136" t="s">
        <v>178</v>
      </c>
      <c r="B136" s="1">
        <v>45699</v>
      </c>
      <c r="C136">
        <f>IF(tbl_main[[#This Row],[Date]]="","",YEAR(B136))</f>
        <v>2025</v>
      </c>
      <c r="D136" t="str">
        <f>IF(tbl_main[[#This Row],[Date]]="","",TEXT(B136,"mmm"))</f>
        <v>Feb</v>
      </c>
      <c r="E136" t="str">
        <f>IF(tbl_main[[#This Row],[Date]]="","",TEXT(B136,"DDD"))</f>
        <v>Tue</v>
      </c>
      <c r="F136" t="s">
        <v>30</v>
      </c>
      <c r="G136" t="s">
        <v>31</v>
      </c>
      <c r="H136" s="3" t="s">
        <v>18</v>
      </c>
      <c r="I136" s="3" t="s">
        <v>19</v>
      </c>
      <c r="J136" s="3" t="s">
        <v>25</v>
      </c>
      <c r="K136" s="3">
        <f>_xlfn.XLOOKUP(tbl_main[[#This Row],[Service]],tbl_service[Service],tbl_service[Price],"")</f>
        <v>500</v>
      </c>
      <c r="L136" s="3">
        <v>1</v>
      </c>
      <c r="M136" s="3">
        <f>IF(AND(tbl_main[[#This Row],[Price]]="",tbl_main[[#This Row],[Qty]]=""),"",tbl_main[[#This Row],[Price]]*tbl_main[[#This Row],[Qty]])</f>
        <v>500</v>
      </c>
      <c r="N136" s="3">
        <f>_xlfn.LET(_xlpm.x,_xlfn.XLOOKUP(tbl_main[[#This Row],[Service]],tbl_service[Service],tbl_service[Profit],""),
               IF(tbl_main[[#This Row],[Qty]]="","",_xlpm.x*tbl_main[[#This Row],[Qty]]))</f>
        <v>157</v>
      </c>
    </row>
    <row r="137" spans="1:14" x14ac:dyDescent="0.25">
      <c r="A137" t="s">
        <v>179</v>
      </c>
      <c r="B137" s="1">
        <v>45699</v>
      </c>
      <c r="C137">
        <f>IF(tbl_main[[#This Row],[Date]]="","",YEAR(B137))</f>
        <v>2025</v>
      </c>
      <c r="D137" t="str">
        <f>IF(tbl_main[[#This Row],[Date]]="","",TEXT(B137,"mmm"))</f>
        <v>Feb</v>
      </c>
      <c r="E137" t="str">
        <f>IF(tbl_main[[#This Row],[Date]]="","",TEXT(B137,"DDD"))</f>
        <v>Tue</v>
      </c>
      <c r="F137" t="s">
        <v>27</v>
      </c>
      <c r="G137" t="s">
        <v>40</v>
      </c>
      <c r="H137" s="3" t="s">
        <v>18</v>
      </c>
      <c r="I137" s="3" t="s">
        <v>35</v>
      </c>
      <c r="J137" s="3" t="s">
        <v>32</v>
      </c>
      <c r="K137" s="3">
        <f>_xlfn.XLOOKUP(tbl_main[[#This Row],[Service]],tbl_service[Service],tbl_service[Price],"")</f>
        <v>500</v>
      </c>
      <c r="L137" s="3">
        <v>1</v>
      </c>
      <c r="M137" s="3">
        <f>IF(AND(tbl_main[[#This Row],[Price]]="",tbl_main[[#This Row],[Qty]]=""),"",tbl_main[[#This Row],[Price]]*tbl_main[[#This Row],[Qty]])</f>
        <v>500</v>
      </c>
      <c r="N137" s="3">
        <f>_xlfn.LET(_xlpm.x,_xlfn.XLOOKUP(tbl_main[[#This Row],[Service]],tbl_service[Service],tbl_service[Profit],""),
               IF(tbl_main[[#This Row],[Qty]]="","",_xlpm.x*tbl_main[[#This Row],[Qty]]))</f>
        <v>157</v>
      </c>
    </row>
    <row r="138" spans="1:14" x14ac:dyDescent="0.25">
      <c r="A138" t="s">
        <v>180</v>
      </c>
      <c r="B138" s="1">
        <v>45699</v>
      </c>
      <c r="C138">
        <f>IF(tbl_main[[#This Row],[Date]]="","",YEAR(B138))</f>
        <v>2025</v>
      </c>
      <c r="D138" t="str">
        <f>IF(tbl_main[[#This Row],[Date]]="","",TEXT(B138,"mmm"))</f>
        <v>Feb</v>
      </c>
      <c r="E138" t="str">
        <f>IF(tbl_main[[#This Row],[Date]]="","",TEXT(B138,"DDD"))</f>
        <v>Tue</v>
      </c>
      <c r="F138" t="s">
        <v>30</v>
      </c>
      <c r="G138" t="s">
        <v>31</v>
      </c>
      <c r="H138" s="3" t="s">
        <v>34</v>
      </c>
      <c r="I138" s="3" t="s">
        <v>35</v>
      </c>
      <c r="J138" s="3" t="s">
        <v>17</v>
      </c>
      <c r="K138" s="3">
        <f>_xlfn.XLOOKUP(tbl_main[[#This Row],[Service]],tbl_service[Service],tbl_service[Price],"")</f>
        <v>100</v>
      </c>
      <c r="L138" s="3">
        <v>2</v>
      </c>
      <c r="M138" s="3">
        <f>IF(AND(tbl_main[[#This Row],[Price]]="",tbl_main[[#This Row],[Qty]]=""),"",tbl_main[[#This Row],[Price]]*tbl_main[[#This Row],[Qty]])</f>
        <v>200</v>
      </c>
      <c r="N138" s="3">
        <f>_xlfn.LET(_xlpm.x,_xlfn.XLOOKUP(tbl_main[[#This Row],[Service]],tbl_service[Service],tbl_service[Profit],""),
               IF(tbl_main[[#This Row],[Qty]]="","",_xlpm.x*tbl_main[[#This Row],[Qty]]))</f>
        <v>90</v>
      </c>
    </row>
    <row r="139" spans="1:14" x14ac:dyDescent="0.25">
      <c r="A139" t="s">
        <v>181</v>
      </c>
      <c r="B139" s="1">
        <v>45699</v>
      </c>
      <c r="C139">
        <f>IF(tbl_main[[#This Row],[Date]]="","",YEAR(B139))</f>
        <v>2025</v>
      </c>
      <c r="D139" t="str">
        <f>IF(tbl_main[[#This Row],[Date]]="","",TEXT(B139,"mmm"))</f>
        <v>Feb</v>
      </c>
      <c r="E139" t="str">
        <f>IF(tbl_main[[#This Row],[Date]]="","",TEXT(B139,"DDD"))</f>
        <v>Tue</v>
      </c>
      <c r="F139" t="s">
        <v>30</v>
      </c>
      <c r="G139" t="s">
        <v>36</v>
      </c>
      <c r="H139" s="3" t="s">
        <v>26</v>
      </c>
      <c r="I139" s="3" t="s">
        <v>23</v>
      </c>
      <c r="J139" s="3" t="s">
        <v>25</v>
      </c>
      <c r="K139" s="3">
        <f>_xlfn.XLOOKUP(tbl_main[[#This Row],[Service]],tbl_service[Service],tbl_service[Price],"")</f>
        <v>200</v>
      </c>
      <c r="L139" s="3">
        <v>1</v>
      </c>
      <c r="M139" s="3">
        <f>IF(AND(tbl_main[[#This Row],[Price]]="",tbl_main[[#This Row],[Qty]]=""),"",tbl_main[[#This Row],[Price]]*tbl_main[[#This Row],[Qty]])</f>
        <v>200</v>
      </c>
      <c r="N139" s="3">
        <f>_xlfn.LET(_xlpm.x,_xlfn.XLOOKUP(tbl_main[[#This Row],[Service]],tbl_service[Service],tbl_service[Profit],""),
               IF(tbl_main[[#This Row],[Qty]]="","",_xlpm.x*tbl_main[[#This Row],[Qty]]))</f>
        <v>90</v>
      </c>
    </row>
    <row r="140" spans="1:14" x14ac:dyDescent="0.25">
      <c r="A140" t="s">
        <v>182</v>
      </c>
      <c r="B140" s="1">
        <v>45700</v>
      </c>
      <c r="C140">
        <f>IF(tbl_main[[#This Row],[Date]]="","",YEAR(B140))</f>
        <v>2025</v>
      </c>
      <c r="D140" t="str">
        <f>IF(tbl_main[[#This Row],[Date]]="","",TEXT(B140,"mmm"))</f>
        <v>Feb</v>
      </c>
      <c r="E140" t="str">
        <f>IF(tbl_main[[#This Row],[Date]]="","",TEXT(B140,"DDD"))</f>
        <v>Wed</v>
      </c>
      <c r="F140" t="s">
        <v>27</v>
      </c>
      <c r="G140" t="s">
        <v>28</v>
      </c>
      <c r="H140" s="3" t="s">
        <v>22</v>
      </c>
      <c r="I140" s="3" t="s">
        <v>37</v>
      </c>
      <c r="J140" s="3" t="s">
        <v>17</v>
      </c>
      <c r="K140" s="3">
        <f>_xlfn.XLOOKUP(tbl_main[[#This Row],[Service]],tbl_service[Service],tbl_service[Price],"")</f>
        <v>150</v>
      </c>
      <c r="L140" s="3">
        <v>1</v>
      </c>
      <c r="M140" s="3">
        <f>IF(AND(tbl_main[[#This Row],[Price]]="",tbl_main[[#This Row],[Qty]]=""),"",tbl_main[[#This Row],[Price]]*tbl_main[[#This Row],[Qty]])</f>
        <v>150</v>
      </c>
      <c r="N140" s="3">
        <f>_xlfn.LET(_xlpm.x,_xlfn.XLOOKUP(tbl_main[[#This Row],[Service]],tbl_service[Service],tbl_service[Profit],""),
               IF(tbl_main[[#This Row],[Qty]]="","",_xlpm.x*tbl_main[[#This Row],[Qty]]))</f>
        <v>67</v>
      </c>
    </row>
    <row r="141" spans="1:14" x14ac:dyDescent="0.25">
      <c r="A141" t="s">
        <v>183</v>
      </c>
      <c r="B141" s="1">
        <v>45700</v>
      </c>
      <c r="C141">
        <f>IF(tbl_main[[#This Row],[Date]]="","",YEAR(B141))</f>
        <v>2025</v>
      </c>
      <c r="D141" t="str">
        <f>IF(tbl_main[[#This Row],[Date]]="","",TEXT(B141,"mmm"))</f>
        <v>Feb</v>
      </c>
      <c r="E141" t="str">
        <f>IF(tbl_main[[#This Row],[Date]]="","",TEXT(B141,"DDD"))</f>
        <v>Wed</v>
      </c>
      <c r="F141" t="s">
        <v>27</v>
      </c>
      <c r="G141" t="s">
        <v>40</v>
      </c>
      <c r="H141" s="3" t="s">
        <v>22</v>
      </c>
      <c r="I141" s="3" t="s">
        <v>38</v>
      </c>
      <c r="J141" s="3" t="s">
        <v>32</v>
      </c>
      <c r="K141" s="3">
        <f>_xlfn.XLOOKUP(tbl_main[[#This Row],[Service]],tbl_service[Service],tbl_service[Price],"")</f>
        <v>150</v>
      </c>
      <c r="L141" s="3">
        <v>1</v>
      </c>
      <c r="M141" s="3">
        <f>IF(AND(tbl_main[[#This Row],[Price]]="",tbl_main[[#This Row],[Qty]]=""),"",tbl_main[[#This Row],[Price]]*tbl_main[[#This Row],[Qty]])</f>
        <v>150</v>
      </c>
      <c r="N141" s="3">
        <f>_xlfn.LET(_xlpm.x,_xlfn.XLOOKUP(tbl_main[[#This Row],[Service]],tbl_service[Service],tbl_service[Profit],""),
               IF(tbl_main[[#This Row],[Qty]]="","",_xlpm.x*tbl_main[[#This Row],[Qty]]))</f>
        <v>67</v>
      </c>
    </row>
    <row r="142" spans="1:14" x14ac:dyDescent="0.25">
      <c r="A142" t="s">
        <v>184</v>
      </c>
      <c r="B142" s="1">
        <v>45700</v>
      </c>
      <c r="C142">
        <f>IF(tbl_main[[#This Row],[Date]]="","",YEAR(B142))</f>
        <v>2025</v>
      </c>
      <c r="D142" t="str">
        <f>IF(tbl_main[[#This Row],[Date]]="","",TEXT(B142,"mmm"))</f>
        <v>Feb</v>
      </c>
      <c r="E142" t="str">
        <f>IF(tbl_main[[#This Row],[Date]]="","",TEXT(B142,"DDD"))</f>
        <v>Wed</v>
      </c>
      <c r="F142" t="s">
        <v>20</v>
      </c>
      <c r="G142" t="s">
        <v>29</v>
      </c>
      <c r="H142" s="3" t="s">
        <v>22</v>
      </c>
      <c r="I142" s="3" t="s">
        <v>16</v>
      </c>
      <c r="J142" s="3" t="s">
        <v>25</v>
      </c>
      <c r="K142" s="3">
        <f>_xlfn.XLOOKUP(tbl_main[[#This Row],[Service]],tbl_service[Service],tbl_service[Price],"")</f>
        <v>150</v>
      </c>
      <c r="L142" s="3">
        <v>1</v>
      </c>
      <c r="M142" s="3">
        <f>IF(AND(tbl_main[[#This Row],[Price]]="",tbl_main[[#This Row],[Qty]]=""),"",tbl_main[[#This Row],[Price]]*tbl_main[[#This Row],[Qty]])</f>
        <v>150</v>
      </c>
      <c r="N142" s="3">
        <f>_xlfn.LET(_xlpm.x,_xlfn.XLOOKUP(tbl_main[[#This Row],[Service]],tbl_service[Service],tbl_service[Profit],""),
               IF(tbl_main[[#This Row],[Qty]]="","",_xlpm.x*tbl_main[[#This Row],[Qty]]))</f>
        <v>67</v>
      </c>
    </row>
    <row r="143" spans="1:14" x14ac:dyDescent="0.25">
      <c r="A143" t="s">
        <v>185</v>
      </c>
      <c r="B143" s="1">
        <v>45700</v>
      </c>
      <c r="C143">
        <f>IF(tbl_main[[#This Row],[Date]]="","",YEAR(B143))</f>
        <v>2025</v>
      </c>
      <c r="D143" t="str">
        <f>IF(tbl_main[[#This Row],[Date]]="","",TEXT(B143,"mmm"))</f>
        <v>Feb</v>
      </c>
      <c r="E143" t="str">
        <f>IF(tbl_main[[#This Row],[Date]]="","",TEXT(B143,"DDD"))</f>
        <v>Wed</v>
      </c>
      <c r="F143" t="s">
        <v>20</v>
      </c>
      <c r="G143" t="s">
        <v>21</v>
      </c>
      <c r="H143" s="3" t="s">
        <v>26</v>
      </c>
      <c r="I143" s="3" t="s">
        <v>19</v>
      </c>
      <c r="J143" s="3" t="s">
        <v>17</v>
      </c>
      <c r="K143" s="3">
        <f>_xlfn.XLOOKUP(tbl_main[[#This Row],[Service]],tbl_service[Service],tbl_service[Price],"")</f>
        <v>200</v>
      </c>
      <c r="L143" s="3">
        <v>2</v>
      </c>
      <c r="M143" s="3">
        <f>IF(AND(tbl_main[[#This Row],[Price]]="",tbl_main[[#This Row],[Qty]]=""),"",tbl_main[[#This Row],[Price]]*tbl_main[[#This Row],[Qty]])</f>
        <v>400</v>
      </c>
      <c r="N143" s="3">
        <f>_xlfn.LET(_xlpm.x,_xlfn.XLOOKUP(tbl_main[[#This Row],[Service]],tbl_service[Service],tbl_service[Profit],""),
               IF(tbl_main[[#This Row],[Qty]]="","",_xlpm.x*tbl_main[[#This Row],[Qty]]))</f>
        <v>180</v>
      </c>
    </row>
    <row r="144" spans="1:14" x14ac:dyDescent="0.25">
      <c r="A144" t="s">
        <v>186</v>
      </c>
      <c r="B144" s="1">
        <v>45701</v>
      </c>
      <c r="C144">
        <f>IF(tbl_main[[#This Row],[Date]]="","",YEAR(B144))</f>
        <v>2025</v>
      </c>
      <c r="D144" t="str">
        <f>IF(tbl_main[[#This Row],[Date]]="","",TEXT(B144,"mmm"))</f>
        <v>Feb</v>
      </c>
      <c r="E144" t="str">
        <f>IF(tbl_main[[#This Row],[Date]]="","",TEXT(B144,"DDD"))</f>
        <v>Thu</v>
      </c>
      <c r="F144" t="s">
        <v>27</v>
      </c>
      <c r="G144" t="s">
        <v>28</v>
      </c>
      <c r="H144" s="3" t="s">
        <v>18</v>
      </c>
      <c r="I144" s="3" t="s">
        <v>23</v>
      </c>
      <c r="J144" s="3" t="s">
        <v>32</v>
      </c>
      <c r="K144" s="3">
        <f>_xlfn.XLOOKUP(tbl_main[[#This Row],[Service]],tbl_service[Service],tbl_service[Price],"")</f>
        <v>500</v>
      </c>
      <c r="L144" s="3">
        <v>1</v>
      </c>
      <c r="M144" s="3">
        <f>IF(AND(tbl_main[[#This Row],[Price]]="",tbl_main[[#This Row],[Qty]]=""),"",tbl_main[[#This Row],[Price]]*tbl_main[[#This Row],[Qty]])</f>
        <v>500</v>
      </c>
      <c r="N144" s="3">
        <f>_xlfn.LET(_xlpm.x,_xlfn.XLOOKUP(tbl_main[[#This Row],[Service]],tbl_service[Service],tbl_service[Profit],""),
               IF(tbl_main[[#This Row],[Qty]]="","",_xlpm.x*tbl_main[[#This Row],[Qty]]))</f>
        <v>157</v>
      </c>
    </row>
    <row r="145" spans="1:14" x14ac:dyDescent="0.25">
      <c r="A145" t="s">
        <v>187</v>
      </c>
      <c r="B145" s="1">
        <v>45701</v>
      </c>
      <c r="C145">
        <f>IF(tbl_main[[#This Row],[Date]]="","",YEAR(B145))</f>
        <v>2025</v>
      </c>
      <c r="D145" t="str">
        <f>IF(tbl_main[[#This Row],[Date]]="","",TEXT(B145,"mmm"))</f>
        <v>Feb</v>
      </c>
      <c r="E145" t="str">
        <f>IF(tbl_main[[#This Row],[Date]]="","",TEXT(B145,"DDD"))</f>
        <v>Thu</v>
      </c>
      <c r="F145" t="s">
        <v>30</v>
      </c>
      <c r="G145" t="s">
        <v>31</v>
      </c>
      <c r="H145" s="3" t="s">
        <v>24</v>
      </c>
      <c r="I145" s="3" t="s">
        <v>19</v>
      </c>
      <c r="J145" s="3" t="s">
        <v>17</v>
      </c>
      <c r="K145" s="3">
        <f>_xlfn.XLOOKUP(tbl_main[[#This Row],[Service]],tbl_service[Service],tbl_service[Price],"")</f>
        <v>80</v>
      </c>
      <c r="L145" s="3">
        <v>2</v>
      </c>
      <c r="M145" s="3">
        <f>IF(AND(tbl_main[[#This Row],[Price]]="",tbl_main[[#This Row],[Qty]]=""),"",tbl_main[[#This Row],[Price]]*tbl_main[[#This Row],[Qty]])</f>
        <v>160</v>
      </c>
      <c r="N145" s="3">
        <f>_xlfn.LET(_xlpm.x,_xlfn.XLOOKUP(tbl_main[[#This Row],[Service]],tbl_service[Service],tbl_service[Profit],""),
               IF(tbl_main[[#This Row],[Qty]]="","",_xlpm.x*tbl_main[[#This Row],[Qty]]))</f>
        <v>72</v>
      </c>
    </row>
    <row r="146" spans="1:14" x14ac:dyDescent="0.25">
      <c r="A146" t="s">
        <v>188</v>
      </c>
      <c r="B146" s="1">
        <v>45701</v>
      </c>
      <c r="C146">
        <f>IF(tbl_main[[#This Row],[Date]]="","",YEAR(B146))</f>
        <v>2025</v>
      </c>
      <c r="D146" t="str">
        <f>IF(tbl_main[[#This Row],[Date]]="","",TEXT(B146,"mmm"))</f>
        <v>Feb</v>
      </c>
      <c r="E146" t="str">
        <f>IF(tbl_main[[#This Row],[Date]]="","",TEXT(B146,"DDD"))</f>
        <v>Thu</v>
      </c>
      <c r="F146" t="s">
        <v>13</v>
      </c>
      <c r="G146" t="s">
        <v>33</v>
      </c>
      <c r="H146" s="3" t="s">
        <v>24</v>
      </c>
      <c r="I146" s="3" t="s">
        <v>19</v>
      </c>
      <c r="J146" s="3" t="s">
        <v>17</v>
      </c>
      <c r="K146" s="3">
        <f>_xlfn.XLOOKUP(tbl_main[[#This Row],[Service]],tbl_service[Service],tbl_service[Price],"")</f>
        <v>80</v>
      </c>
      <c r="L146" s="3">
        <v>1</v>
      </c>
      <c r="M146" s="3">
        <f>IF(AND(tbl_main[[#This Row],[Price]]="",tbl_main[[#This Row],[Qty]]=""),"",tbl_main[[#This Row],[Price]]*tbl_main[[#This Row],[Qty]])</f>
        <v>80</v>
      </c>
      <c r="N146" s="3">
        <f>_xlfn.LET(_xlpm.x,_xlfn.XLOOKUP(tbl_main[[#This Row],[Service]],tbl_service[Service],tbl_service[Profit],""),
               IF(tbl_main[[#This Row],[Qty]]="","",_xlpm.x*tbl_main[[#This Row],[Qty]]))</f>
        <v>36</v>
      </c>
    </row>
    <row r="147" spans="1:14" x14ac:dyDescent="0.25">
      <c r="A147" t="s">
        <v>189</v>
      </c>
      <c r="B147" s="1">
        <v>45701</v>
      </c>
      <c r="C147">
        <f>IF(tbl_main[[#This Row],[Date]]="","",YEAR(B147))</f>
        <v>2025</v>
      </c>
      <c r="D147" t="str">
        <f>IF(tbl_main[[#This Row],[Date]]="","",TEXT(B147,"mmm"))</f>
        <v>Feb</v>
      </c>
      <c r="E147" t="str">
        <f>IF(tbl_main[[#This Row],[Date]]="","",TEXT(B147,"DDD"))</f>
        <v>Thu</v>
      </c>
      <c r="F147" t="s">
        <v>13</v>
      </c>
      <c r="G147" t="s">
        <v>14</v>
      </c>
      <c r="H147" s="3" t="s">
        <v>24</v>
      </c>
      <c r="I147" s="3" t="s">
        <v>35</v>
      </c>
      <c r="J147" s="3" t="s">
        <v>25</v>
      </c>
      <c r="K147" s="3">
        <f>_xlfn.XLOOKUP(tbl_main[[#This Row],[Service]],tbl_service[Service],tbl_service[Price],"")</f>
        <v>80</v>
      </c>
      <c r="L147" s="3">
        <v>2</v>
      </c>
      <c r="M147" s="3">
        <f>IF(AND(tbl_main[[#This Row],[Price]]="",tbl_main[[#This Row],[Qty]]=""),"",tbl_main[[#This Row],[Price]]*tbl_main[[#This Row],[Qty]])</f>
        <v>160</v>
      </c>
      <c r="N147" s="3">
        <f>_xlfn.LET(_xlpm.x,_xlfn.XLOOKUP(tbl_main[[#This Row],[Service]],tbl_service[Service],tbl_service[Profit],""),
               IF(tbl_main[[#This Row],[Qty]]="","",_xlpm.x*tbl_main[[#This Row],[Qty]]))</f>
        <v>72</v>
      </c>
    </row>
    <row r="148" spans="1:14" x14ac:dyDescent="0.25">
      <c r="A148" t="s">
        <v>190</v>
      </c>
      <c r="B148" s="1">
        <v>45702</v>
      </c>
      <c r="C148">
        <f>IF(tbl_main[[#This Row],[Date]]="","",YEAR(B148))</f>
        <v>2025</v>
      </c>
      <c r="D148" t="str">
        <f>IF(tbl_main[[#This Row],[Date]]="","",TEXT(B148,"mmm"))</f>
        <v>Feb</v>
      </c>
      <c r="E148" t="str">
        <f>IF(tbl_main[[#This Row],[Date]]="","",TEXT(B148,"DDD"))</f>
        <v>Fri</v>
      </c>
      <c r="F148" t="s">
        <v>27</v>
      </c>
      <c r="G148" t="s">
        <v>40</v>
      </c>
      <c r="H148" s="3" t="s">
        <v>18</v>
      </c>
      <c r="I148" s="3" t="s">
        <v>35</v>
      </c>
      <c r="J148" s="3" t="s">
        <v>32</v>
      </c>
      <c r="K148" s="3">
        <f>_xlfn.XLOOKUP(tbl_main[[#This Row],[Service]],tbl_service[Service],tbl_service[Price],"")</f>
        <v>500</v>
      </c>
      <c r="L148" s="3">
        <v>1</v>
      </c>
      <c r="M148" s="3">
        <f>IF(AND(tbl_main[[#This Row],[Price]]="",tbl_main[[#This Row],[Qty]]=""),"",tbl_main[[#This Row],[Price]]*tbl_main[[#This Row],[Qty]])</f>
        <v>500</v>
      </c>
      <c r="N148" s="3">
        <f>_xlfn.LET(_xlpm.x,_xlfn.XLOOKUP(tbl_main[[#This Row],[Service]],tbl_service[Service],tbl_service[Profit],""),
               IF(tbl_main[[#This Row],[Qty]]="","",_xlpm.x*tbl_main[[#This Row],[Qty]]))</f>
        <v>157</v>
      </c>
    </row>
    <row r="149" spans="1:14" x14ac:dyDescent="0.25">
      <c r="A149" t="s">
        <v>191</v>
      </c>
      <c r="B149" s="1">
        <v>45702</v>
      </c>
      <c r="C149">
        <f>IF(tbl_main[[#This Row],[Date]]="","",YEAR(B149))</f>
        <v>2025</v>
      </c>
      <c r="D149" t="str">
        <f>IF(tbl_main[[#This Row],[Date]]="","",TEXT(B149,"mmm"))</f>
        <v>Feb</v>
      </c>
      <c r="E149" t="str">
        <f>IF(tbl_main[[#This Row],[Date]]="","",TEXT(B149,"DDD"))</f>
        <v>Fri</v>
      </c>
      <c r="F149" t="s">
        <v>20</v>
      </c>
      <c r="G149" t="s">
        <v>39</v>
      </c>
      <c r="H149" s="3" t="s">
        <v>22</v>
      </c>
      <c r="I149" s="3" t="s">
        <v>23</v>
      </c>
      <c r="J149" s="3" t="s">
        <v>17</v>
      </c>
      <c r="K149" s="3">
        <f>_xlfn.XLOOKUP(tbl_main[[#This Row],[Service]],tbl_service[Service],tbl_service[Price],"")</f>
        <v>150</v>
      </c>
      <c r="L149" s="3">
        <v>1</v>
      </c>
      <c r="M149" s="3">
        <f>IF(AND(tbl_main[[#This Row],[Price]]="",tbl_main[[#This Row],[Qty]]=""),"",tbl_main[[#This Row],[Price]]*tbl_main[[#This Row],[Qty]])</f>
        <v>150</v>
      </c>
      <c r="N149" s="3">
        <f>_xlfn.LET(_xlpm.x,_xlfn.XLOOKUP(tbl_main[[#This Row],[Service]],tbl_service[Service],tbl_service[Profit],""),
               IF(tbl_main[[#This Row],[Qty]]="","",_xlpm.x*tbl_main[[#This Row],[Qty]]))</f>
        <v>67</v>
      </c>
    </row>
    <row r="150" spans="1:14" x14ac:dyDescent="0.25">
      <c r="A150" t="s">
        <v>192</v>
      </c>
      <c r="B150" s="1">
        <v>45702</v>
      </c>
      <c r="C150">
        <f>IF(tbl_main[[#This Row],[Date]]="","",YEAR(B150))</f>
        <v>2025</v>
      </c>
      <c r="D150" t="str">
        <f>IF(tbl_main[[#This Row],[Date]]="","",TEXT(B150,"mmm"))</f>
        <v>Feb</v>
      </c>
      <c r="E150" t="str">
        <f>IF(tbl_main[[#This Row],[Date]]="","",TEXT(B150,"DDD"))</f>
        <v>Fri</v>
      </c>
      <c r="F150" t="s">
        <v>27</v>
      </c>
      <c r="G150" t="s">
        <v>40</v>
      </c>
      <c r="H150" s="3" t="s">
        <v>18</v>
      </c>
      <c r="I150" s="3" t="s">
        <v>37</v>
      </c>
      <c r="J150" s="3" t="s">
        <v>32</v>
      </c>
      <c r="K150" s="3">
        <f>_xlfn.XLOOKUP(tbl_main[[#This Row],[Service]],tbl_service[Service],tbl_service[Price],"")</f>
        <v>500</v>
      </c>
      <c r="L150" s="3">
        <v>2</v>
      </c>
      <c r="M150" s="3">
        <f>IF(AND(tbl_main[[#This Row],[Price]]="",tbl_main[[#This Row],[Qty]]=""),"",tbl_main[[#This Row],[Price]]*tbl_main[[#This Row],[Qty]])</f>
        <v>1000</v>
      </c>
      <c r="N150" s="3">
        <f>_xlfn.LET(_xlpm.x,_xlfn.XLOOKUP(tbl_main[[#This Row],[Service]],tbl_service[Service],tbl_service[Profit],""),
               IF(tbl_main[[#This Row],[Qty]]="","",_xlpm.x*tbl_main[[#This Row],[Qty]]))</f>
        <v>314</v>
      </c>
    </row>
    <row r="151" spans="1:14" x14ac:dyDescent="0.25">
      <c r="A151" t="s">
        <v>193</v>
      </c>
      <c r="B151" s="1">
        <v>45703</v>
      </c>
      <c r="C151">
        <f>IF(tbl_main[[#This Row],[Date]]="","",YEAR(B151))</f>
        <v>2025</v>
      </c>
      <c r="D151" t="str">
        <f>IF(tbl_main[[#This Row],[Date]]="","",TEXT(B151,"mmm"))</f>
        <v>Feb</v>
      </c>
      <c r="E151" t="str">
        <f>IF(tbl_main[[#This Row],[Date]]="","",TEXT(B151,"DDD"))</f>
        <v>Sat</v>
      </c>
      <c r="F151" t="s">
        <v>30</v>
      </c>
      <c r="G151" t="s">
        <v>36</v>
      </c>
      <c r="H151" s="3" t="s">
        <v>22</v>
      </c>
      <c r="I151" s="3" t="s">
        <v>38</v>
      </c>
      <c r="J151" s="3" t="s">
        <v>17</v>
      </c>
      <c r="K151" s="3">
        <f>_xlfn.XLOOKUP(tbl_main[[#This Row],[Service]],tbl_service[Service],tbl_service[Price],"")</f>
        <v>150</v>
      </c>
      <c r="L151" s="3">
        <v>1</v>
      </c>
      <c r="M151" s="3">
        <f>IF(AND(tbl_main[[#This Row],[Price]]="",tbl_main[[#This Row],[Qty]]=""),"",tbl_main[[#This Row],[Price]]*tbl_main[[#This Row],[Qty]])</f>
        <v>150</v>
      </c>
      <c r="N151" s="3">
        <f>_xlfn.LET(_xlpm.x,_xlfn.XLOOKUP(tbl_main[[#This Row],[Service]],tbl_service[Service],tbl_service[Profit],""),
               IF(tbl_main[[#This Row],[Qty]]="","",_xlpm.x*tbl_main[[#This Row],[Qty]]))</f>
        <v>67</v>
      </c>
    </row>
    <row r="152" spans="1:14" x14ac:dyDescent="0.25">
      <c r="A152" t="s">
        <v>194</v>
      </c>
      <c r="B152" s="1">
        <v>45703</v>
      </c>
      <c r="C152">
        <f>IF(tbl_main[[#This Row],[Date]]="","",YEAR(B152))</f>
        <v>2025</v>
      </c>
      <c r="D152" t="str">
        <f>IF(tbl_main[[#This Row],[Date]]="","",TEXT(B152,"mmm"))</f>
        <v>Feb</v>
      </c>
      <c r="E152" t="str">
        <f>IF(tbl_main[[#This Row],[Date]]="","",TEXT(B152,"DDD"))</f>
        <v>Sat</v>
      </c>
      <c r="F152" t="s">
        <v>30</v>
      </c>
      <c r="G152" t="s">
        <v>36</v>
      </c>
      <c r="H152" s="3" t="s">
        <v>18</v>
      </c>
      <c r="I152" s="3" t="s">
        <v>16</v>
      </c>
      <c r="J152" s="3" t="s">
        <v>17</v>
      </c>
      <c r="K152" s="3">
        <f>_xlfn.XLOOKUP(tbl_main[[#This Row],[Service]],tbl_service[Service],tbl_service[Price],"")</f>
        <v>500</v>
      </c>
      <c r="L152" s="3">
        <v>2</v>
      </c>
      <c r="M152" s="3">
        <f>IF(AND(tbl_main[[#This Row],[Price]]="",tbl_main[[#This Row],[Qty]]=""),"",tbl_main[[#This Row],[Price]]*tbl_main[[#This Row],[Qty]])</f>
        <v>1000</v>
      </c>
      <c r="N152" s="3">
        <f>_xlfn.LET(_xlpm.x,_xlfn.XLOOKUP(tbl_main[[#This Row],[Service]],tbl_service[Service],tbl_service[Profit],""),
               IF(tbl_main[[#This Row],[Qty]]="","",_xlpm.x*tbl_main[[#This Row],[Qty]]))</f>
        <v>314</v>
      </c>
    </row>
    <row r="153" spans="1:14" x14ac:dyDescent="0.25">
      <c r="A153" t="s">
        <v>195</v>
      </c>
      <c r="B153" s="1">
        <v>45703</v>
      </c>
      <c r="C153">
        <f>IF(tbl_main[[#This Row],[Date]]="","",YEAR(B153))</f>
        <v>2025</v>
      </c>
      <c r="D153" t="str">
        <f>IF(tbl_main[[#This Row],[Date]]="","",TEXT(B153,"mmm"))</f>
        <v>Feb</v>
      </c>
      <c r="E153" t="str">
        <f>IF(tbl_main[[#This Row],[Date]]="","",TEXT(B153,"DDD"))</f>
        <v>Sat</v>
      </c>
      <c r="F153" t="s">
        <v>30</v>
      </c>
      <c r="G153" t="s">
        <v>36</v>
      </c>
      <c r="H153" s="3" t="s">
        <v>15</v>
      </c>
      <c r="I153" s="3" t="s">
        <v>19</v>
      </c>
      <c r="J153" s="3" t="s">
        <v>32</v>
      </c>
      <c r="K153" s="3">
        <f>_xlfn.XLOOKUP(tbl_main[[#This Row],[Service]],tbl_service[Service],tbl_service[Price],"")</f>
        <v>500</v>
      </c>
      <c r="L153" s="3">
        <v>2</v>
      </c>
      <c r="M153" s="3">
        <f>IF(AND(tbl_main[[#This Row],[Price]]="",tbl_main[[#This Row],[Qty]]=""),"",tbl_main[[#This Row],[Price]]*tbl_main[[#This Row],[Qty]])</f>
        <v>1000</v>
      </c>
      <c r="N153" s="3">
        <f>_xlfn.LET(_xlpm.x,_xlfn.XLOOKUP(tbl_main[[#This Row],[Service]],tbl_service[Service],tbl_service[Profit],""),
               IF(tbl_main[[#This Row],[Qty]]="","",_xlpm.x*tbl_main[[#This Row],[Qty]]))</f>
        <v>450</v>
      </c>
    </row>
    <row r="154" spans="1:14" x14ac:dyDescent="0.25">
      <c r="A154" t="s">
        <v>196</v>
      </c>
      <c r="B154" s="1">
        <v>45704</v>
      </c>
      <c r="C154">
        <f>IF(tbl_main[[#This Row],[Date]]="","",YEAR(B154))</f>
        <v>2025</v>
      </c>
      <c r="D154" t="str">
        <f>IF(tbl_main[[#This Row],[Date]]="","",TEXT(B154,"mmm"))</f>
        <v>Feb</v>
      </c>
      <c r="E154" t="str">
        <f>IF(tbl_main[[#This Row],[Date]]="","",TEXT(B154,"DDD"))</f>
        <v>Sun</v>
      </c>
      <c r="F154" t="s">
        <v>20</v>
      </c>
      <c r="G154" t="s">
        <v>29</v>
      </c>
      <c r="H154" s="3" t="s">
        <v>24</v>
      </c>
      <c r="I154" s="3" t="s">
        <v>23</v>
      </c>
      <c r="J154" s="3" t="s">
        <v>17</v>
      </c>
      <c r="K154" s="3">
        <f>_xlfn.XLOOKUP(tbl_main[[#This Row],[Service]],tbl_service[Service],tbl_service[Price],"")</f>
        <v>80</v>
      </c>
      <c r="L154" s="3">
        <v>1</v>
      </c>
      <c r="M154" s="3">
        <f>IF(AND(tbl_main[[#This Row],[Price]]="",tbl_main[[#This Row],[Qty]]=""),"",tbl_main[[#This Row],[Price]]*tbl_main[[#This Row],[Qty]])</f>
        <v>80</v>
      </c>
      <c r="N154" s="3">
        <f>_xlfn.LET(_xlpm.x,_xlfn.XLOOKUP(tbl_main[[#This Row],[Service]],tbl_service[Service],tbl_service[Profit],""),
               IF(tbl_main[[#This Row],[Qty]]="","",_xlpm.x*tbl_main[[#This Row],[Qty]]))</f>
        <v>36</v>
      </c>
    </row>
    <row r="155" spans="1:14" x14ac:dyDescent="0.25">
      <c r="A155" t="s">
        <v>197</v>
      </c>
      <c r="B155" s="1">
        <v>45704</v>
      </c>
      <c r="C155">
        <f>IF(tbl_main[[#This Row],[Date]]="","",YEAR(B155))</f>
        <v>2025</v>
      </c>
      <c r="D155" t="str">
        <f>IF(tbl_main[[#This Row],[Date]]="","",TEXT(B155,"mmm"))</f>
        <v>Feb</v>
      </c>
      <c r="E155" t="str">
        <f>IF(tbl_main[[#This Row],[Date]]="","",TEXT(B155,"DDD"))</f>
        <v>Sun</v>
      </c>
      <c r="F155" t="s">
        <v>20</v>
      </c>
      <c r="G155" t="s">
        <v>21</v>
      </c>
      <c r="H155" s="3" t="s">
        <v>22</v>
      </c>
      <c r="I155" s="3" t="s">
        <v>19</v>
      </c>
      <c r="J155" s="3" t="s">
        <v>32</v>
      </c>
      <c r="K155" s="3">
        <f>_xlfn.XLOOKUP(tbl_main[[#This Row],[Service]],tbl_service[Service],tbl_service[Price],"")</f>
        <v>150</v>
      </c>
      <c r="L155" s="3">
        <v>1</v>
      </c>
      <c r="M155" s="3">
        <f>IF(AND(tbl_main[[#This Row],[Price]]="",tbl_main[[#This Row],[Qty]]=""),"",tbl_main[[#This Row],[Price]]*tbl_main[[#This Row],[Qty]])</f>
        <v>150</v>
      </c>
      <c r="N155" s="3">
        <f>_xlfn.LET(_xlpm.x,_xlfn.XLOOKUP(tbl_main[[#This Row],[Service]],tbl_service[Service],tbl_service[Profit],""),
               IF(tbl_main[[#This Row],[Qty]]="","",_xlpm.x*tbl_main[[#This Row],[Qty]]))</f>
        <v>67</v>
      </c>
    </row>
    <row r="156" spans="1:14" x14ac:dyDescent="0.25">
      <c r="A156" t="s">
        <v>198</v>
      </c>
      <c r="B156" s="1">
        <v>45705</v>
      </c>
      <c r="C156">
        <f>IF(tbl_main[[#This Row],[Date]]="","",YEAR(B156))</f>
        <v>2025</v>
      </c>
      <c r="D156" t="str">
        <f>IF(tbl_main[[#This Row],[Date]]="","",TEXT(B156,"mmm"))</f>
        <v>Feb</v>
      </c>
      <c r="E156" t="str">
        <f>IF(tbl_main[[#This Row],[Date]]="","",TEXT(B156,"DDD"))</f>
        <v>Mon</v>
      </c>
      <c r="F156" t="s">
        <v>30</v>
      </c>
      <c r="G156" t="s">
        <v>31</v>
      </c>
      <c r="H156" s="3" t="s">
        <v>26</v>
      </c>
      <c r="I156" s="3" t="s">
        <v>19</v>
      </c>
      <c r="J156" s="3" t="s">
        <v>25</v>
      </c>
      <c r="K156" s="3">
        <f>_xlfn.XLOOKUP(tbl_main[[#This Row],[Service]],tbl_service[Service],tbl_service[Price],"")</f>
        <v>200</v>
      </c>
      <c r="L156" s="3">
        <v>1</v>
      </c>
      <c r="M156" s="3">
        <f>IF(AND(tbl_main[[#This Row],[Price]]="",tbl_main[[#This Row],[Qty]]=""),"",tbl_main[[#This Row],[Price]]*tbl_main[[#This Row],[Qty]])</f>
        <v>200</v>
      </c>
      <c r="N156" s="3">
        <f>_xlfn.LET(_xlpm.x,_xlfn.XLOOKUP(tbl_main[[#This Row],[Service]],tbl_service[Service],tbl_service[Profit],""),
               IF(tbl_main[[#This Row],[Qty]]="","",_xlpm.x*tbl_main[[#This Row],[Qty]]))</f>
        <v>90</v>
      </c>
    </row>
    <row r="157" spans="1:14" x14ac:dyDescent="0.25">
      <c r="A157" t="s">
        <v>199</v>
      </c>
      <c r="B157" s="1">
        <v>45705</v>
      </c>
      <c r="C157">
        <f>IF(tbl_main[[#This Row],[Date]]="","",YEAR(B157))</f>
        <v>2025</v>
      </c>
      <c r="D157" t="str">
        <f>IF(tbl_main[[#This Row],[Date]]="","",TEXT(B157,"mmm"))</f>
        <v>Feb</v>
      </c>
      <c r="E157" t="str">
        <f>IF(tbl_main[[#This Row],[Date]]="","",TEXT(B157,"DDD"))</f>
        <v>Mon</v>
      </c>
      <c r="F157" t="s">
        <v>13</v>
      </c>
      <c r="G157" t="s">
        <v>14</v>
      </c>
      <c r="H157" s="3" t="s">
        <v>34</v>
      </c>
      <c r="I157" s="3" t="s">
        <v>35</v>
      </c>
      <c r="J157" s="3" t="s">
        <v>17</v>
      </c>
      <c r="K157" s="3">
        <f>_xlfn.XLOOKUP(tbl_main[[#This Row],[Service]],tbl_service[Service],tbl_service[Price],"")</f>
        <v>100</v>
      </c>
      <c r="L157" s="3">
        <v>2</v>
      </c>
      <c r="M157" s="3">
        <f>IF(AND(tbl_main[[#This Row],[Price]]="",tbl_main[[#This Row],[Qty]]=""),"",tbl_main[[#This Row],[Price]]*tbl_main[[#This Row],[Qty]])</f>
        <v>200</v>
      </c>
      <c r="N157" s="3">
        <f>_xlfn.LET(_xlpm.x,_xlfn.XLOOKUP(tbl_main[[#This Row],[Service]],tbl_service[Service],tbl_service[Profit],""),
               IF(tbl_main[[#This Row],[Qty]]="","",_xlpm.x*tbl_main[[#This Row],[Qty]]))</f>
        <v>90</v>
      </c>
    </row>
    <row r="158" spans="1:14" x14ac:dyDescent="0.25">
      <c r="A158" t="s">
        <v>200</v>
      </c>
      <c r="B158" s="1">
        <v>45705</v>
      </c>
      <c r="C158">
        <f>IF(tbl_main[[#This Row],[Date]]="","",YEAR(B158))</f>
        <v>2025</v>
      </c>
      <c r="D158" t="str">
        <f>IF(tbl_main[[#This Row],[Date]]="","",TEXT(B158,"mmm"))</f>
        <v>Feb</v>
      </c>
      <c r="E158" t="str">
        <f>IF(tbl_main[[#This Row],[Date]]="","",TEXT(B158,"DDD"))</f>
        <v>Mon</v>
      </c>
      <c r="F158" t="s">
        <v>30</v>
      </c>
      <c r="G158" t="s">
        <v>36</v>
      </c>
      <c r="H158" s="3" t="s">
        <v>22</v>
      </c>
      <c r="I158" s="3" t="s">
        <v>35</v>
      </c>
      <c r="J158" s="3" t="s">
        <v>17</v>
      </c>
      <c r="K158" s="3">
        <f>_xlfn.XLOOKUP(tbl_main[[#This Row],[Service]],tbl_service[Service],tbl_service[Price],"")</f>
        <v>150</v>
      </c>
      <c r="L158" s="3">
        <v>1</v>
      </c>
      <c r="M158" s="3">
        <f>IF(AND(tbl_main[[#This Row],[Price]]="",tbl_main[[#This Row],[Qty]]=""),"",tbl_main[[#This Row],[Price]]*tbl_main[[#This Row],[Qty]])</f>
        <v>150</v>
      </c>
      <c r="N158" s="3">
        <f>_xlfn.LET(_xlpm.x,_xlfn.XLOOKUP(tbl_main[[#This Row],[Service]],tbl_service[Service],tbl_service[Profit],""),
               IF(tbl_main[[#This Row],[Qty]]="","",_xlpm.x*tbl_main[[#This Row],[Qty]]))</f>
        <v>67</v>
      </c>
    </row>
    <row r="159" spans="1:14" x14ac:dyDescent="0.25">
      <c r="A159" t="s">
        <v>201</v>
      </c>
      <c r="B159" s="1">
        <v>45706</v>
      </c>
      <c r="C159">
        <f>IF(tbl_main[[#This Row],[Date]]="","",YEAR(B159))</f>
        <v>2025</v>
      </c>
      <c r="D159" t="str">
        <f>IF(tbl_main[[#This Row],[Date]]="","",TEXT(B159,"mmm"))</f>
        <v>Feb</v>
      </c>
      <c r="E159" t="str">
        <f>IF(tbl_main[[#This Row],[Date]]="","",TEXT(B159,"DDD"))</f>
        <v>Tue</v>
      </c>
      <c r="F159" t="s">
        <v>20</v>
      </c>
      <c r="G159" t="s">
        <v>21</v>
      </c>
      <c r="H159" s="3" t="s">
        <v>18</v>
      </c>
      <c r="I159" s="3" t="s">
        <v>23</v>
      </c>
      <c r="J159" s="3" t="s">
        <v>25</v>
      </c>
      <c r="K159" s="3">
        <f>_xlfn.XLOOKUP(tbl_main[[#This Row],[Service]],tbl_service[Service],tbl_service[Price],"")</f>
        <v>500</v>
      </c>
      <c r="L159" s="3">
        <v>2</v>
      </c>
      <c r="M159" s="3">
        <f>IF(AND(tbl_main[[#This Row],[Price]]="",tbl_main[[#This Row],[Qty]]=""),"",tbl_main[[#This Row],[Price]]*tbl_main[[#This Row],[Qty]])</f>
        <v>1000</v>
      </c>
      <c r="N159" s="3">
        <f>_xlfn.LET(_xlpm.x,_xlfn.XLOOKUP(tbl_main[[#This Row],[Service]],tbl_service[Service],tbl_service[Profit],""),
               IF(tbl_main[[#This Row],[Qty]]="","",_xlpm.x*tbl_main[[#This Row],[Qty]]))</f>
        <v>314</v>
      </c>
    </row>
    <row r="160" spans="1:14" x14ac:dyDescent="0.25">
      <c r="A160" t="s">
        <v>202</v>
      </c>
      <c r="B160" s="1">
        <v>45706</v>
      </c>
      <c r="C160">
        <f>IF(tbl_main[[#This Row],[Date]]="","",YEAR(B160))</f>
        <v>2025</v>
      </c>
      <c r="D160" t="str">
        <f>IF(tbl_main[[#This Row],[Date]]="","",TEXT(B160,"mmm"))</f>
        <v>Feb</v>
      </c>
      <c r="E160" t="str">
        <f>IF(tbl_main[[#This Row],[Date]]="","",TEXT(B160,"DDD"))</f>
        <v>Tue</v>
      </c>
      <c r="F160" t="s">
        <v>30</v>
      </c>
      <c r="G160" t="s">
        <v>31</v>
      </c>
      <c r="H160" s="3" t="s">
        <v>26</v>
      </c>
      <c r="I160" s="3" t="s">
        <v>37</v>
      </c>
      <c r="J160" s="3" t="s">
        <v>25</v>
      </c>
      <c r="K160" s="3">
        <f>_xlfn.XLOOKUP(tbl_main[[#This Row],[Service]],tbl_service[Service],tbl_service[Price],"")</f>
        <v>200</v>
      </c>
      <c r="L160" s="3">
        <v>1</v>
      </c>
      <c r="M160" s="3">
        <f>IF(AND(tbl_main[[#This Row],[Price]]="",tbl_main[[#This Row],[Qty]]=""),"",tbl_main[[#This Row],[Price]]*tbl_main[[#This Row],[Qty]])</f>
        <v>200</v>
      </c>
      <c r="N160" s="3">
        <f>_xlfn.LET(_xlpm.x,_xlfn.XLOOKUP(tbl_main[[#This Row],[Service]],tbl_service[Service],tbl_service[Profit],""),
               IF(tbl_main[[#This Row],[Qty]]="","",_xlpm.x*tbl_main[[#This Row],[Qty]]))</f>
        <v>90</v>
      </c>
    </row>
    <row r="161" spans="1:14" x14ac:dyDescent="0.25">
      <c r="A161" t="s">
        <v>203</v>
      </c>
      <c r="B161" s="1">
        <v>45706</v>
      </c>
      <c r="C161">
        <f>IF(tbl_main[[#This Row],[Date]]="","",YEAR(B161))</f>
        <v>2025</v>
      </c>
      <c r="D161" t="str">
        <f>IF(tbl_main[[#This Row],[Date]]="","",TEXT(B161,"mmm"))</f>
        <v>Feb</v>
      </c>
      <c r="E161" t="str">
        <f>IF(tbl_main[[#This Row],[Date]]="","",TEXT(B161,"DDD"))</f>
        <v>Tue</v>
      </c>
      <c r="F161" t="s">
        <v>27</v>
      </c>
      <c r="G161" t="s">
        <v>28</v>
      </c>
      <c r="H161" s="3" t="s">
        <v>34</v>
      </c>
      <c r="I161" s="3" t="s">
        <v>38</v>
      </c>
      <c r="J161" s="3" t="s">
        <v>32</v>
      </c>
      <c r="K161" s="3">
        <f>_xlfn.XLOOKUP(tbl_main[[#This Row],[Service]],tbl_service[Service],tbl_service[Price],"")</f>
        <v>100</v>
      </c>
      <c r="L161" s="3">
        <v>1</v>
      </c>
      <c r="M161" s="3">
        <f>IF(AND(tbl_main[[#This Row],[Price]]="",tbl_main[[#This Row],[Qty]]=""),"",tbl_main[[#This Row],[Price]]*tbl_main[[#This Row],[Qty]])</f>
        <v>100</v>
      </c>
      <c r="N161" s="3">
        <f>_xlfn.LET(_xlpm.x,_xlfn.XLOOKUP(tbl_main[[#This Row],[Service]],tbl_service[Service],tbl_service[Profit],""),
               IF(tbl_main[[#This Row],[Qty]]="","",_xlpm.x*tbl_main[[#This Row],[Qty]]))</f>
        <v>45</v>
      </c>
    </row>
    <row r="162" spans="1:14" x14ac:dyDescent="0.25">
      <c r="A162" t="s">
        <v>204</v>
      </c>
      <c r="B162" s="1">
        <v>45707</v>
      </c>
      <c r="C162">
        <f>IF(tbl_main[[#This Row],[Date]]="","",YEAR(B162))</f>
        <v>2025</v>
      </c>
      <c r="D162" t="str">
        <f>IF(tbl_main[[#This Row],[Date]]="","",TEXT(B162,"mmm"))</f>
        <v>Feb</v>
      </c>
      <c r="E162" t="str">
        <f>IF(tbl_main[[#This Row],[Date]]="","",TEXT(B162,"DDD"))</f>
        <v>Wed</v>
      </c>
      <c r="F162" t="s">
        <v>20</v>
      </c>
      <c r="G162" t="s">
        <v>39</v>
      </c>
      <c r="H162" s="3" t="s">
        <v>15</v>
      </c>
      <c r="I162" s="3" t="s">
        <v>16</v>
      </c>
      <c r="J162" s="3" t="s">
        <v>32</v>
      </c>
      <c r="K162" s="3">
        <f>_xlfn.XLOOKUP(tbl_main[[#This Row],[Service]],tbl_service[Service],tbl_service[Price],"")</f>
        <v>500</v>
      </c>
      <c r="L162" s="3">
        <v>1</v>
      </c>
      <c r="M162" s="3">
        <f>IF(AND(tbl_main[[#This Row],[Price]]="",tbl_main[[#This Row],[Qty]]=""),"",tbl_main[[#This Row],[Price]]*tbl_main[[#This Row],[Qty]])</f>
        <v>500</v>
      </c>
      <c r="N162" s="3">
        <f>_xlfn.LET(_xlpm.x,_xlfn.XLOOKUP(tbl_main[[#This Row],[Service]],tbl_service[Service],tbl_service[Profit],""),
               IF(tbl_main[[#This Row],[Qty]]="","",_xlpm.x*tbl_main[[#This Row],[Qty]]))</f>
        <v>225</v>
      </c>
    </row>
    <row r="163" spans="1:14" x14ac:dyDescent="0.25">
      <c r="A163" t="s">
        <v>205</v>
      </c>
      <c r="B163" s="1">
        <v>45707</v>
      </c>
      <c r="C163">
        <f>IF(tbl_main[[#This Row],[Date]]="","",YEAR(B163))</f>
        <v>2025</v>
      </c>
      <c r="D163" t="str">
        <f>IF(tbl_main[[#This Row],[Date]]="","",TEXT(B163,"mmm"))</f>
        <v>Feb</v>
      </c>
      <c r="E163" t="str">
        <f>IF(tbl_main[[#This Row],[Date]]="","",TEXT(B163,"DDD"))</f>
        <v>Wed</v>
      </c>
      <c r="F163" t="s">
        <v>20</v>
      </c>
      <c r="G163" t="s">
        <v>29</v>
      </c>
      <c r="H163" s="3" t="s">
        <v>15</v>
      </c>
      <c r="I163" s="3" t="s">
        <v>19</v>
      </c>
      <c r="J163" s="3" t="s">
        <v>32</v>
      </c>
      <c r="K163" s="3">
        <f>_xlfn.XLOOKUP(tbl_main[[#This Row],[Service]],tbl_service[Service],tbl_service[Price],"")</f>
        <v>500</v>
      </c>
      <c r="L163" s="3">
        <v>2</v>
      </c>
      <c r="M163" s="3">
        <f>IF(AND(tbl_main[[#This Row],[Price]]="",tbl_main[[#This Row],[Qty]]=""),"",tbl_main[[#This Row],[Price]]*tbl_main[[#This Row],[Qty]])</f>
        <v>1000</v>
      </c>
      <c r="N163" s="3">
        <f>_xlfn.LET(_xlpm.x,_xlfn.XLOOKUP(tbl_main[[#This Row],[Service]],tbl_service[Service],tbl_service[Profit],""),
               IF(tbl_main[[#This Row],[Qty]]="","",_xlpm.x*tbl_main[[#This Row],[Qty]]))</f>
        <v>450</v>
      </c>
    </row>
    <row r="164" spans="1:14" x14ac:dyDescent="0.25">
      <c r="A164" t="s">
        <v>206</v>
      </c>
      <c r="B164" s="1">
        <v>45708</v>
      </c>
      <c r="C164">
        <f>IF(tbl_main[[#This Row],[Date]]="","",YEAR(B164))</f>
        <v>2025</v>
      </c>
      <c r="D164" t="str">
        <f>IF(tbl_main[[#This Row],[Date]]="","",TEXT(B164,"mmm"))</f>
        <v>Feb</v>
      </c>
      <c r="E164" t="str">
        <f>IF(tbl_main[[#This Row],[Date]]="","",TEXT(B164,"DDD"))</f>
        <v>Thu</v>
      </c>
      <c r="F164" t="s">
        <v>20</v>
      </c>
      <c r="G164" t="s">
        <v>39</v>
      </c>
      <c r="H164" s="3" t="s">
        <v>18</v>
      </c>
      <c r="I164" s="3" t="s">
        <v>23</v>
      </c>
      <c r="J164" s="3" t="s">
        <v>17</v>
      </c>
      <c r="K164" s="3">
        <f>_xlfn.XLOOKUP(tbl_main[[#This Row],[Service]],tbl_service[Service],tbl_service[Price],"")</f>
        <v>500</v>
      </c>
      <c r="L164" s="3">
        <v>1</v>
      </c>
      <c r="M164" s="3">
        <f>IF(AND(tbl_main[[#This Row],[Price]]="",tbl_main[[#This Row],[Qty]]=""),"",tbl_main[[#This Row],[Price]]*tbl_main[[#This Row],[Qty]])</f>
        <v>500</v>
      </c>
      <c r="N164" s="3">
        <f>_xlfn.LET(_xlpm.x,_xlfn.XLOOKUP(tbl_main[[#This Row],[Service]],tbl_service[Service],tbl_service[Profit],""),
               IF(tbl_main[[#This Row],[Qty]]="","",_xlpm.x*tbl_main[[#This Row],[Qty]]))</f>
        <v>157</v>
      </c>
    </row>
    <row r="165" spans="1:14" x14ac:dyDescent="0.25">
      <c r="A165" t="s">
        <v>207</v>
      </c>
      <c r="B165" s="1">
        <v>45708</v>
      </c>
      <c r="C165">
        <f>IF(tbl_main[[#This Row],[Date]]="","",YEAR(B165))</f>
        <v>2025</v>
      </c>
      <c r="D165" t="str">
        <f>IF(tbl_main[[#This Row],[Date]]="","",TEXT(B165,"mmm"))</f>
        <v>Feb</v>
      </c>
      <c r="E165" t="str">
        <f>IF(tbl_main[[#This Row],[Date]]="","",TEXT(B165,"DDD"))</f>
        <v>Thu</v>
      </c>
      <c r="F165" t="s">
        <v>30</v>
      </c>
      <c r="G165" t="s">
        <v>31</v>
      </c>
      <c r="H165" s="3" t="s">
        <v>26</v>
      </c>
      <c r="I165" s="3" t="s">
        <v>19</v>
      </c>
      <c r="J165" s="3" t="s">
        <v>32</v>
      </c>
      <c r="K165" s="3">
        <f>_xlfn.XLOOKUP(tbl_main[[#This Row],[Service]],tbl_service[Service],tbl_service[Price],"")</f>
        <v>200</v>
      </c>
      <c r="L165" s="3">
        <v>2</v>
      </c>
      <c r="M165" s="3">
        <f>IF(AND(tbl_main[[#This Row],[Price]]="",tbl_main[[#This Row],[Qty]]=""),"",tbl_main[[#This Row],[Price]]*tbl_main[[#This Row],[Qty]])</f>
        <v>400</v>
      </c>
      <c r="N165" s="3">
        <f>_xlfn.LET(_xlpm.x,_xlfn.XLOOKUP(tbl_main[[#This Row],[Service]],tbl_service[Service],tbl_service[Profit],""),
               IF(tbl_main[[#This Row],[Qty]]="","",_xlpm.x*tbl_main[[#This Row],[Qty]]))</f>
        <v>180</v>
      </c>
    </row>
    <row r="166" spans="1:14" x14ac:dyDescent="0.25">
      <c r="A166" t="s">
        <v>208</v>
      </c>
      <c r="B166" s="1">
        <v>45708</v>
      </c>
      <c r="C166">
        <f>IF(tbl_main[[#This Row],[Date]]="","",YEAR(B166))</f>
        <v>2025</v>
      </c>
      <c r="D166" t="str">
        <f>IF(tbl_main[[#This Row],[Date]]="","",TEXT(B166,"mmm"))</f>
        <v>Feb</v>
      </c>
      <c r="E166" t="str">
        <f>IF(tbl_main[[#This Row],[Date]]="","",TEXT(B166,"DDD"))</f>
        <v>Thu</v>
      </c>
      <c r="F166" t="s">
        <v>27</v>
      </c>
      <c r="G166" t="s">
        <v>28</v>
      </c>
      <c r="H166" s="3" t="s">
        <v>34</v>
      </c>
      <c r="I166" s="3" t="s">
        <v>19</v>
      </c>
      <c r="J166" s="3" t="s">
        <v>32</v>
      </c>
      <c r="K166" s="3">
        <f>_xlfn.XLOOKUP(tbl_main[[#This Row],[Service]],tbl_service[Service],tbl_service[Price],"")</f>
        <v>100</v>
      </c>
      <c r="L166" s="3">
        <v>2</v>
      </c>
      <c r="M166" s="3">
        <f>IF(AND(tbl_main[[#This Row],[Price]]="",tbl_main[[#This Row],[Qty]]=""),"",tbl_main[[#This Row],[Price]]*tbl_main[[#This Row],[Qty]])</f>
        <v>200</v>
      </c>
      <c r="N166" s="3">
        <f>_xlfn.LET(_xlpm.x,_xlfn.XLOOKUP(tbl_main[[#This Row],[Service]],tbl_service[Service],tbl_service[Profit],""),
               IF(tbl_main[[#This Row],[Qty]]="","",_xlpm.x*tbl_main[[#This Row],[Qty]]))</f>
        <v>90</v>
      </c>
    </row>
    <row r="167" spans="1:14" x14ac:dyDescent="0.25">
      <c r="A167" t="s">
        <v>209</v>
      </c>
      <c r="B167" s="1">
        <v>45709</v>
      </c>
      <c r="C167">
        <f>IF(tbl_main[[#This Row],[Date]]="","",YEAR(B167))</f>
        <v>2025</v>
      </c>
      <c r="D167" t="str">
        <f>IF(tbl_main[[#This Row],[Date]]="","",TEXT(B167,"mmm"))</f>
        <v>Feb</v>
      </c>
      <c r="E167" t="str">
        <f>IF(tbl_main[[#This Row],[Date]]="","",TEXT(B167,"DDD"))</f>
        <v>Fri</v>
      </c>
      <c r="F167" t="s">
        <v>20</v>
      </c>
      <c r="G167" t="s">
        <v>21</v>
      </c>
      <c r="H167" s="3" t="s">
        <v>22</v>
      </c>
      <c r="I167" s="3" t="s">
        <v>35</v>
      </c>
      <c r="J167" s="3" t="s">
        <v>17</v>
      </c>
      <c r="K167" s="3">
        <f>_xlfn.XLOOKUP(tbl_main[[#This Row],[Service]],tbl_service[Service],tbl_service[Price],"")</f>
        <v>150</v>
      </c>
      <c r="L167" s="3">
        <v>2</v>
      </c>
      <c r="M167" s="3">
        <f>IF(AND(tbl_main[[#This Row],[Price]]="",tbl_main[[#This Row],[Qty]]=""),"",tbl_main[[#This Row],[Price]]*tbl_main[[#This Row],[Qty]])</f>
        <v>300</v>
      </c>
      <c r="N167" s="3">
        <f>_xlfn.LET(_xlpm.x,_xlfn.XLOOKUP(tbl_main[[#This Row],[Service]],tbl_service[Service],tbl_service[Profit],""),
               IF(tbl_main[[#This Row],[Qty]]="","",_xlpm.x*tbl_main[[#This Row],[Qty]]))</f>
        <v>134</v>
      </c>
    </row>
    <row r="168" spans="1:14" x14ac:dyDescent="0.25">
      <c r="A168" t="s">
        <v>210</v>
      </c>
      <c r="B168" s="1">
        <v>45709</v>
      </c>
      <c r="C168">
        <f>IF(tbl_main[[#This Row],[Date]]="","",YEAR(B168))</f>
        <v>2025</v>
      </c>
      <c r="D168" t="str">
        <f>IF(tbl_main[[#This Row],[Date]]="","",TEXT(B168,"mmm"))</f>
        <v>Feb</v>
      </c>
      <c r="E168" t="str">
        <f>IF(tbl_main[[#This Row],[Date]]="","",TEXT(B168,"DDD"))</f>
        <v>Fri</v>
      </c>
      <c r="F168" t="s">
        <v>30</v>
      </c>
      <c r="G168" t="s">
        <v>31</v>
      </c>
      <c r="H168" s="3" t="s">
        <v>15</v>
      </c>
      <c r="I168" s="3" t="s">
        <v>35</v>
      </c>
      <c r="J168" s="3" t="s">
        <v>25</v>
      </c>
      <c r="K168" s="3">
        <f>_xlfn.XLOOKUP(tbl_main[[#This Row],[Service]],tbl_service[Service],tbl_service[Price],"")</f>
        <v>500</v>
      </c>
      <c r="L168" s="3">
        <v>1</v>
      </c>
      <c r="M168" s="3">
        <f>IF(AND(tbl_main[[#This Row],[Price]]="",tbl_main[[#This Row],[Qty]]=""),"",tbl_main[[#This Row],[Price]]*tbl_main[[#This Row],[Qty]])</f>
        <v>500</v>
      </c>
      <c r="N168" s="3">
        <f>_xlfn.LET(_xlpm.x,_xlfn.XLOOKUP(tbl_main[[#This Row],[Service]],tbl_service[Service],tbl_service[Profit],""),
               IF(tbl_main[[#This Row],[Qty]]="","",_xlpm.x*tbl_main[[#This Row],[Qty]]))</f>
        <v>225</v>
      </c>
    </row>
    <row r="169" spans="1:14" x14ac:dyDescent="0.25">
      <c r="A169" t="s">
        <v>211</v>
      </c>
      <c r="B169" s="1">
        <v>45709</v>
      </c>
      <c r="C169">
        <f>IF(tbl_main[[#This Row],[Date]]="","",YEAR(B169))</f>
        <v>2025</v>
      </c>
      <c r="D169" t="str">
        <f>IF(tbl_main[[#This Row],[Date]]="","",TEXT(B169,"mmm"))</f>
        <v>Feb</v>
      </c>
      <c r="E169" t="str">
        <f>IF(tbl_main[[#This Row],[Date]]="","",TEXT(B169,"DDD"))</f>
        <v>Fri</v>
      </c>
      <c r="F169" t="s">
        <v>27</v>
      </c>
      <c r="G169" t="s">
        <v>28</v>
      </c>
      <c r="H169" s="3" t="s">
        <v>15</v>
      </c>
      <c r="I169" s="3" t="s">
        <v>23</v>
      </c>
      <c r="J169" s="3" t="s">
        <v>25</v>
      </c>
      <c r="K169" s="3">
        <f>_xlfn.XLOOKUP(tbl_main[[#This Row],[Service]],tbl_service[Service],tbl_service[Price],"")</f>
        <v>500</v>
      </c>
      <c r="L169" s="3">
        <v>1</v>
      </c>
      <c r="M169" s="3">
        <f>IF(AND(tbl_main[[#This Row],[Price]]="",tbl_main[[#This Row],[Qty]]=""),"",tbl_main[[#This Row],[Price]]*tbl_main[[#This Row],[Qty]])</f>
        <v>500</v>
      </c>
      <c r="N169" s="3">
        <f>_xlfn.LET(_xlpm.x,_xlfn.XLOOKUP(tbl_main[[#This Row],[Service]],tbl_service[Service],tbl_service[Profit],""),
               IF(tbl_main[[#This Row],[Qty]]="","",_xlpm.x*tbl_main[[#This Row],[Qty]]))</f>
        <v>225</v>
      </c>
    </row>
    <row r="170" spans="1:14" x14ac:dyDescent="0.25">
      <c r="A170" t="s">
        <v>212</v>
      </c>
      <c r="B170" s="1">
        <v>45710</v>
      </c>
      <c r="C170">
        <f>IF(tbl_main[[#This Row],[Date]]="","",YEAR(B170))</f>
        <v>2025</v>
      </c>
      <c r="D170" t="str">
        <f>IF(tbl_main[[#This Row],[Date]]="","",TEXT(B170,"mmm"))</f>
        <v>Feb</v>
      </c>
      <c r="E170" t="str">
        <f>IF(tbl_main[[#This Row],[Date]]="","",TEXT(B170,"DDD"))</f>
        <v>Sat</v>
      </c>
      <c r="F170" t="s">
        <v>30</v>
      </c>
      <c r="G170" t="s">
        <v>31</v>
      </c>
      <c r="H170" s="3" t="s">
        <v>34</v>
      </c>
      <c r="I170" s="3" t="s">
        <v>37</v>
      </c>
      <c r="J170" s="3" t="s">
        <v>25</v>
      </c>
      <c r="K170" s="3">
        <f>_xlfn.XLOOKUP(tbl_main[[#This Row],[Service]],tbl_service[Service],tbl_service[Price],"")</f>
        <v>100</v>
      </c>
      <c r="L170" s="3">
        <v>2</v>
      </c>
      <c r="M170" s="3">
        <f>IF(AND(tbl_main[[#This Row],[Price]]="",tbl_main[[#This Row],[Qty]]=""),"",tbl_main[[#This Row],[Price]]*tbl_main[[#This Row],[Qty]])</f>
        <v>200</v>
      </c>
      <c r="N170" s="3">
        <f>_xlfn.LET(_xlpm.x,_xlfn.XLOOKUP(tbl_main[[#This Row],[Service]],tbl_service[Service],tbl_service[Profit],""),
               IF(tbl_main[[#This Row],[Qty]]="","",_xlpm.x*tbl_main[[#This Row],[Qty]]))</f>
        <v>90</v>
      </c>
    </row>
    <row r="171" spans="1:14" x14ac:dyDescent="0.25">
      <c r="A171" t="s">
        <v>213</v>
      </c>
      <c r="B171" s="1">
        <v>45710</v>
      </c>
      <c r="C171">
        <f>IF(tbl_main[[#This Row],[Date]]="","",YEAR(B171))</f>
        <v>2025</v>
      </c>
      <c r="D171" t="str">
        <f>IF(tbl_main[[#This Row],[Date]]="","",TEXT(B171,"mmm"))</f>
        <v>Feb</v>
      </c>
      <c r="E171" t="str">
        <f>IF(tbl_main[[#This Row],[Date]]="","",TEXT(B171,"DDD"))</f>
        <v>Sat</v>
      </c>
      <c r="F171" t="s">
        <v>13</v>
      </c>
      <c r="G171" t="s">
        <v>33</v>
      </c>
      <c r="H171" s="3" t="s">
        <v>24</v>
      </c>
      <c r="I171" s="3" t="s">
        <v>38</v>
      </c>
      <c r="J171" s="3" t="s">
        <v>25</v>
      </c>
      <c r="K171" s="3">
        <f>_xlfn.XLOOKUP(tbl_main[[#This Row],[Service]],tbl_service[Service],tbl_service[Price],"")</f>
        <v>80</v>
      </c>
      <c r="L171" s="3">
        <v>2</v>
      </c>
      <c r="M171" s="3">
        <f>IF(AND(tbl_main[[#This Row],[Price]]="",tbl_main[[#This Row],[Qty]]=""),"",tbl_main[[#This Row],[Price]]*tbl_main[[#This Row],[Qty]])</f>
        <v>160</v>
      </c>
      <c r="N171" s="3">
        <f>_xlfn.LET(_xlpm.x,_xlfn.XLOOKUP(tbl_main[[#This Row],[Service]],tbl_service[Service],tbl_service[Profit],""),
               IF(tbl_main[[#This Row],[Qty]]="","",_xlpm.x*tbl_main[[#This Row],[Qty]]))</f>
        <v>72</v>
      </c>
    </row>
    <row r="172" spans="1:14" x14ac:dyDescent="0.25">
      <c r="A172" t="s">
        <v>214</v>
      </c>
      <c r="B172" s="1">
        <v>45710</v>
      </c>
      <c r="C172">
        <f>IF(tbl_main[[#This Row],[Date]]="","",YEAR(B172))</f>
        <v>2025</v>
      </c>
      <c r="D172" t="str">
        <f>IF(tbl_main[[#This Row],[Date]]="","",TEXT(B172,"mmm"))</f>
        <v>Feb</v>
      </c>
      <c r="E172" t="str">
        <f>IF(tbl_main[[#This Row],[Date]]="","",TEXT(B172,"DDD"))</f>
        <v>Sat</v>
      </c>
      <c r="F172" t="s">
        <v>20</v>
      </c>
      <c r="G172" t="s">
        <v>21</v>
      </c>
      <c r="H172" s="3" t="s">
        <v>26</v>
      </c>
      <c r="I172" s="3" t="s">
        <v>16</v>
      </c>
      <c r="J172" s="3" t="s">
        <v>32</v>
      </c>
      <c r="K172" s="3">
        <f>_xlfn.XLOOKUP(tbl_main[[#This Row],[Service]],tbl_service[Service],tbl_service[Price],"")</f>
        <v>200</v>
      </c>
      <c r="L172" s="3">
        <v>1</v>
      </c>
      <c r="M172" s="3">
        <f>IF(AND(tbl_main[[#This Row],[Price]]="",tbl_main[[#This Row],[Qty]]=""),"",tbl_main[[#This Row],[Price]]*tbl_main[[#This Row],[Qty]])</f>
        <v>200</v>
      </c>
      <c r="N172" s="3">
        <f>_xlfn.LET(_xlpm.x,_xlfn.XLOOKUP(tbl_main[[#This Row],[Service]],tbl_service[Service],tbl_service[Profit],""),
               IF(tbl_main[[#This Row],[Qty]]="","",_xlpm.x*tbl_main[[#This Row],[Qty]]))</f>
        <v>90</v>
      </c>
    </row>
    <row r="173" spans="1:14" x14ac:dyDescent="0.25">
      <c r="A173" t="s">
        <v>215</v>
      </c>
      <c r="B173" s="1">
        <v>45710</v>
      </c>
      <c r="C173">
        <f>IF(tbl_main[[#This Row],[Date]]="","",YEAR(B173))</f>
        <v>2025</v>
      </c>
      <c r="D173" t="str">
        <f>IF(tbl_main[[#This Row],[Date]]="","",TEXT(B173,"mmm"))</f>
        <v>Feb</v>
      </c>
      <c r="E173" t="str">
        <f>IF(tbl_main[[#This Row],[Date]]="","",TEXT(B173,"DDD"))</f>
        <v>Sat</v>
      </c>
      <c r="F173" t="s">
        <v>27</v>
      </c>
      <c r="G173" t="s">
        <v>40</v>
      </c>
      <c r="H173" s="3" t="s">
        <v>18</v>
      </c>
      <c r="I173" s="3" t="s">
        <v>19</v>
      </c>
      <c r="J173" s="3" t="s">
        <v>32</v>
      </c>
      <c r="K173" s="3">
        <f>_xlfn.XLOOKUP(tbl_main[[#This Row],[Service]],tbl_service[Service],tbl_service[Price],"")</f>
        <v>500</v>
      </c>
      <c r="L173" s="3">
        <v>2</v>
      </c>
      <c r="M173" s="3">
        <f>IF(AND(tbl_main[[#This Row],[Price]]="",tbl_main[[#This Row],[Qty]]=""),"",tbl_main[[#This Row],[Price]]*tbl_main[[#This Row],[Qty]])</f>
        <v>1000</v>
      </c>
      <c r="N173" s="3">
        <f>_xlfn.LET(_xlpm.x,_xlfn.XLOOKUP(tbl_main[[#This Row],[Service]],tbl_service[Service],tbl_service[Profit],""),
               IF(tbl_main[[#This Row],[Qty]]="","",_xlpm.x*tbl_main[[#This Row],[Qty]]))</f>
        <v>314</v>
      </c>
    </row>
    <row r="174" spans="1:14" x14ac:dyDescent="0.25">
      <c r="A174" t="s">
        <v>216</v>
      </c>
      <c r="B174" s="1">
        <v>45711</v>
      </c>
      <c r="C174">
        <f>IF(tbl_main[[#This Row],[Date]]="","",YEAR(B174))</f>
        <v>2025</v>
      </c>
      <c r="D174" t="str">
        <f>IF(tbl_main[[#This Row],[Date]]="","",TEXT(B174,"mmm"))</f>
        <v>Feb</v>
      </c>
      <c r="E174" t="str">
        <f>IF(tbl_main[[#This Row],[Date]]="","",TEXT(B174,"DDD"))</f>
        <v>Sun</v>
      </c>
      <c r="F174" t="s">
        <v>27</v>
      </c>
      <c r="G174" t="s">
        <v>28</v>
      </c>
      <c r="H174" s="3" t="s">
        <v>18</v>
      </c>
      <c r="I174" s="3" t="s">
        <v>23</v>
      </c>
      <c r="J174" s="3" t="s">
        <v>32</v>
      </c>
      <c r="K174" s="3">
        <f>_xlfn.XLOOKUP(tbl_main[[#This Row],[Service]],tbl_service[Service],tbl_service[Price],"")</f>
        <v>500</v>
      </c>
      <c r="L174" s="3">
        <v>1</v>
      </c>
      <c r="M174" s="3">
        <f>IF(AND(tbl_main[[#This Row],[Price]]="",tbl_main[[#This Row],[Qty]]=""),"",tbl_main[[#This Row],[Price]]*tbl_main[[#This Row],[Qty]])</f>
        <v>500</v>
      </c>
      <c r="N174" s="3">
        <f>_xlfn.LET(_xlpm.x,_xlfn.XLOOKUP(tbl_main[[#This Row],[Service]],tbl_service[Service],tbl_service[Profit],""),
               IF(tbl_main[[#This Row],[Qty]]="","",_xlpm.x*tbl_main[[#This Row],[Qty]]))</f>
        <v>157</v>
      </c>
    </row>
    <row r="175" spans="1:14" x14ac:dyDescent="0.25">
      <c r="A175" t="s">
        <v>217</v>
      </c>
      <c r="B175" s="1">
        <v>45711</v>
      </c>
      <c r="C175">
        <f>IF(tbl_main[[#This Row],[Date]]="","",YEAR(B175))</f>
        <v>2025</v>
      </c>
      <c r="D175" t="str">
        <f>IF(tbl_main[[#This Row],[Date]]="","",TEXT(B175,"mmm"))</f>
        <v>Feb</v>
      </c>
      <c r="E175" t="str">
        <f>IF(tbl_main[[#This Row],[Date]]="","",TEXT(B175,"DDD"))</f>
        <v>Sun</v>
      </c>
      <c r="F175" t="s">
        <v>27</v>
      </c>
      <c r="G175" t="s">
        <v>40</v>
      </c>
      <c r="H175" s="3" t="s">
        <v>15</v>
      </c>
      <c r="I175" s="3" t="s">
        <v>19</v>
      </c>
      <c r="J175" s="3" t="s">
        <v>17</v>
      </c>
      <c r="K175" s="3">
        <f>_xlfn.XLOOKUP(tbl_main[[#This Row],[Service]],tbl_service[Service],tbl_service[Price],"")</f>
        <v>500</v>
      </c>
      <c r="L175" s="3">
        <v>2</v>
      </c>
      <c r="M175" s="3">
        <f>IF(AND(tbl_main[[#This Row],[Price]]="",tbl_main[[#This Row],[Qty]]=""),"",tbl_main[[#This Row],[Price]]*tbl_main[[#This Row],[Qty]])</f>
        <v>1000</v>
      </c>
      <c r="N175" s="3">
        <f>_xlfn.LET(_xlpm.x,_xlfn.XLOOKUP(tbl_main[[#This Row],[Service]],tbl_service[Service],tbl_service[Profit],""),
               IF(tbl_main[[#This Row],[Qty]]="","",_xlpm.x*tbl_main[[#This Row],[Qty]]))</f>
        <v>450</v>
      </c>
    </row>
    <row r="176" spans="1:14" x14ac:dyDescent="0.25">
      <c r="A176" t="s">
        <v>218</v>
      </c>
      <c r="B176" s="1">
        <v>45711</v>
      </c>
      <c r="C176">
        <f>IF(tbl_main[[#This Row],[Date]]="","",YEAR(B176))</f>
        <v>2025</v>
      </c>
      <c r="D176" t="str">
        <f>IF(tbl_main[[#This Row],[Date]]="","",TEXT(B176,"mmm"))</f>
        <v>Feb</v>
      </c>
      <c r="E176" t="str">
        <f>IF(tbl_main[[#This Row],[Date]]="","",TEXT(B176,"DDD"))</f>
        <v>Sun</v>
      </c>
      <c r="F176" t="s">
        <v>27</v>
      </c>
      <c r="G176" t="s">
        <v>40</v>
      </c>
      <c r="H176" s="3" t="s">
        <v>34</v>
      </c>
      <c r="I176" s="3" t="s">
        <v>19</v>
      </c>
      <c r="J176" s="3" t="s">
        <v>25</v>
      </c>
      <c r="K176" s="3">
        <f>_xlfn.XLOOKUP(tbl_main[[#This Row],[Service]],tbl_service[Service],tbl_service[Price],"")</f>
        <v>100</v>
      </c>
      <c r="L176" s="3">
        <v>1</v>
      </c>
      <c r="M176" s="3">
        <f>IF(AND(tbl_main[[#This Row],[Price]]="",tbl_main[[#This Row],[Qty]]=""),"",tbl_main[[#This Row],[Price]]*tbl_main[[#This Row],[Qty]])</f>
        <v>100</v>
      </c>
      <c r="N176" s="3">
        <f>_xlfn.LET(_xlpm.x,_xlfn.XLOOKUP(tbl_main[[#This Row],[Service]],tbl_service[Service],tbl_service[Profit],""),
               IF(tbl_main[[#This Row],[Qty]]="","",_xlpm.x*tbl_main[[#This Row],[Qty]]))</f>
        <v>45</v>
      </c>
    </row>
    <row r="177" spans="1:14" x14ac:dyDescent="0.25">
      <c r="A177" t="s">
        <v>219</v>
      </c>
      <c r="B177" s="1">
        <v>45712</v>
      </c>
      <c r="C177">
        <f>IF(tbl_main[[#This Row],[Date]]="","",YEAR(B177))</f>
        <v>2025</v>
      </c>
      <c r="D177" t="str">
        <f>IF(tbl_main[[#This Row],[Date]]="","",TEXT(B177,"mmm"))</f>
        <v>Feb</v>
      </c>
      <c r="E177" t="str">
        <f>IF(tbl_main[[#This Row],[Date]]="","",TEXT(B177,"DDD"))</f>
        <v>Mon</v>
      </c>
      <c r="F177" t="s">
        <v>30</v>
      </c>
      <c r="G177" t="s">
        <v>31</v>
      </c>
      <c r="H177" s="3" t="s">
        <v>26</v>
      </c>
      <c r="I177" s="3" t="s">
        <v>35</v>
      </c>
      <c r="J177" s="3" t="s">
        <v>17</v>
      </c>
      <c r="K177" s="3">
        <f>_xlfn.XLOOKUP(tbl_main[[#This Row],[Service]],tbl_service[Service],tbl_service[Price],"")</f>
        <v>200</v>
      </c>
      <c r="L177" s="3">
        <v>2</v>
      </c>
      <c r="M177" s="3">
        <f>IF(AND(tbl_main[[#This Row],[Price]]="",tbl_main[[#This Row],[Qty]]=""),"",tbl_main[[#This Row],[Price]]*tbl_main[[#This Row],[Qty]])</f>
        <v>400</v>
      </c>
      <c r="N177" s="3">
        <f>_xlfn.LET(_xlpm.x,_xlfn.XLOOKUP(tbl_main[[#This Row],[Service]],tbl_service[Service],tbl_service[Profit],""),
               IF(tbl_main[[#This Row],[Qty]]="","",_xlpm.x*tbl_main[[#This Row],[Qty]]))</f>
        <v>180</v>
      </c>
    </row>
    <row r="178" spans="1:14" x14ac:dyDescent="0.25">
      <c r="A178" t="s">
        <v>220</v>
      </c>
      <c r="B178" s="1">
        <v>45712</v>
      </c>
      <c r="C178">
        <f>IF(tbl_main[[#This Row],[Date]]="","",YEAR(B178))</f>
        <v>2025</v>
      </c>
      <c r="D178" t="str">
        <f>IF(tbl_main[[#This Row],[Date]]="","",TEXT(B178,"mmm"))</f>
        <v>Feb</v>
      </c>
      <c r="E178" t="str">
        <f>IF(tbl_main[[#This Row],[Date]]="","",TEXT(B178,"DDD"))</f>
        <v>Mon</v>
      </c>
      <c r="F178" t="s">
        <v>20</v>
      </c>
      <c r="G178" t="s">
        <v>21</v>
      </c>
      <c r="H178" s="3" t="s">
        <v>34</v>
      </c>
      <c r="I178" s="3" t="s">
        <v>35</v>
      </c>
      <c r="J178" s="3" t="s">
        <v>17</v>
      </c>
      <c r="K178" s="3">
        <f>_xlfn.XLOOKUP(tbl_main[[#This Row],[Service]],tbl_service[Service],tbl_service[Price],"")</f>
        <v>100</v>
      </c>
      <c r="L178" s="3">
        <v>2</v>
      </c>
      <c r="M178" s="3">
        <f>IF(AND(tbl_main[[#This Row],[Price]]="",tbl_main[[#This Row],[Qty]]=""),"",tbl_main[[#This Row],[Price]]*tbl_main[[#This Row],[Qty]])</f>
        <v>200</v>
      </c>
      <c r="N178" s="3">
        <f>_xlfn.LET(_xlpm.x,_xlfn.XLOOKUP(tbl_main[[#This Row],[Service]],tbl_service[Service],tbl_service[Profit],""),
               IF(tbl_main[[#This Row],[Qty]]="","",_xlpm.x*tbl_main[[#This Row],[Qty]]))</f>
        <v>90</v>
      </c>
    </row>
    <row r="179" spans="1:14" x14ac:dyDescent="0.25">
      <c r="A179" t="s">
        <v>221</v>
      </c>
      <c r="B179" s="1">
        <v>45713</v>
      </c>
      <c r="C179">
        <f>IF(tbl_main[[#This Row],[Date]]="","",YEAR(B179))</f>
        <v>2025</v>
      </c>
      <c r="D179" t="str">
        <f>IF(tbl_main[[#This Row],[Date]]="","",TEXT(B179,"mmm"))</f>
        <v>Feb</v>
      </c>
      <c r="E179" t="str">
        <f>IF(tbl_main[[#This Row],[Date]]="","",TEXT(B179,"DDD"))</f>
        <v>Tue</v>
      </c>
      <c r="F179" t="s">
        <v>13</v>
      </c>
      <c r="G179" t="s">
        <v>33</v>
      </c>
      <c r="H179" s="3" t="s">
        <v>18</v>
      </c>
      <c r="I179" s="3" t="s">
        <v>35</v>
      </c>
      <c r="J179" s="3" t="s">
        <v>32</v>
      </c>
      <c r="K179" s="3">
        <f>_xlfn.XLOOKUP(tbl_main[[#This Row],[Service]],tbl_service[Service],tbl_service[Price],"")</f>
        <v>500</v>
      </c>
      <c r="L179" s="3">
        <v>1</v>
      </c>
      <c r="M179" s="3">
        <f>IF(AND(tbl_main[[#This Row],[Price]]="",tbl_main[[#This Row],[Qty]]=""),"",tbl_main[[#This Row],[Price]]*tbl_main[[#This Row],[Qty]])</f>
        <v>500</v>
      </c>
      <c r="N179" s="3">
        <f>_xlfn.LET(_xlpm.x,_xlfn.XLOOKUP(tbl_main[[#This Row],[Service]],tbl_service[Service],tbl_service[Profit],""),
               IF(tbl_main[[#This Row],[Qty]]="","",_xlpm.x*tbl_main[[#This Row],[Qty]]))</f>
        <v>157</v>
      </c>
    </row>
    <row r="180" spans="1:14" x14ac:dyDescent="0.25">
      <c r="A180" t="s">
        <v>222</v>
      </c>
      <c r="B180" s="1">
        <v>45713</v>
      </c>
      <c r="C180">
        <f>IF(tbl_main[[#This Row],[Date]]="","",YEAR(B180))</f>
        <v>2025</v>
      </c>
      <c r="D180" t="str">
        <f>IF(tbl_main[[#This Row],[Date]]="","",TEXT(B180,"mmm"))</f>
        <v>Feb</v>
      </c>
      <c r="E180" t="str">
        <f>IF(tbl_main[[#This Row],[Date]]="","",TEXT(B180,"DDD"))</f>
        <v>Tue</v>
      </c>
      <c r="F180" t="s">
        <v>20</v>
      </c>
      <c r="G180" t="s">
        <v>29</v>
      </c>
      <c r="H180" s="3" t="s">
        <v>15</v>
      </c>
      <c r="I180" s="3" t="s">
        <v>35</v>
      </c>
      <c r="J180" s="3" t="s">
        <v>32</v>
      </c>
      <c r="K180" s="3">
        <f>_xlfn.XLOOKUP(tbl_main[[#This Row],[Service]],tbl_service[Service],tbl_service[Price],"")</f>
        <v>500</v>
      </c>
      <c r="L180" s="3">
        <v>2</v>
      </c>
      <c r="M180" s="3">
        <f>IF(AND(tbl_main[[#This Row],[Price]]="",tbl_main[[#This Row],[Qty]]=""),"",tbl_main[[#This Row],[Price]]*tbl_main[[#This Row],[Qty]])</f>
        <v>1000</v>
      </c>
      <c r="N180" s="3">
        <f>_xlfn.LET(_xlpm.x,_xlfn.XLOOKUP(tbl_main[[#This Row],[Service]],tbl_service[Service],tbl_service[Profit],""),
               IF(tbl_main[[#This Row],[Qty]]="","",_xlpm.x*tbl_main[[#This Row],[Qty]]))</f>
        <v>450</v>
      </c>
    </row>
    <row r="181" spans="1:14" x14ac:dyDescent="0.25">
      <c r="A181" t="s">
        <v>223</v>
      </c>
      <c r="B181" s="1">
        <v>45713</v>
      </c>
      <c r="C181">
        <f>IF(tbl_main[[#This Row],[Date]]="","",YEAR(B181))</f>
        <v>2025</v>
      </c>
      <c r="D181" t="str">
        <f>IF(tbl_main[[#This Row],[Date]]="","",TEXT(B181,"mmm"))</f>
        <v>Feb</v>
      </c>
      <c r="E181" t="str">
        <f>IF(tbl_main[[#This Row],[Date]]="","",TEXT(B181,"DDD"))</f>
        <v>Tue</v>
      </c>
      <c r="F181" t="s">
        <v>27</v>
      </c>
      <c r="G181" t="s">
        <v>40</v>
      </c>
      <c r="H181" s="3" t="s">
        <v>26</v>
      </c>
      <c r="I181" s="3" t="s">
        <v>35</v>
      </c>
      <c r="J181" s="3" t="s">
        <v>17</v>
      </c>
      <c r="K181" s="3">
        <f>_xlfn.XLOOKUP(tbl_main[[#This Row],[Service]],tbl_service[Service],tbl_service[Price],"")</f>
        <v>200</v>
      </c>
      <c r="L181" s="3">
        <v>2</v>
      </c>
      <c r="M181" s="3">
        <f>IF(AND(tbl_main[[#This Row],[Price]]="",tbl_main[[#This Row],[Qty]]=""),"",tbl_main[[#This Row],[Price]]*tbl_main[[#This Row],[Qty]])</f>
        <v>400</v>
      </c>
      <c r="N181" s="3">
        <f>_xlfn.LET(_xlpm.x,_xlfn.XLOOKUP(tbl_main[[#This Row],[Service]],tbl_service[Service],tbl_service[Profit],""),
               IF(tbl_main[[#This Row],[Qty]]="","",_xlpm.x*tbl_main[[#This Row],[Qty]]))</f>
        <v>180</v>
      </c>
    </row>
    <row r="182" spans="1:14" x14ac:dyDescent="0.25">
      <c r="A182" t="s">
        <v>224</v>
      </c>
      <c r="B182" s="1">
        <v>45714</v>
      </c>
      <c r="C182">
        <f>IF(tbl_main[[#This Row],[Date]]="","",YEAR(B182))</f>
        <v>2025</v>
      </c>
      <c r="D182" t="str">
        <f>IF(tbl_main[[#This Row],[Date]]="","",TEXT(B182,"mmm"))</f>
        <v>Feb</v>
      </c>
      <c r="E182" t="str">
        <f>IF(tbl_main[[#This Row],[Date]]="","",TEXT(B182,"DDD"))</f>
        <v>Wed</v>
      </c>
      <c r="F182" t="s">
        <v>13</v>
      </c>
      <c r="G182" t="s">
        <v>14</v>
      </c>
      <c r="H182" s="3" t="s">
        <v>18</v>
      </c>
      <c r="I182" s="3" t="s">
        <v>35</v>
      </c>
      <c r="J182" s="3" t="s">
        <v>32</v>
      </c>
      <c r="K182" s="3">
        <f>_xlfn.XLOOKUP(tbl_main[[#This Row],[Service]],tbl_service[Service],tbl_service[Price],"")</f>
        <v>500</v>
      </c>
      <c r="L182" s="3">
        <v>1</v>
      </c>
      <c r="M182" s="3">
        <f>IF(AND(tbl_main[[#This Row],[Price]]="",tbl_main[[#This Row],[Qty]]=""),"",tbl_main[[#This Row],[Price]]*tbl_main[[#This Row],[Qty]])</f>
        <v>500</v>
      </c>
      <c r="N182" s="3">
        <f>_xlfn.LET(_xlpm.x,_xlfn.XLOOKUP(tbl_main[[#This Row],[Service]],tbl_service[Service],tbl_service[Profit],""),
               IF(tbl_main[[#This Row],[Qty]]="","",_xlpm.x*tbl_main[[#This Row],[Qty]]))</f>
        <v>157</v>
      </c>
    </row>
    <row r="183" spans="1:14" x14ac:dyDescent="0.25">
      <c r="A183" t="s">
        <v>225</v>
      </c>
      <c r="B183" s="1">
        <v>45714</v>
      </c>
      <c r="C183">
        <f>IF(tbl_main[[#This Row],[Date]]="","",YEAR(B183))</f>
        <v>2025</v>
      </c>
      <c r="D183" t="str">
        <f>IF(tbl_main[[#This Row],[Date]]="","",TEXT(B183,"mmm"))</f>
        <v>Feb</v>
      </c>
      <c r="E183" t="str">
        <f>IF(tbl_main[[#This Row],[Date]]="","",TEXT(B183,"DDD"))</f>
        <v>Wed</v>
      </c>
      <c r="F183" t="s">
        <v>30</v>
      </c>
      <c r="G183" t="s">
        <v>31</v>
      </c>
      <c r="H183" s="3" t="s">
        <v>26</v>
      </c>
      <c r="I183" s="3" t="s">
        <v>35</v>
      </c>
      <c r="J183" s="3" t="s">
        <v>25</v>
      </c>
      <c r="K183" s="3">
        <f>_xlfn.XLOOKUP(tbl_main[[#This Row],[Service]],tbl_service[Service],tbl_service[Price],"")</f>
        <v>200</v>
      </c>
      <c r="L183" s="3">
        <v>1</v>
      </c>
      <c r="M183" s="3">
        <f>IF(AND(tbl_main[[#This Row],[Price]]="",tbl_main[[#This Row],[Qty]]=""),"",tbl_main[[#This Row],[Price]]*tbl_main[[#This Row],[Qty]])</f>
        <v>200</v>
      </c>
      <c r="N183" s="3">
        <f>_xlfn.LET(_xlpm.x,_xlfn.XLOOKUP(tbl_main[[#This Row],[Service]],tbl_service[Service],tbl_service[Profit],""),
               IF(tbl_main[[#This Row],[Qty]]="","",_xlpm.x*tbl_main[[#This Row],[Qty]]))</f>
        <v>90</v>
      </c>
    </row>
    <row r="184" spans="1:14" x14ac:dyDescent="0.25">
      <c r="A184" t="s">
        <v>226</v>
      </c>
      <c r="B184" s="1">
        <v>45714</v>
      </c>
      <c r="C184">
        <f>IF(tbl_main[[#This Row],[Date]]="","",YEAR(B184))</f>
        <v>2025</v>
      </c>
      <c r="D184" t="str">
        <f>IF(tbl_main[[#This Row],[Date]]="","",TEXT(B184,"mmm"))</f>
        <v>Feb</v>
      </c>
      <c r="E184" t="str">
        <f>IF(tbl_main[[#This Row],[Date]]="","",TEXT(B184,"DDD"))</f>
        <v>Wed</v>
      </c>
      <c r="F184" t="s">
        <v>30</v>
      </c>
      <c r="G184" t="s">
        <v>36</v>
      </c>
      <c r="H184" s="3" t="s">
        <v>24</v>
      </c>
      <c r="I184" s="3" t="s">
        <v>35</v>
      </c>
      <c r="J184" s="3" t="s">
        <v>25</v>
      </c>
      <c r="K184" s="3">
        <f>_xlfn.XLOOKUP(tbl_main[[#This Row],[Service]],tbl_service[Service],tbl_service[Price],"")</f>
        <v>80</v>
      </c>
      <c r="L184" s="3">
        <v>2</v>
      </c>
      <c r="M184" s="3">
        <f>IF(AND(tbl_main[[#This Row],[Price]]="",tbl_main[[#This Row],[Qty]]=""),"",tbl_main[[#This Row],[Price]]*tbl_main[[#This Row],[Qty]])</f>
        <v>160</v>
      </c>
      <c r="N184" s="3">
        <f>_xlfn.LET(_xlpm.x,_xlfn.XLOOKUP(tbl_main[[#This Row],[Service]],tbl_service[Service],tbl_service[Profit],""),
               IF(tbl_main[[#This Row],[Qty]]="","",_xlpm.x*tbl_main[[#This Row],[Qty]]))</f>
        <v>72</v>
      </c>
    </row>
    <row r="185" spans="1:14" x14ac:dyDescent="0.25">
      <c r="A185" t="s">
        <v>227</v>
      </c>
      <c r="B185" s="1">
        <v>45715</v>
      </c>
      <c r="C185">
        <f>IF(tbl_main[[#This Row],[Date]]="","",YEAR(B185))</f>
        <v>2025</v>
      </c>
      <c r="D185" t="str">
        <f>IF(tbl_main[[#This Row],[Date]]="","",TEXT(B185,"mmm"))</f>
        <v>Feb</v>
      </c>
      <c r="E185" t="str">
        <f>IF(tbl_main[[#This Row],[Date]]="","",TEXT(B185,"DDD"))</f>
        <v>Thu</v>
      </c>
      <c r="F185" t="s">
        <v>20</v>
      </c>
      <c r="G185" t="s">
        <v>39</v>
      </c>
      <c r="H185" s="3" t="s">
        <v>18</v>
      </c>
      <c r="I185" s="3" t="s">
        <v>35</v>
      </c>
      <c r="J185" s="3" t="s">
        <v>25</v>
      </c>
      <c r="K185" s="3">
        <f>_xlfn.XLOOKUP(tbl_main[[#This Row],[Service]],tbl_service[Service],tbl_service[Price],"")</f>
        <v>500</v>
      </c>
      <c r="L185" s="3">
        <v>2</v>
      </c>
      <c r="M185" s="3">
        <f>IF(AND(tbl_main[[#This Row],[Price]]="",tbl_main[[#This Row],[Qty]]=""),"",tbl_main[[#This Row],[Price]]*tbl_main[[#This Row],[Qty]])</f>
        <v>1000</v>
      </c>
      <c r="N185" s="3">
        <f>_xlfn.LET(_xlpm.x,_xlfn.XLOOKUP(tbl_main[[#This Row],[Service]],tbl_service[Service],tbl_service[Profit],""),
               IF(tbl_main[[#This Row],[Qty]]="","",_xlpm.x*tbl_main[[#This Row],[Qty]]))</f>
        <v>314</v>
      </c>
    </row>
    <row r="186" spans="1:14" x14ac:dyDescent="0.25">
      <c r="A186" t="s">
        <v>228</v>
      </c>
      <c r="B186" s="1">
        <v>45715</v>
      </c>
      <c r="C186">
        <f>IF(tbl_main[[#This Row],[Date]]="","",YEAR(B186))</f>
        <v>2025</v>
      </c>
      <c r="D186" t="str">
        <f>IF(tbl_main[[#This Row],[Date]]="","",TEXT(B186,"mmm"))</f>
        <v>Feb</v>
      </c>
      <c r="E186" t="str">
        <f>IF(tbl_main[[#This Row],[Date]]="","",TEXT(B186,"DDD"))</f>
        <v>Thu</v>
      </c>
      <c r="F186" t="s">
        <v>20</v>
      </c>
      <c r="G186" t="s">
        <v>39</v>
      </c>
      <c r="H186" s="3" t="s">
        <v>34</v>
      </c>
      <c r="I186" s="3" t="s">
        <v>35</v>
      </c>
      <c r="J186" s="3" t="s">
        <v>25</v>
      </c>
      <c r="K186" s="3">
        <f>_xlfn.XLOOKUP(tbl_main[[#This Row],[Service]],tbl_service[Service],tbl_service[Price],"")</f>
        <v>100</v>
      </c>
      <c r="L186" s="3">
        <v>1</v>
      </c>
      <c r="M186" s="3">
        <f>IF(AND(tbl_main[[#This Row],[Price]]="",tbl_main[[#This Row],[Qty]]=""),"",tbl_main[[#This Row],[Price]]*tbl_main[[#This Row],[Qty]])</f>
        <v>100</v>
      </c>
      <c r="N186" s="3">
        <f>_xlfn.LET(_xlpm.x,_xlfn.XLOOKUP(tbl_main[[#This Row],[Service]],tbl_service[Service],tbl_service[Profit],""),
               IF(tbl_main[[#This Row],[Qty]]="","",_xlpm.x*tbl_main[[#This Row],[Qty]]))</f>
        <v>45</v>
      </c>
    </row>
    <row r="187" spans="1:14" x14ac:dyDescent="0.25">
      <c r="A187" t="s">
        <v>229</v>
      </c>
      <c r="B187" s="1">
        <v>45715</v>
      </c>
      <c r="C187">
        <f>IF(tbl_main[[#This Row],[Date]]="","",YEAR(B187))</f>
        <v>2025</v>
      </c>
      <c r="D187" t="str">
        <f>IF(tbl_main[[#This Row],[Date]]="","",TEXT(B187,"mmm"))</f>
        <v>Feb</v>
      </c>
      <c r="E187" t="str">
        <f>IF(tbl_main[[#This Row],[Date]]="","",TEXT(B187,"DDD"))</f>
        <v>Thu</v>
      </c>
      <c r="F187" t="s">
        <v>20</v>
      </c>
      <c r="G187" t="s">
        <v>39</v>
      </c>
      <c r="H187" s="3" t="s">
        <v>24</v>
      </c>
      <c r="I187" s="3" t="s">
        <v>35</v>
      </c>
      <c r="J187" s="3" t="s">
        <v>25</v>
      </c>
      <c r="K187" s="3">
        <f>_xlfn.XLOOKUP(tbl_main[[#This Row],[Service]],tbl_service[Service],tbl_service[Price],"")</f>
        <v>80</v>
      </c>
      <c r="L187" s="3">
        <v>1</v>
      </c>
      <c r="M187" s="3">
        <f>IF(AND(tbl_main[[#This Row],[Price]]="",tbl_main[[#This Row],[Qty]]=""),"",tbl_main[[#This Row],[Price]]*tbl_main[[#This Row],[Qty]])</f>
        <v>80</v>
      </c>
      <c r="N187" s="3">
        <f>_xlfn.LET(_xlpm.x,_xlfn.XLOOKUP(tbl_main[[#This Row],[Service]],tbl_service[Service],tbl_service[Profit],""),
               IF(tbl_main[[#This Row],[Qty]]="","",_xlpm.x*tbl_main[[#This Row],[Qty]]))</f>
        <v>36</v>
      </c>
    </row>
    <row r="188" spans="1:14" x14ac:dyDescent="0.25">
      <c r="A188" t="s">
        <v>230</v>
      </c>
      <c r="B188" s="1">
        <v>45715</v>
      </c>
      <c r="C188">
        <f>IF(tbl_main[[#This Row],[Date]]="","",YEAR(B188))</f>
        <v>2025</v>
      </c>
      <c r="D188" t="str">
        <f>IF(tbl_main[[#This Row],[Date]]="","",TEXT(B188,"mmm"))</f>
        <v>Feb</v>
      </c>
      <c r="E188" t="str">
        <f>IF(tbl_main[[#This Row],[Date]]="","",TEXT(B188,"DDD"))</f>
        <v>Thu</v>
      </c>
      <c r="F188" t="s">
        <v>13</v>
      </c>
      <c r="G188" t="s">
        <v>33</v>
      </c>
      <c r="H188" s="3" t="s">
        <v>18</v>
      </c>
      <c r="I188" s="3" t="s">
        <v>35</v>
      </c>
      <c r="J188" s="3" t="s">
        <v>17</v>
      </c>
      <c r="K188" s="3">
        <f>_xlfn.XLOOKUP(tbl_main[[#This Row],[Service]],tbl_service[Service],tbl_service[Price],"")</f>
        <v>500</v>
      </c>
      <c r="L188" s="3">
        <v>2</v>
      </c>
      <c r="M188" s="3">
        <f>IF(AND(tbl_main[[#This Row],[Price]]="",tbl_main[[#This Row],[Qty]]=""),"",tbl_main[[#This Row],[Price]]*tbl_main[[#This Row],[Qty]])</f>
        <v>1000</v>
      </c>
      <c r="N188" s="3">
        <f>_xlfn.LET(_xlpm.x,_xlfn.XLOOKUP(tbl_main[[#This Row],[Service]],tbl_service[Service],tbl_service[Profit],""),
               IF(tbl_main[[#This Row],[Qty]]="","",_xlpm.x*tbl_main[[#This Row],[Qty]]))</f>
        <v>314</v>
      </c>
    </row>
    <row r="189" spans="1:14" x14ac:dyDescent="0.25">
      <c r="A189" t="s">
        <v>231</v>
      </c>
      <c r="B189" s="1">
        <v>45716</v>
      </c>
      <c r="C189">
        <f>IF(tbl_main[[#This Row],[Date]]="","",YEAR(B189))</f>
        <v>2025</v>
      </c>
      <c r="D189" t="str">
        <f>IF(tbl_main[[#This Row],[Date]]="","",TEXT(B189,"mmm"))</f>
        <v>Feb</v>
      </c>
      <c r="E189" t="str">
        <f>IF(tbl_main[[#This Row],[Date]]="","",TEXT(B189,"DDD"))</f>
        <v>Fri</v>
      </c>
      <c r="F189" t="s">
        <v>27</v>
      </c>
      <c r="G189" t="s">
        <v>28</v>
      </c>
      <c r="H189" s="3" t="s">
        <v>24</v>
      </c>
      <c r="I189" s="3" t="s">
        <v>35</v>
      </c>
      <c r="J189" s="3" t="s">
        <v>32</v>
      </c>
      <c r="K189" s="3">
        <f>_xlfn.XLOOKUP(tbl_main[[#This Row],[Service]],tbl_service[Service],tbl_service[Price],"")</f>
        <v>80</v>
      </c>
      <c r="L189" s="3">
        <v>2</v>
      </c>
      <c r="M189" s="3">
        <f>IF(AND(tbl_main[[#This Row],[Price]]="",tbl_main[[#This Row],[Qty]]=""),"",tbl_main[[#This Row],[Price]]*tbl_main[[#This Row],[Qty]])</f>
        <v>160</v>
      </c>
      <c r="N189" s="3">
        <f>_xlfn.LET(_xlpm.x,_xlfn.XLOOKUP(tbl_main[[#This Row],[Service]],tbl_service[Service],tbl_service[Profit],""),
               IF(tbl_main[[#This Row],[Qty]]="","",_xlpm.x*tbl_main[[#This Row],[Qty]]))</f>
        <v>72</v>
      </c>
    </row>
    <row r="190" spans="1:14" x14ac:dyDescent="0.25">
      <c r="A190" t="s">
        <v>232</v>
      </c>
      <c r="B190" s="1">
        <v>45716</v>
      </c>
      <c r="C190">
        <f>IF(tbl_main[[#This Row],[Date]]="","",YEAR(B190))</f>
        <v>2025</v>
      </c>
      <c r="D190" t="str">
        <f>IF(tbl_main[[#This Row],[Date]]="","",TEXT(B190,"mmm"))</f>
        <v>Feb</v>
      </c>
      <c r="E190" t="str">
        <f>IF(tbl_main[[#This Row],[Date]]="","",TEXT(B190,"DDD"))</f>
        <v>Fri</v>
      </c>
      <c r="F190" t="s">
        <v>13</v>
      </c>
      <c r="G190" t="s">
        <v>14</v>
      </c>
      <c r="H190" s="3" t="s">
        <v>26</v>
      </c>
      <c r="I190" s="3" t="s">
        <v>35</v>
      </c>
      <c r="J190" s="3" t="s">
        <v>25</v>
      </c>
      <c r="K190" s="3">
        <f>_xlfn.XLOOKUP(tbl_main[[#This Row],[Service]],tbl_service[Service],tbl_service[Price],"")</f>
        <v>200</v>
      </c>
      <c r="L190" s="3">
        <v>2</v>
      </c>
      <c r="M190" s="3">
        <f>IF(AND(tbl_main[[#This Row],[Price]]="",tbl_main[[#This Row],[Qty]]=""),"",tbl_main[[#This Row],[Price]]*tbl_main[[#This Row],[Qty]])</f>
        <v>400</v>
      </c>
      <c r="N190" s="3">
        <f>_xlfn.LET(_xlpm.x,_xlfn.XLOOKUP(tbl_main[[#This Row],[Service]],tbl_service[Service],tbl_service[Profit],""),
               IF(tbl_main[[#This Row],[Qty]]="","",_xlpm.x*tbl_main[[#This Row],[Qty]]))</f>
        <v>180</v>
      </c>
    </row>
    <row r="191" spans="1:14" x14ac:dyDescent="0.25">
      <c r="A191" t="s">
        <v>233</v>
      </c>
      <c r="B191" s="1">
        <v>45716</v>
      </c>
      <c r="C191">
        <f>IF(tbl_main[[#This Row],[Date]]="","",YEAR(B191))</f>
        <v>2025</v>
      </c>
      <c r="D191" t="str">
        <f>IF(tbl_main[[#This Row],[Date]]="","",TEXT(B191,"mmm"))</f>
        <v>Feb</v>
      </c>
      <c r="E191" t="str">
        <f>IF(tbl_main[[#This Row],[Date]]="","",TEXT(B191,"DDD"))</f>
        <v>Fri</v>
      </c>
      <c r="F191" t="s">
        <v>30</v>
      </c>
      <c r="G191" t="s">
        <v>31</v>
      </c>
      <c r="H191" s="3" t="s">
        <v>26</v>
      </c>
      <c r="I191" s="3" t="s">
        <v>35</v>
      </c>
      <c r="J191" s="3" t="s">
        <v>17</v>
      </c>
      <c r="K191" s="3">
        <f>_xlfn.XLOOKUP(tbl_main[[#This Row],[Service]],tbl_service[Service],tbl_service[Price],"")</f>
        <v>200</v>
      </c>
      <c r="L191" s="3">
        <v>1</v>
      </c>
      <c r="M191" s="3">
        <f>IF(AND(tbl_main[[#This Row],[Price]]="",tbl_main[[#This Row],[Qty]]=""),"",tbl_main[[#This Row],[Price]]*tbl_main[[#This Row],[Qty]])</f>
        <v>200</v>
      </c>
      <c r="N191" s="3">
        <f>_xlfn.LET(_xlpm.x,_xlfn.XLOOKUP(tbl_main[[#This Row],[Service]],tbl_service[Service],tbl_service[Profit],""),
               IF(tbl_main[[#This Row],[Qty]]="","",_xlpm.x*tbl_main[[#This Row],[Qty]]))</f>
        <v>90</v>
      </c>
    </row>
    <row r="192" spans="1:14" x14ac:dyDescent="0.25">
      <c r="A192" t="s">
        <v>234</v>
      </c>
      <c r="B192" s="1">
        <v>45716</v>
      </c>
      <c r="C192">
        <f>IF(tbl_main[[#This Row],[Date]]="","",YEAR(B192))</f>
        <v>2025</v>
      </c>
      <c r="D192" t="str">
        <f>IF(tbl_main[[#This Row],[Date]]="","",TEXT(B192,"mmm"))</f>
        <v>Feb</v>
      </c>
      <c r="E192" t="str">
        <f>IF(tbl_main[[#This Row],[Date]]="","",TEXT(B192,"DDD"))</f>
        <v>Fri</v>
      </c>
      <c r="F192" t="s">
        <v>13</v>
      </c>
      <c r="G192" t="s">
        <v>33</v>
      </c>
      <c r="H192" s="3" t="s">
        <v>22</v>
      </c>
      <c r="I192" s="3" t="s">
        <v>35</v>
      </c>
      <c r="J192" s="3" t="s">
        <v>25</v>
      </c>
      <c r="K192" s="3">
        <f>_xlfn.XLOOKUP(tbl_main[[#This Row],[Service]],tbl_service[Service],tbl_service[Price],"")</f>
        <v>150</v>
      </c>
      <c r="L192" s="3">
        <v>2</v>
      </c>
      <c r="M192" s="3">
        <f>IF(AND(tbl_main[[#This Row],[Price]]="",tbl_main[[#This Row],[Qty]]=""),"",tbl_main[[#This Row],[Price]]*tbl_main[[#This Row],[Qty]])</f>
        <v>300</v>
      </c>
      <c r="N192" s="3">
        <f>_xlfn.LET(_xlpm.x,_xlfn.XLOOKUP(tbl_main[[#This Row],[Service]],tbl_service[Service],tbl_service[Profit],""),
               IF(tbl_main[[#This Row],[Qty]]="","",_xlpm.x*tbl_main[[#This Row],[Qty]]))</f>
        <v>134</v>
      </c>
    </row>
    <row r="193" spans="1:14" x14ac:dyDescent="0.25">
      <c r="A193" t="s">
        <v>235</v>
      </c>
      <c r="B193" s="1">
        <v>45717</v>
      </c>
      <c r="C193">
        <f>IF(tbl_main[[#This Row],[Date]]="","",YEAR(B193))</f>
        <v>2025</v>
      </c>
      <c r="D193" t="str">
        <f>IF(tbl_main[[#This Row],[Date]]="","",TEXT(B193,"mmm"))</f>
        <v>Mar</v>
      </c>
      <c r="E193" t="str">
        <f>IF(tbl_main[[#This Row],[Date]]="","",TEXT(B193,"DDD"))</f>
        <v>Sat</v>
      </c>
      <c r="F193" t="s">
        <v>20</v>
      </c>
      <c r="G193" t="s">
        <v>21</v>
      </c>
      <c r="H193" s="3" t="s">
        <v>18</v>
      </c>
      <c r="I193" s="3" t="s">
        <v>35</v>
      </c>
      <c r="J193" s="3" t="s">
        <v>32</v>
      </c>
      <c r="K193" s="3">
        <f>_xlfn.XLOOKUP(tbl_main[[#This Row],[Service]],tbl_service[Service],tbl_service[Price],"")</f>
        <v>500</v>
      </c>
      <c r="L193" s="3">
        <v>2</v>
      </c>
      <c r="M193" s="3">
        <f>IF(AND(tbl_main[[#This Row],[Price]]="",tbl_main[[#This Row],[Qty]]=""),"",tbl_main[[#This Row],[Price]]*tbl_main[[#This Row],[Qty]])</f>
        <v>1000</v>
      </c>
      <c r="N193" s="3">
        <f>_xlfn.LET(_xlpm.x,_xlfn.XLOOKUP(tbl_main[[#This Row],[Service]],tbl_service[Service],tbl_service[Profit],""),
               IF(tbl_main[[#This Row],[Qty]]="","",_xlpm.x*tbl_main[[#This Row],[Qty]]))</f>
        <v>314</v>
      </c>
    </row>
    <row r="194" spans="1:14" x14ac:dyDescent="0.25">
      <c r="A194" t="s">
        <v>236</v>
      </c>
      <c r="B194" s="1">
        <v>45717</v>
      </c>
      <c r="C194">
        <f>IF(tbl_main[[#This Row],[Date]]="","",YEAR(B194))</f>
        <v>2025</v>
      </c>
      <c r="D194" t="str">
        <f>IF(tbl_main[[#This Row],[Date]]="","",TEXT(B194,"mmm"))</f>
        <v>Mar</v>
      </c>
      <c r="E194" t="str">
        <f>IF(tbl_main[[#This Row],[Date]]="","",TEXT(B194,"DDD"))</f>
        <v>Sat</v>
      </c>
      <c r="F194" t="s">
        <v>27</v>
      </c>
      <c r="G194" t="s">
        <v>40</v>
      </c>
      <c r="H194" s="3" t="s">
        <v>22</v>
      </c>
      <c r="I194" s="3" t="s">
        <v>35</v>
      </c>
      <c r="J194" s="3" t="s">
        <v>17</v>
      </c>
      <c r="K194" s="3">
        <f>_xlfn.XLOOKUP(tbl_main[[#This Row],[Service]],tbl_service[Service],tbl_service[Price],"")</f>
        <v>150</v>
      </c>
      <c r="L194" s="3">
        <v>1</v>
      </c>
      <c r="M194" s="3">
        <f>IF(AND(tbl_main[[#This Row],[Price]]="",tbl_main[[#This Row],[Qty]]=""),"",tbl_main[[#This Row],[Price]]*tbl_main[[#This Row],[Qty]])</f>
        <v>150</v>
      </c>
      <c r="N194" s="3">
        <f>_xlfn.LET(_xlpm.x,_xlfn.XLOOKUP(tbl_main[[#This Row],[Service]],tbl_service[Service],tbl_service[Profit],""),
               IF(tbl_main[[#This Row],[Qty]]="","",_xlpm.x*tbl_main[[#This Row],[Qty]]))</f>
        <v>67</v>
      </c>
    </row>
    <row r="195" spans="1:14" x14ac:dyDescent="0.25">
      <c r="A195" t="s">
        <v>237</v>
      </c>
      <c r="B195" s="1">
        <v>45717</v>
      </c>
      <c r="C195">
        <f>IF(tbl_main[[#This Row],[Date]]="","",YEAR(B195))</f>
        <v>2025</v>
      </c>
      <c r="D195" t="str">
        <f>IF(tbl_main[[#This Row],[Date]]="","",TEXT(B195,"mmm"))</f>
        <v>Mar</v>
      </c>
      <c r="E195" t="str">
        <f>IF(tbl_main[[#This Row],[Date]]="","",TEXT(B195,"DDD"))</f>
        <v>Sat</v>
      </c>
      <c r="F195" t="s">
        <v>20</v>
      </c>
      <c r="G195" t="s">
        <v>29</v>
      </c>
      <c r="H195" s="3" t="s">
        <v>22</v>
      </c>
      <c r="I195" s="3" t="s">
        <v>35</v>
      </c>
      <c r="J195" s="3" t="s">
        <v>25</v>
      </c>
      <c r="K195" s="3">
        <f>_xlfn.XLOOKUP(tbl_main[[#This Row],[Service]],tbl_service[Service],tbl_service[Price],"")</f>
        <v>150</v>
      </c>
      <c r="L195" s="3">
        <v>2</v>
      </c>
      <c r="M195" s="3">
        <f>IF(AND(tbl_main[[#This Row],[Price]]="",tbl_main[[#This Row],[Qty]]=""),"",tbl_main[[#This Row],[Price]]*tbl_main[[#This Row],[Qty]])</f>
        <v>300</v>
      </c>
      <c r="N195" s="3">
        <f>_xlfn.LET(_xlpm.x,_xlfn.XLOOKUP(tbl_main[[#This Row],[Service]],tbl_service[Service],tbl_service[Profit],""),
               IF(tbl_main[[#This Row],[Qty]]="","",_xlpm.x*tbl_main[[#This Row],[Qty]]))</f>
        <v>134</v>
      </c>
    </row>
    <row r="196" spans="1:14" x14ac:dyDescent="0.25">
      <c r="A196" t="s">
        <v>238</v>
      </c>
      <c r="B196" s="1">
        <v>45718</v>
      </c>
      <c r="C196">
        <f>IF(tbl_main[[#This Row],[Date]]="","",YEAR(B196))</f>
        <v>2025</v>
      </c>
      <c r="D196" t="str">
        <f>IF(tbl_main[[#This Row],[Date]]="","",TEXT(B196,"mmm"))</f>
        <v>Mar</v>
      </c>
      <c r="E196" t="str">
        <f>IF(tbl_main[[#This Row],[Date]]="","",TEXT(B196,"DDD"))</f>
        <v>Sun</v>
      </c>
      <c r="F196" t="s">
        <v>27</v>
      </c>
      <c r="G196" t="s">
        <v>40</v>
      </c>
      <c r="H196" s="3" t="s">
        <v>18</v>
      </c>
      <c r="I196" s="3" t="s">
        <v>35</v>
      </c>
      <c r="J196" s="3" t="s">
        <v>25</v>
      </c>
      <c r="K196" s="3">
        <f>_xlfn.XLOOKUP(tbl_main[[#This Row],[Service]],tbl_service[Service],tbl_service[Price],"")</f>
        <v>500</v>
      </c>
      <c r="L196" s="3">
        <v>2</v>
      </c>
      <c r="M196" s="3">
        <f>IF(AND(tbl_main[[#This Row],[Price]]="",tbl_main[[#This Row],[Qty]]=""),"",tbl_main[[#This Row],[Price]]*tbl_main[[#This Row],[Qty]])</f>
        <v>1000</v>
      </c>
      <c r="N196" s="3">
        <f>_xlfn.LET(_xlpm.x,_xlfn.XLOOKUP(tbl_main[[#This Row],[Service]],tbl_service[Service],tbl_service[Profit],""),
               IF(tbl_main[[#This Row],[Qty]]="","",_xlpm.x*tbl_main[[#This Row],[Qty]]))</f>
        <v>314</v>
      </c>
    </row>
    <row r="197" spans="1:14" x14ac:dyDescent="0.25">
      <c r="A197" t="s">
        <v>239</v>
      </c>
      <c r="B197" s="1">
        <v>45718</v>
      </c>
      <c r="C197">
        <f>IF(tbl_main[[#This Row],[Date]]="","",YEAR(B197))</f>
        <v>2025</v>
      </c>
      <c r="D197" t="str">
        <f>IF(tbl_main[[#This Row],[Date]]="","",TEXT(B197,"mmm"))</f>
        <v>Mar</v>
      </c>
      <c r="E197" t="str">
        <f>IF(tbl_main[[#This Row],[Date]]="","",TEXT(B197,"DDD"))</f>
        <v>Sun</v>
      </c>
      <c r="F197" t="s">
        <v>13</v>
      </c>
      <c r="G197" t="s">
        <v>14</v>
      </c>
      <c r="H197" s="3" t="s">
        <v>15</v>
      </c>
      <c r="I197" s="3" t="s">
        <v>35</v>
      </c>
      <c r="J197" s="3" t="s">
        <v>32</v>
      </c>
      <c r="K197" s="3">
        <f>_xlfn.XLOOKUP(tbl_main[[#This Row],[Service]],tbl_service[Service],tbl_service[Price],"")</f>
        <v>500</v>
      </c>
      <c r="L197" s="3">
        <v>2</v>
      </c>
      <c r="M197" s="3">
        <f>IF(AND(tbl_main[[#This Row],[Price]]="",tbl_main[[#This Row],[Qty]]=""),"",tbl_main[[#This Row],[Price]]*tbl_main[[#This Row],[Qty]])</f>
        <v>1000</v>
      </c>
      <c r="N197" s="3">
        <f>_xlfn.LET(_xlpm.x,_xlfn.XLOOKUP(tbl_main[[#This Row],[Service]],tbl_service[Service],tbl_service[Profit],""),
               IF(tbl_main[[#This Row],[Qty]]="","",_xlpm.x*tbl_main[[#This Row],[Qty]]))</f>
        <v>450</v>
      </c>
    </row>
    <row r="198" spans="1:14" x14ac:dyDescent="0.25">
      <c r="A198" t="s">
        <v>240</v>
      </c>
      <c r="B198" s="1">
        <v>45718</v>
      </c>
      <c r="C198">
        <f>IF(tbl_main[[#This Row],[Date]]="","",YEAR(B198))</f>
        <v>2025</v>
      </c>
      <c r="D198" t="str">
        <f>IF(tbl_main[[#This Row],[Date]]="","",TEXT(B198,"mmm"))</f>
        <v>Mar</v>
      </c>
      <c r="E198" t="str">
        <f>IF(tbl_main[[#This Row],[Date]]="","",TEXT(B198,"DDD"))</f>
        <v>Sun</v>
      </c>
      <c r="F198" t="s">
        <v>13</v>
      </c>
      <c r="G198" t="s">
        <v>33</v>
      </c>
      <c r="H198" s="3" t="s">
        <v>18</v>
      </c>
      <c r="I198" s="3" t="s">
        <v>35</v>
      </c>
      <c r="J198" s="3" t="s">
        <v>17</v>
      </c>
      <c r="K198" s="3">
        <f>_xlfn.XLOOKUP(tbl_main[[#This Row],[Service]],tbl_service[Service],tbl_service[Price],"")</f>
        <v>500</v>
      </c>
      <c r="L198" s="3">
        <v>1</v>
      </c>
      <c r="M198" s="3">
        <f>IF(AND(tbl_main[[#This Row],[Price]]="",tbl_main[[#This Row],[Qty]]=""),"",tbl_main[[#This Row],[Price]]*tbl_main[[#This Row],[Qty]])</f>
        <v>500</v>
      </c>
      <c r="N198" s="3">
        <f>_xlfn.LET(_xlpm.x,_xlfn.XLOOKUP(tbl_main[[#This Row],[Service]],tbl_service[Service],tbl_service[Profit],""),
               IF(tbl_main[[#This Row],[Qty]]="","",_xlpm.x*tbl_main[[#This Row],[Qty]]))</f>
        <v>157</v>
      </c>
    </row>
    <row r="199" spans="1:14" x14ac:dyDescent="0.25">
      <c r="A199" t="s">
        <v>241</v>
      </c>
      <c r="B199" s="1">
        <v>45718</v>
      </c>
      <c r="C199">
        <f>IF(tbl_main[[#This Row],[Date]]="","",YEAR(B199))</f>
        <v>2025</v>
      </c>
      <c r="D199" t="str">
        <f>IF(tbl_main[[#This Row],[Date]]="","",TEXT(B199,"mmm"))</f>
        <v>Mar</v>
      </c>
      <c r="E199" t="str">
        <f>IF(tbl_main[[#This Row],[Date]]="","",TEXT(B199,"DDD"))</f>
        <v>Sun</v>
      </c>
      <c r="F199" t="s">
        <v>20</v>
      </c>
      <c r="G199" t="s">
        <v>21</v>
      </c>
      <c r="H199" s="3" t="s">
        <v>26</v>
      </c>
      <c r="I199" s="3" t="s">
        <v>35</v>
      </c>
      <c r="J199" s="3" t="s">
        <v>17</v>
      </c>
      <c r="K199" s="3">
        <f>_xlfn.XLOOKUP(tbl_main[[#This Row],[Service]],tbl_service[Service],tbl_service[Price],"")</f>
        <v>200</v>
      </c>
      <c r="L199" s="3">
        <v>1</v>
      </c>
      <c r="M199" s="3">
        <f>IF(AND(tbl_main[[#This Row],[Price]]="",tbl_main[[#This Row],[Qty]]=""),"",tbl_main[[#This Row],[Price]]*tbl_main[[#This Row],[Qty]])</f>
        <v>200</v>
      </c>
      <c r="N199" s="3">
        <f>_xlfn.LET(_xlpm.x,_xlfn.XLOOKUP(tbl_main[[#This Row],[Service]],tbl_service[Service],tbl_service[Profit],""),
               IF(tbl_main[[#This Row],[Qty]]="","",_xlpm.x*tbl_main[[#This Row],[Qty]]))</f>
        <v>90</v>
      </c>
    </row>
    <row r="200" spans="1:14" x14ac:dyDescent="0.25">
      <c r="A200" t="s">
        <v>242</v>
      </c>
      <c r="B200" s="1">
        <v>45719</v>
      </c>
      <c r="C200">
        <f>IF(tbl_main[[#This Row],[Date]]="","",YEAR(B200))</f>
        <v>2025</v>
      </c>
      <c r="D200" t="str">
        <f>IF(tbl_main[[#This Row],[Date]]="","",TEXT(B200,"mmm"))</f>
        <v>Mar</v>
      </c>
      <c r="E200" t="str">
        <f>IF(tbl_main[[#This Row],[Date]]="","",TEXT(B200,"DDD"))</f>
        <v>Mon</v>
      </c>
      <c r="F200" t="s">
        <v>13</v>
      </c>
      <c r="G200" t="s">
        <v>14</v>
      </c>
      <c r="H200" s="3" t="s">
        <v>26</v>
      </c>
      <c r="I200" s="3" t="s">
        <v>35</v>
      </c>
      <c r="J200" s="3" t="s">
        <v>32</v>
      </c>
      <c r="K200" s="3">
        <f>_xlfn.XLOOKUP(tbl_main[[#This Row],[Service]],tbl_service[Service],tbl_service[Price],"")</f>
        <v>200</v>
      </c>
      <c r="L200" s="3">
        <v>1</v>
      </c>
      <c r="M200" s="3">
        <f>IF(AND(tbl_main[[#This Row],[Price]]="",tbl_main[[#This Row],[Qty]]=""),"",tbl_main[[#This Row],[Price]]*tbl_main[[#This Row],[Qty]])</f>
        <v>200</v>
      </c>
      <c r="N200" s="3">
        <f>_xlfn.LET(_xlpm.x,_xlfn.XLOOKUP(tbl_main[[#This Row],[Service]],tbl_service[Service],tbl_service[Profit],""),
               IF(tbl_main[[#This Row],[Qty]]="","",_xlpm.x*tbl_main[[#This Row],[Qty]]))</f>
        <v>90</v>
      </c>
    </row>
    <row r="201" spans="1:14" x14ac:dyDescent="0.25">
      <c r="A201" t="s">
        <v>243</v>
      </c>
      <c r="B201" s="1">
        <v>45719</v>
      </c>
      <c r="C201">
        <f>IF(tbl_main[[#This Row],[Date]]="","",YEAR(B201))</f>
        <v>2025</v>
      </c>
      <c r="D201" t="str">
        <f>IF(tbl_main[[#This Row],[Date]]="","",TEXT(B201,"mmm"))</f>
        <v>Mar</v>
      </c>
      <c r="E201" t="str">
        <f>IF(tbl_main[[#This Row],[Date]]="","",TEXT(B201,"DDD"))</f>
        <v>Mon</v>
      </c>
      <c r="F201" t="s">
        <v>20</v>
      </c>
      <c r="G201" t="s">
        <v>39</v>
      </c>
      <c r="H201" s="3" t="s">
        <v>15</v>
      </c>
      <c r="I201" s="3" t="s">
        <v>38</v>
      </c>
      <c r="J201" s="3" t="s">
        <v>17</v>
      </c>
      <c r="K201" s="3">
        <f>_xlfn.XLOOKUP(tbl_main[[#This Row],[Service]],tbl_service[Service],tbl_service[Price],"")</f>
        <v>500</v>
      </c>
      <c r="L201" s="3">
        <v>2</v>
      </c>
      <c r="M201" s="3">
        <f>IF(AND(tbl_main[[#This Row],[Price]]="",tbl_main[[#This Row],[Qty]]=""),"",tbl_main[[#This Row],[Price]]*tbl_main[[#This Row],[Qty]])</f>
        <v>1000</v>
      </c>
      <c r="N201" s="3">
        <f>_xlfn.LET(_xlpm.x,_xlfn.XLOOKUP(tbl_main[[#This Row],[Service]],tbl_service[Service],tbl_service[Profit],""),
               IF(tbl_main[[#This Row],[Qty]]="","",_xlpm.x*tbl_main[[#This Row],[Qty]]))</f>
        <v>450</v>
      </c>
    </row>
    <row r="202" spans="1:14" x14ac:dyDescent="0.25">
      <c r="A202" t="s">
        <v>244</v>
      </c>
      <c r="B202" s="1">
        <v>45719</v>
      </c>
      <c r="C202">
        <f>IF(tbl_main[[#This Row],[Date]]="","",YEAR(B202))</f>
        <v>2025</v>
      </c>
      <c r="D202" t="str">
        <f>IF(tbl_main[[#This Row],[Date]]="","",TEXT(B202,"mmm"))</f>
        <v>Mar</v>
      </c>
      <c r="E202" t="str">
        <f>IF(tbl_main[[#This Row],[Date]]="","",TEXT(B202,"DDD"))</f>
        <v>Mon</v>
      </c>
      <c r="F202" t="s">
        <v>27</v>
      </c>
      <c r="G202" t="s">
        <v>40</v>
      </c>
      <c r="H202" s="3" t="s">
        <v>26</v>
      </c>
      <c r="I202" s="3" t="s">
        <v>16</v>
      </c>
      <c r="J202" s="3" t="s">
        <v>17</v>
      </c>
      <c r="K202" s="3">
        <f>_xlfn.XLOOKUP(tbl_main[[#This Row],[Service]],tbl_service[Service],tbl_service[Price],"")</f>
        <v>200</v>
      </c>
      <c r="L202" s="3">
        <v>2</v>
      </c>
      <c r="M202" s="3">
        <f>IF(AND(tbl_main[[#This Row],[Price]]="",tbl_main[[#This Row],[Qty]]=""),"",tbl_main[[#This Row],[Price]]*tbl_main[[#This Row],[Qty]])</f>
        <v>400</v>
      </c>
      <c r="N202" s="3">
        <f>_xlfn.LET(_xlpm.x,_xlfn.XLOOKUP(tbl_main[[#This Row],[Service]],tbl_service[Service],tbl_service[Profit],""),
               IF(tbl_main[[#This Row],[Qty]]="","",_xlpm.x*tbl_main[[#This Row],[Qty]]))</f>
        <v>180</v>
      </c>
    </row>
    <row r="203" spans="1:14" x14ac:dyDescent="0.25">
      <c r="A203" t="s">
        <v>245</v>
      </c>
      <c r="B203" s="1">
        <v>45720</v>
      </c>
      <c r="C203">
        <f>IF(tbl_main[[#This Row],[Date]]="","",YEAR(B203))</f>
        <v>2025</v>
      </c>
      <c r="D203" t="str">
        <f>IF(tbl_main[[#This Row],[Date]]="","",TEXT(B203,"mmm"))</f>
        <v>Mar</v>
      </c>
      <c r="E203" t="str">
        <f>IF(tbl_main[[#This Row],[Date]]="","",TEXT(B203,"DDD"))</f>
        <v>Tue</v>
      </c>
      <c r="F203" t="s">
        <v>13</v>
      </c>
      <c r="G203" t="s">
        <v>33</v>
      </c>
      <c r="H203" s="3" t="s">
        <v>15</v>
      </c>
      <c r="I203" s="3" t="s">
        <v>19</v>
      </c>
      <c r="J203" s="3" t="s">
        <v>32</v>
      </c>
      <c r="K203" s="3">
        <f>_xlfn.XLOOKUP(tbl_main[[#This Row],[Service]],tbl_service[Service],tbl_service[Price],"")</f>
        <v>500</v>
      </c>
      <c r="L203" s="3">
        <v>2</v>
      </c>
      <c r="M203" s="3">
        <f>IF(AND(tbl_main[[#This Row],[Price]]="",tbl_main[[#This Row],[Qty]]=""),"",tbl_main[[#This Row],[Price]]*tbl_main[[#This Row],[Qty]])</f>
        <v>1000</v>
      </c>
      <c r="N203" s="3">
        <f>_xlfn.LET(_xlpm.x,_xlfn.XLOOKUP(tbl_main[[#This Row],[Service]],tbl_service[Service],tbl_service[Profit],""),
               IF(tbl_main[[#This Row],[Qty]]="","",_xlpm.x*tbl_main[[#This Row],[Qty]]))</f>
        <v>450</v>
      </c>
    </row>
    <row r="204" spans="1:14" x14ac:dyDescent="0.25">
      <c r="A204" t="s">
        <v>246</v>
      </c>
      <c r="B204" s="1">
        <v>45720</v>
      </c>
      <c r="C204">
        <f>IF(tbl_main[[#This Row],[Date]]="","",YEAR(B204))</f>
        <v>2025</v>
      </c>
      <c r="D204" t="str">
        <f>IF(tbl_main[[#This Row],[Date]]="","",TEXT(B204,"mmm"))</f>
        <v>Mar</v>
      </c>
      <c r="E204" t="str">
        <f>IF(tbl_main[[#This Row],[Date]]="","",TEXT(B204,"DDD"))</f>
        <v>Tue</v>
      </c>
      <c r="F204" t="s">
        <v>13</v>
      </c>
      <c r="G204" t="s">
        <v>33</v>
      </c>
      <c r="H204" s="3" t="s">
        <v>22</v>
      </c>
      <c r="I204" s="3" t="s">
        <v>23</v>
      </c>
      <c r="J204" s="3" t="s">
        <v>17</v>
      </c>
      <c r="K204" s="3">
        <f>_xlfn.XLOOKUP(tbl_main[[#This Row],[Service]],tbl_service[Service],tbl_service[Price],"")</f>
        <v>150</v>
      </c>
      <c r="L204" s="3">
        <v>1</v>
      </c>
      <c r="M204" s="3">
        <f>IF(AND(tbl_main[[#This Row],[Price]]="",tbl_main[[#This Row],[Qty]]=""),"",tbl_main[[#This Row],[Price]]*tbl_main[[#This Row],[Qty]])</f>
        <v>150</v>
      </c>
      <c r="N204" s="3">
        <f>_xlfn.LET(_xlpm.x,_xlfn.XLOOKUP(tbl_main[[#This Row],[Service]],tbl_service[Service],tbl_service[Profit],""),
               IF(tbl_main[[#This Row],[Qty]]="","",_xlpm.x*tbl_main[[#This Row],[Qty]]))</f>
        <v>67</v>
      </c>
    </row>
    <row r="205" spans="1:14" x14ac:dyDescent="0.25">
      <c r="A205" t="s">
        <v>247</v>
      </c>
      <c r="B205" s="1">
        <v>45720</v>
      </c>
      <c r="C205">
        <f>IF(tbl_main[[#This Row],[Date]]="","",YEAR(B205))</f>
        <v>2025</v>
      </c>
      <c r="D205" t="str">
        <f>IF(tbl_main[[#This Row],[Date]]="","",TEXT(B205,"mmm"))</f>
        <v>Mar</v>
      </c>
      <c r="E205" t="str">
        <f>IF(tbl_main[[#This Row],[Date]]="","",TEXT(B205,"DDD"))</f>
        <v>Tue</v>
      </c>
      <c r="F205" t="s">
        <v>27</v>
      </c>
      <c r="G205" t="s">
        <v>28</v>
      </c>
      <c r="H205" s="3" t="s">
        <v>18</v>
      </c>
      <c r="I205" s="3" t="s">
        <v>41</v>
      </c>
      <c r="J205" s="3" t="s">
        <v>17</v>
      </c>
      <c r="K205" s="3">
        <f>_xlfn.XLOOKUP(tbl_main[[#This Row],[Service]],tbl_service[Service],tbl_service[Price],"")</f>
        <v>500</v>
      </c>
      <c r="L205" s="3">
        <v>2</v>
      </c>
      <c r="M205" s="3">
        <f>IF(AND(tbl_main[[#This Row],[Price]]="",tbl_main[[#This Row],[Qty]]=""),"",tbl_main[[#This Row],[Price]]*tbl_main[[#This Row],[Qty]])</f>
        <v>1000</v>
      </c>
      <c r="N205" s="3">
        <f>_xlfn.LET(_xlpm.x,_xlfn.XLOOKUP(tbl_main[[#This Row],[Service]],tbl_service[Service],tbl_service[Profit],""),
               IF(tbl_main[[#This Row],[Qty]]="","",_xlpm.x*tbl_main[[#This Row],[Qty]]))</f>
        <v>314</v>
      </c>
    </row>
    <row r="206" spans="1:14" x14ac:dyDescent="0.25">
      <c r="A206" t="s">
        <v>248</v>
      </c>
      <c r="B206" s="1">
        <v>45721</v>
      </c>
      <c r="C206">
        <f>IF(tbl_main[[#This Row],[Date]]="","",YEAR(B206))</f>
        <v>2025</v>
      </c>
      <c r="D206" t="str">
        <f>IF(tbl_main[[#This Row],[Date]]="","",TEXT(B206,"mmm"))</f>
        <v>Mar</v>
      </c>
      <c r="E206" t="str">
        <f>IF(tbl_main[[#This Row],[Date]]="","",TEXT(B206,"DDD"))</f>
        <v>Wed</v>
      </c>
      <c r="F206" t="s">
        <v>27</v>
      </c>
      <c r="G206" t="s">
        <v>40</v>
      </c>
      <c r="H206" s="3" t="s">
        <v>26</v>
      </c>
      <c r="I206" s="3" t="s">
        <v>41</v>
      </c>
      <c r="J206" s="3" t="s">
        <v>17</v>
      </c>
      <c r="K206" s="3">
        <f>_xlfn.XLOOKUP(tbl_main[[#This Row],[Service]],tbl_service[Service],tbl_service[Price],"")</f>
        <v>200</v>
      </c>
      <c r="L206" s="3">
        <v>2</v>
      </c>
      <c r="M206" s="3">
        <f>IF(AND(tbl_main[[#This Row],[Price]]="",tbl_main[[#This Row],[Qty]]=""),"",tbl_main[[#This Row],[Price]]*tbl_main[[#This Row],[Qty]])</f>
        <v>400</v>
      </c>
      <c r="N206" s="3">
        <f>_xlfn.LET(_xlpm.x,_xlfn.XLOOKUP(tbl_main[[#This Row],[Service]],tbl_service[Service],tbl_service[Profit],""),
               IF(tbl_main[[#This Row],[Qty]]="","",_xlpm.x*tbl_main[[#This Row],[Qty]]))</f>
        <v>180</v>
      </c>
    </row>
    <row r="207" spans="1:14" x14ac:dyDescent="0.25">
      <c r="A207" t="s">
        <v>249</v>
      </c>
      <c r="B207" s="1">
        <v>45721</v>
      </c>
      <c r="C207">
        <f>IF(tbl_main[[#This Row],[Date]]="","",YEAR(B207))</f>
        <v>2025</v>
      </c>
      <c r="D207" t="str">
        <f>IF(tbl_main[[#This Row],[Date]]="","",TEXT(B207,"mmm"))</f>
        <v>Mar</v>
      </c>
      <c r="E207" t="str">
        <f>IF(tbl_main[[#This Row],[Date]]="","",TEXT(B207,"DDD"))</f>
        <v>Wed</v>
      </c>
      <c r="F207" t="s">
        <v>27</v>
      </c>
      <c r="G207" t="s">
        <v>40</v>
      </c>
      <c r="H207" s="3" t="s">
        <v>24</v>
      </c>
      <c r="I207" s="3" t="s">
        <v>35</v>
      </c>
      <c r="J207" s="3" t="s">
        <v>17</v>
      </c>
      <c r="K207" s="3">
        <f>_xlfn.XLOOKUP(tbl_main[[#This Row],[Service]],tbl_service[Service],tbl_service[Price],"")</f>
        <v>80</v>
      </c>
      <c r="L207" s="3">
        <v>2</v>
      </c>
      <c r="M207" s="3">
        <f>IF(AND(tbl_main[[#This Row],[Price]]="",tbl_main[[#This Row],[Qty]]=""),"",tbl_main[[#This Row],[Price]]*tbl_main[[#This Row],[Qty]])</f>
        <v>160</v>
      </c>
      <c r="N207" s="3">
        <f>_xlfn.LET(_xlpm.x,_xlfn.XLOOKUP(tbl_main[[#This Row],[Service]],tbl_service[Service],tbl_service[Profit],""),
               IF(tbl_main[[#This Row],[Qty]]="","",_xlpm.x*tbl_main[[#This Row],[Qty]]))</f>
        <v>72</v>
      </c>
    </row>
    <row r="208" spans="1:14" x14ac:dyDescent="0.25">
      <c r="A208" t="s">
        <v>250</v>
      </c>
      <c r="B208" s="1">
        <v>45721</v>
      </c>
      <c r="C208">
        <f>IF(tbl_main[[#This Row],[Date]]="","",YEAR(B208))</f>
        <v>2025</v>
      </c>
      <c r="D208" t="str">
        <f>IF(tbl_main[[#This Row],[Date]]="","",TEXT(B208,"mmm"))</f>
        <v>Mar</v>
      </c>
      <c r="E208" t="str">
        <f>IF(tbl_main[[#This Row],[Date]]="","",TEXT(B208,"DDD"))</f>
        <v>Wed</v>
      </c>
      <c r="F208" t="s">
        <v>13</v>
      </c>
      <c r="G208" t="s">
        <v>33</v>
      </c>
      <c r="H208" s="3" t="s">
        <v>22</v>
      </c>
      <c r="I208" s="3" t="s">
        <v>35</v>
      </c>
      <c r="J208" s="3" t="s">
        <v>32</v>
      </c>
      <c r="K208" s="3">
        <f>_xlfn.XLOOKUP(tbl_main[[#This Row],[Service]],tbl_service[Service],tbl_service[Price],"")</f>
        <v>150</v>
      </c>
      <c r="L208" s="3">
        <v>1</v>
      </c>
      <c r="M208" s="3">
        <f>IF(AND(tbl_main[[#This Row],[Price]]="",tbl_main[[#This Row],[Qty]]=""),"",tbl_main[[#This Row],[Price]]*tbl_main[[#This Row],[Qty]])</f>
        <v>150</v>
      </c>
      <c r="N208" s="3">
        <f>_xlfn.LET(_xlpm.x,_xlfn.XLOOKUP(tbl_main[[#This Row],[Service]],tbl_service[Service],tbl_service[Profit],""),
               IF(tbl_main[[#This Row],[Qty]]="","",_xlpm.x*tbl_main[[#This Row],[Qty]]))</f>
        <v>67</v>
      </c>
    </row>
    <row r="209" spans="1:14" x14ac:dyDescent="0.25">
      <c r="A209" t="s">
        <v>251</v>
      </c>
      <c r="B209" s="1">
        <v>45722</v>
      </c>
      <c r="C209">
        <f>IF(tbl_main[[#This Row],[Date]]="","",YEAR(B209))</f>
        <v>2025</v>
      </c>
      <c r="D209" t="str">
        <f>IF(tbl_main[[#This Row],[Date]]="","",TEXT(B209,"mmm"))</f>
        <v>Mar</v>
      </c>
      <c r="E209" t="str">
        <f>IF(tbl_main[[#This Row],[Date]]="","",TEXT(B209,"DDD"))</f>
        <v>Thu</v>
      </c>
      <c r="F209" t="s">
        <v>30</v>
      </c>
      <c r="G209" t="s">
        <v>36</v>
      </c>
      <c r="H209" s="3" t="s">
        <v>22</v>
      </c>
      <c r="I209" s="3" t="s">
        <v>23</v>
      </c>
      <c r="J209" s="3" t="s">
        <v>32</v>
      </c>
      <c r="K209" s="3">
        <f>_xlfn.XLOOKUP(tbl_main[[#This Row],[Service]],tbl_service[Service],tbl_service[Price],"")</f>
        <v>150</v>
      </c>
      <c r="L209" s="3">
        <v>2</v>
      </c>
      <c r="M209" s="3">
        <f>IF(AND(tbl_main[[#This Row],[Price]]="",tbl_main[[#This Row],[Qty]]=""),"",tbl_main[[#This Row],[Price]]*tbl_main[[#This Row],[Qty]])</f>
        <v>300</v>
      </c>
      <c r="N209" s="3">
        <f>_xlfn.LET(_xlpm.x,_xlfn.XLOOKUP(tbl_main[[#This Row],[Service]],tbl_service[Service],tbl_service[Profit],""),
               IF(tbl_main[[#This Row],[Qty]]="","",_xlpm.x*tbl_main[[#This Row],[Qty]]))</f>
        <v>134</v>
      </c>
    </row>
    <row r="210" spans="1:14" x14ac:dyDescent="0.25">
      <c r="A210" t="s">
        <v>252</v>
      </c>
      <c r="B210" s="1">
        <v>45722</v>
      </c>
      <c r="C210">
        <f>IF(tbl_main[[#This Row],[Date]]="","",YEAR(B210))</f>
        <v>2025</v>
      </c>
      <c r="D210" t="str">
        <f>IF(tbl_main[[#This Row],[Date]]="","",TEXT(B210,"mmm"))</f>
        <v>Mar</v>
      </c>
      <c r="E210" t="str">
        <f>IF(tbl_main[[#This Row],[Date]]="","",TEXT(B210,"DDD"))</f>
        <v>Thu</v>
      </c>
      <c r="F210" t="s">
        <v>13</v>
      </c>
      <c r="G210" t="s">
        <v>33</v>
      </c>
      <c r="H210" s="3" t="s">
        <v>15</v>
      </c>
      <c r="I210" s="3" t="s">
        <v>37</v>
      </c>
      <c r="J210" s="3" t="s">
        <v>32</v>
      </c>
      <c r="K210" s="3">
        <f>_xlfn.XLOOKUP(tbl_main[[#This Row],[Service]],tbl_service[Service],tbl_service[Price],"")</f>
        <v>500</v>
      </c>
      <c r="L210" s="3">
        <v>1</v>
      </c>
      <c r="M210" s="3">
        <f>IF(AND(tbl_main[[#This Row],[Price]]="",tbl_main[[#This Row],[Qty]]=""),"",tbl_main[[#This Row],[Price]]*tbl_main[[#This Row],[Qty]])</f>
        <v>500</v>
      </c>
      <c r="N210" s="3">
        <f>_xlfn.LET(_xlpm.x,_xlfn.XLOOKUP(tbl_main[[#This Row],[Service]],tbl_service[Service],tbl_service[Profit],""),
               IF(tbl_main[[#This Row],[Qty]]="","",_xlpm.x*tbl_main[[#This Row],[Qty]]))</f>
        <v>225</v>
      </c>
    </row>
    <row r="211" spans="1:14" x14ac:dyDescent="0.25">
      <c r="A211" t="s">
        <v>253</v>
      </c>
      <c r="B211" s="1">
        <v>45723</v>
      </c>
      <c r="C211">
        <f>IF(tbl_main[[#This Row],[Date]]="","",YEAR(B211))</f>
        <v>2025</v>
      </c>
      <c r="D211" t="str">
        <f>IF(tbl_main[[#This Row],[Date]]="","",TEXT(B211,"mmm"))</f>
        <v>Mar</v>
      </c>
      <c r="E211" t="str">
        <f>IF(tbl_main[[#This Row],[Date]]="","",TEXT(B211,"DDD"))</f>
        <v>Fri</v>
      </c>
      <c r="F211" t="s">
        <v>13</v>
      </c>
      <c r="G211" t="s">
        <v>33</v>
      </c>
      <c r="H211" s="3" t="s">
        <v>18</v>
      </c>
      <c r="I211" s="3" t="s">
        <v>38</v>
      </c>
      <c r="J211" s="3" t="s">
        <v>25</v>
      </c>
      <c r="K211" s="3">
        <f>_xlfn.XLOOKUP(tbl_main[[#This Row],[Service]],tbl_service[Service],tbl_service[Price],"")</f>
        <v>500</v>
      </c>
      <c r="L211" s="3">
        <v>1</v>
      </c>
      <c r="M211" s="3">
        <f>IF(AND(tbl_main[[#This Row],[Price]]="",tbl_main[[#This Row],[Qty]]=""),"",tbl_main[[#This Row],[Price]]*tbl_main[[#This Row],[Qty]])</f>
        <v>500</v>
      </c>
      <c r="N211" s="3">
        <f>_xlfn.LET(_xlpm.x,_xlfn.XLOOKUP(tbl_main[[#This Row],[Service]],tbl_service[Service],tbl_service[Profit],""),
               IF(tbl_main[[#This Row],[Qty]]="","",_xlpm.x*tbl_main[[#This Row],[Qty]]))</f>
        <v>157</v>
      </c>
    </row>
    <row r="212" spans="1:14" x14ac:dyDescent="0.25">
      <c r="A212" t="s">
        <v>254</v>
      </c>
      <c r="B212" s="1">
        <v>45723</v>
      </c>
      <c r="C212">
        <f>IF(tbl_main[[#This Row],[Date]]="","",YEAR(B212))</f>
        <v>2025</v>
      </c>
      <c r="D212" t="str">
        <f>IF(tbl_main[[#This Row],[Date]]="","",TEXT(B212,"mmm"))</f>
        <v>Mar</v>
      </c>
      <c r="E212" t="str">
        <f>IF(tbl_main[[#This Row],[Date]]="","",TEXT(B212,"DDD"))</f>
        <v>Fri</v>
      </c>
      <c r="F212" t="s">
        <v>13</v>
      </c>
      <c r="G212" t="s">
        <v>14</v>
      </c>
      <c r="H212" s="3" t="s">
        <v>22</v>
      </c>
      <c r="I212" s="3" t="s">
        <v>16</v>
      </c>
      <c r="J212" s="3" t="s">
        <v>25</v>
      </c>
      <c r="K212" s="3">
        <f>_xlfn.XLOOKUP(tbl_main[[#This Row],[Service]],tbl_service[Service],tbl_service[Price],"")</f>
        <v>150</v>
      </c>
      <c r="L212" s="3">
        <v>1</v>
      </c>
      <c r="M212" s="3">
        <f>IF(AND(tbl_main[[#This Row],[Price]]="",tbl_main[[#This Row],[Qty]]=""),"",tbl_main[[#This Row],[Price]]*tbl_main[[#This Row],[Qty]])</f>
        <v>150</v>
      </c>
      <c r="N212" s="3">
        <f>_xlfn.LET(_xlpm.x,_xlfn.XLOOKUP(tbl_main[[#This Row],[Service]],tbl_service[Service],tbl_service[Profit],""),
               IF(tbl_main[[#This Row],[Qty]]="","",_xlpm.x*tbl_main[[#This Row],[Qty]]))</f>
        <v>67</v>
      </c>
    </row>
    <row r="213" spans="1:14" x14ac:dyDescent="0.25">
      <c r="A213" t="s">
        <v>255</v>
      </c>
      <c r="B213" s="1">
        <v>45724</v>
      </c>
      <c r="C213">
        <f>IF(tbl_main[[#This Row],[Date]]="","",YEAR(B213))</f>
        <v>2025</v>
      </c>
      <c r="D213" t="str">
        <f>IF(tbl_main[[#This Row],[Date]]="","",TEXT(B213,"mmm"))</f>
        <v>Mar</v>
      </c>
      <c r="E213" t="str">
        <f>IF(tbl_main[[#This Row],[Date]]="","",TEXT(B213,"DDD"))</f>
        <v>Sat</v>
      </c>
      <c r="F213" t="s">
        <v>13</v>
      </c>
      <c r="G213" t="s">
        <v>33</v>
      </c>
      <c r="H213" s="3" t="s">
        <v>34</v>
      </c>
      <c r="I213" s="3" t="s">
        <v>19</v>
      </c>
      <c r="J213" s="3" t="s">
        <v>32</v>
      </c>
      <c r="K213" s="3">
        <f>_xlfn.XLOOKUP(tbl_main[[#This Row],[Service]],tbl_service[Service],tbl_service[Price],"")</f>
        <v>100</v>
      </c>
      <c r="L213" s="3">
        <v>2</v>
      </c>
      <c r="M213" s="3">
        <f>IF(AND(tbl_main[[#This Row],[Price]]="",tbl_main[[#This Row],[Qty]]=""),"",tbl_main[[#This Row],[Price]]*tbl_main[[#This Row],[Qty]])</f>
        <v>200</v>
      </c>
      <c r="N213" s="3">
        <f>_xlfn.LET(_xlpm.x,_xlfn.XLOOKUP(tbl_main[[#This Row],[Service]],tbl_service[Service],tbl_service[Profit],""),
               IF(tbl_main[[#This Row],[Qty]]="","",_xlpm.x*tbl_main[[#This Row],[Qty]]))</f>
        <v>90</v>
      </c>
    </row>
    <row r="214" spans="1:14" x14ac:dyDescent="0.25">
      <c r="A214" t="s">
        <v>256</v>
      </c>
      <c r="B214" s="1">
        <v>45724</v>
      </c>
      <c r="C214">
        <f>IF(tbl_main[[#This Row],[Date]]="","",YEAR(B214))</f>
        <v>2025</v>
      </c>
      <c r="D214" t="str">
        <f>IF(tbl_main[[#This Row],[Date]]="","",TEXT(B214,"mmm"))</f>
        <v>Mar</v>
      </c>
      <c r="E214" t="str">
        <f>IF(tbl_main[[#This Row],[Date]]="","",TEXT(B214,"DDD"))</f>
        <v>Sat</v>
      </c>
      <c r="F214" t="s">
        <v>13</v>
      </c>
      <c r="G214" t="s">
        <v>33</v>
      </c>
      <c r="H214" s="3" t="s">
        <v>24</v>
      </c>
      <c r="I214" s="3" t="s">
        <v>23</v>
      </c>
      <c r="J214" s="3" t="s">
        <v>17</v>
      </c>
      <c r="K214" s="3">
        <f>_xlfn.XLOOKUP(tbl_main[[#This Row],[Service]],tbl_service[Service],tbl_service[Price],"")</f>
        <v>80</v>
      </c>
      <c r="L214" s="3">
        <v>1</v>
      </c>
      <c r="M214" s="3">
        <f>IF(AND(tbl_main[[#This Row],[Price]]="",tbl_main[[#This Row],[Qty]]=""),"",tbl_main[[#This Row],[Price]]*tbl_main[[#This Row],[Qty]])</f>
        <v>80</v>
      </c>
      <c r="N214" s="3">
        <f>_xlfn.LET(_xlpm.x,_xlfn.XLOOKUP(tbl_main[[#This Row],[Service]],tbl_service[Service],tbl_service[Profit],""),
               IF(tbl_main[[#This Row],[Qty]]="","",_xlpm.x*tbl_main[[#This Row],[Qty]]))</f>
        <v>36</v>
      </c>
    </row>
    <row r="215" spans="1:14" x14ac:dyDescent="0.25">
      <c r="A215" t="s">
        <v>257</v>
      </c>
      <c r="B215" s="1">
        <v>45724</v>
      </c>
      <c r="C215">
        <f>IF(tbl_main[[#This Row],[Date]]="","",YEAR(B215))</f>
        <v>2025</v>
      </c>
      <c r="D215" t="str">
        <f>IF(tbl_main[[#This Row],[Date]]="","",TEXT(B215,"mmm"))</f>
        <v>Mar</v>
      </c>
      <c r="E215" t="str">
        <f>IF(tbl_main[[#This Row],[Date]]="","",TEXT(B215,"DDD"))</f>
        <v>Sat</v>
      </c>
      <c r="F215" t="s">
        <v>20</v>
      </c>
      <c r="G215" t="s">
        <v>29</v>
      </c>
      <c r="H215" s="3" t="s">
        <v>15</v>
      </c>
      <c r="I215" s="3" t="s">
        <v>41</v>
      </c>
      <c r="J215" s="3" t="s">
        <v>25</v>
      </c>
      <c r="K215" s="3">
        <f>_xlfn.XLOOKUP(tbl_main[[#This Row],[Service]],tbl_service[Service],tbl_service[Price],"")</f>
        <v>500</v>
      </c>
      <c r="L215" s="3">
        <v>2</v>
      </c>
      <c r="M215" s="3">
        <f>IF(AND(tbl_main[[#This Row],[Price]]="",tbl_main[[#This Row],[Qty]]=""),"",tbl_main[[#This Row],[Price]]*tbl_main[[#This Row],[Qty]])</f>
        <v>1000</v>
      </c>
      <c r="N215" s="3">
        <f>_xlfn.LET(_xlpm.x,_xlfn.XLOOKUP(tbl_main[[#This Row],[Service]],tbl_service[Service],tbl_service[Profit],""),
               IF(tbl_main[[#This Row],[Qty]]="","",_xlpm.x*tbl_main[[#This Row],[Qty]]))</f>
        <v>450</v>
      </c>
    </row>
    <row r="216" spans="1:14" x14ac:dyDescent="0.25">
      <c r="A216" t="s">
        <v>258</v>
      </c>
      <c r="B216" s="1">
        <v>45724</v>
      </c>
      <c r="C216">
        <f>IF(tbl_main[[#This Row],[Date]]="","",YEAR(B216))</f>
        <v>2025</v>
      </c>
      <c r="D216" t="str">
        <f>IF(tbl_main[[#This Row],[Date]]="","",TEXT(B216,"mmm"))</f>
        <v>Mar</v>
      </c>
      <c r="E216" t="str">
        <f>IF(tbl_main[[#This Row],[Date]]="","",TEXT(B216,"DDD"))</f>
        <v>Sat</v>
      </c>
      <c r="F216" t="s">
        <v>13</v>
      </c>
      <c r="G216" t="s">
        <v>14</v>
      </c>
      <c r="H216" s="3" t="s">
        <v>22</v>
      </c>
      <c r="I216" s="3" t="s">
        <v>41</v>
      </c>
      <c r="J216" s="3" t="s">
        <v>32</v>
      </c>
      <c r="K216" s="3">
        <f>_xlfn.XLOOKUP(tbl_main[[#This Row],[Service]],tbl_service[Service],tbl_service[Price],"")</f>
        <v>150</v>
      </c>
      <c r="L216" s="3">
        <v>2</v>
      </c>
      <c r="M216" s="3">
        <f>IF(AND(tbl_main[[#This Row],[Price]]="",tbl_main[[#This Row],[Qty]]=""),"",tbl_main[[#This Row],[Price]]*tbl_main[[#This Row],[Qty]])</f>
        <v>300</v>
      </c>
      <c r="N216" s="3">
        <f>_xlfn.LET(_xlpm.x,_xlfn.XLOOKUP(tbl_main[[#This Row],[Service]],tbl_service[Service],tbl_service[Profit],""),
               IF(tbl_main[[#This Row],[Qty]]="","",_xlpm.x*tbl_main[[#This Row],[Qty]]))</f>
        <v>134</v>
      </c>
    </row>
    <row r="217" spans="1:14" x14ac:dyDescent="0.25">
      <c r="A217" t="s">
        <v>259</v>
      </c>
      <c r="B217" s="1">
        <v>45725</v>
      </c>
      <c r="C217">
        <f>IF(tbl_main[[#This Row],[Date]]="","",YEAR(B217))</f>
        <v>2025</v>
      </c>
      <c r="D217" t="str">
        <f>IF(tbl_main[[#This Row],[Date]]="","",TEXT(B217,"mmm"))</f>
        <v>Mar</v>
      </c>
      <c r="E217" t="str">
        <f>IF(tbl_main[[#This Row],[Date]]="","",TEXT(B217,"DDD"))</f>
        <v>Sun</v>
      </c>
      <c r="F217" t="s">
        <v>13</v>
      </c>
      <c r="G217" t="s">
        <v>33</v>
      </c>
      <c r="H217" s="3" t="s">
        <v>24</v>
      </c>
      <c r="I217" s="3" t="s">
        <v>35</v>
      </c>
      <c r="J217" s="3" t="s">
        <v>17</v>
      </c>
      <c r="K217" s="3">
        <f>_xlfn.XLOOKUP(tbl_main[[#This Row],[Service]],tbl_service[Service],tbl_service[Price],"")</f>
        <v>80</v>
      </c>
      <c r="L217" s="3">
        <v>2</v>
      </c>
      <c r="M217" s="3">
        <f>IF(AND(tbl_main[[#This Row],[Price]]="",tbl_main[[#This Row],[Qty]]=""),"",tbl_main[[#This Row],[Price]]*tbl_main[[#This Row],[Qty]])</f>
        <v>160</v>
      </c>
      <c r="N217" s="3">
        <f>_xlfn.LET(_xlpm.x,_xlfn.XLOOKUP(tbl_main[[#This Row],[Service]],tbl_service[Service],tbl_service[Profit],""),
               IF(tbl_main[[#This Row],[Qty]]="","",_xlpm.x*tbl_main[[#This Row],[Qty]]))</f>
        <v>72</v>
      </c>
    </row>
    <row r="218" spans="1:14" x14ac:dyDescent="0.25">
      <c r="A218" t="s">
        <v>260</v>
      </c>
      <c r="B218" s="1">
        <v>45725</v>
      </c>
      <c r="C218">
        <f>IF(tbl_main[[#This Row],[Date]]="","",YEAR(B218))</f>
        <v>2025</v>
      </c>
      <c r="D218" t="str">
        <f>IF(tbl_main[[#This Row],[Date]]="","",TEXT(B218,"mmm"))</f>
        <v>Mar</v>
      </c>
      <c r="E218" t="str">
        <f>IF(tbl_main[[#This Row],[Date]]="","",TEXT(B218,"DDD"))</f>
        <v>Sun</v>
      </c>
      <c r="F218" t="s">
        <v>27</v>
      </c>
      <c r="G218" t="s">
        <v>40</v>
      </c>
      <c r="H218" s="3" t="s">
        <v>26</v>
      </c>
      <c r="I218" s="3" t="s">
        <v>35</v>
      </c>
      <c r="J218" s="3" t="s">
        <v>25</v>
      </c>
      <c r="K218" s="3">
        <f>_xlfn.XLOOKUP(tbl_main[[#This Row],[Service]],tbl_service[Service],tbl_service[Price],"")</f>
        <v>200</v>
      </c>
      <c r="L218" s="3">
        <v>1</v>
      </c>
      <c r="M218" s="3">
        <f>IF(AND(tbl_main[[#This Row],[Price]]="",tbl_main[[#This Row],[Qty]]=""),"",tbl_main[[#This Row],[Price]]*tbl_main[[#This Row],[Qty]])</f>
        <v>200</v>
      </c>
      <c r="N218" s="3">
        <f>_xlfn.LET(_xlpm.x,_xlfn.XLOOKUP(tbl_main[[#This Row],[Service]],tbl_service[Service],tbl_service[Profit],""),
               IF(tbl_main[[#This Row],[Qty]]="","",_xlpm.x*tbl_main[[#This Row],[Qty]]))</f>
        <v>90</v>
      </c>
    </row>
    <row r="219" spans="1:14" x14ac:dyDescent="0.25">
      <c r="A219" t="s">
        <v>261</v>
      </c>
      <c r="B219" s="1">
        <v>45726</v>
      </c>
      <c r="C219">
        <f>IF(tbl_main[[#This Row],[Date]]="","",YEAR(B219))</f>
        <v>2025</v>
      </c>
      <c r="D219" t="str">
        <f>IF(tbl_main[[#This Row],[Date]]="","",TEXT(B219,"mmm"))</f>
        <v>Mar</v>
      </c>
      <c r="E219" t="str">
        <f>IF(tbl_main[[#This Row],[Date]]="","",TEXT(B219,"DDD"))</f>
        <v>Mon</v>
      </c>
      <c r="F219" t="s">
        <v>13</v>
      </c>
      <c r="G219" t="s">
        <v>33</v>
      </c>
      <c r="H219" s="3" t="s">
        <v>22</v>
      </c>
      <c r="I219" s="3" t="s">
        <v>23</v>
      </c>
      <c r="J219" s="3" t="s">
        <v>25</v>
      </c>
      <c r="K219" s="3">
        <f>_xlfn.XLOOKUP(tbl_main[[#This Row],[Service]],tbl_service[Service],tbl_service[Price],"")</f>
        <v>150</v>
      </c>
      <c r="L219" s="3">
        <v>2</v>
      </c>
      <c r="M219" s="3">
        <f>IF(AND(tbl_main[[#This Row],[Price]]="",tbl_main[[#This Row],[Qty]]=""),"",tbl_main[[#This Row],[Price]]*tbl_main[[#This Row],[Qty]])</f>
        <v>300</v>
      </c>
      <c r="N219" s="3">
        <f>_xlfn.LET(_xlpm.x,_xlfn.XLOOKUP(tbl_main[[#This Row],[Service]],tbl_service[Service],tbl_service[Profit],""),
               IF(tbl_main[[#This Row],[Qty]]="","",_xlpm.x*tbl_main[[#This Row],[Qty]]))</f>
        <v>134</v>
      </c>
    </row>
    <row r="220" spans="1:14" x14ac:dyDescent="0.25">
      <c r="A220" t="s">
        <v>262</v>
      </c>
      <c r="B220" s="1">
        <v>45726</v>
      </c>
      <c r="C220">
        <f>IF(tbl_main[[#This Row],[Date]]="","",YEAR(B220))</f>
        <v>2025</v>
      </c>
      <c r="D220" t="str">
        <f>IF(tbl_main[[#This Row],[Date]]="","",TEXT(B220,"mmm"))</f>
        <v>Mar</v>
      </c>
      <c r="E220" t="str">
        <f>IF(tbl_main[[#This Row],[Date]]="","",TEXT(B220,"DDD"))</f>
        <v>Mon</v>
      </c>
      <c r="F220" t="s">
        <v>27</v>
      </c>
      <c r="G220" t="s">
        <v>28</v>
      </c>
      <c r="H220" s="3" t="s">
        <v>18</v>
      </c>
      <c r="I220" s="3" t="s">
        <v>37</v>
      </c>
      <c r="J220" s="3" t="s">
        <v>17</v>
      </c>
      <c r="K220" s="3">
        <f>_xlfn.XLOOKUP(tbl_main[[#This Row],[Service]],tbl_service[Service],tbl_service[Price],"")</f>
        <v>500</v>
      </c>
      <c r="L220" s="3">
        <v>2</v>
      </c>
      <c r="M220" s="3">
        <f>IF(AND(tbl_main[[#This Row],[Price]]="",tbl_main[[#This Row],[Qty]]=""),"",tbl_main[[#This Row],[Price]]*tbl_main[[#This Row],[Qty]])</f>
        <v>1000</v>
      </c>
      <c r="N220" s="3">
        <f>_xlfn.LET(_xlpm.x,_xlfn.XLOOKUP(tbl_main[[#This Row],[Service]],tbl_service[Service],tbl_service[Profit],""),
               IF(tbl_main[[#This Row],[Qty]]="","",_xlpm.x*tbl_main[[#This Row],[Qty]]))</f>
        <v>314</v>
      </c>
    </row>
    <row r="221" spans="1:14" x14ac:dyDescent="0.25">
      <c r="A221" t="s">
        <v>263</v>
      </c>
      <c r="B221" s="1">
        <v>45726</v>
      </c>
      <c r="C221">
        <f>IF(tbl_main[[#This Row],[Date]]="","",YEAR(B221))</f>
        <v>2025</v>
      </c>
      <c r="D221" t="str">
        <f>IF(tbl_main[[#This Row],[Date]]="","",TEXT(B221,"mmm"))</f>
        <v>Mar</v>
      </c>
      <c r="E221" t="str">
        <f>IF(tbl_main[[#This Row],[Date]]="","",TEXT(B221,"DDD"))</f>
        <v>Mon</v>
      </c>
      <c r="F221" t="s">
        <v>20</v>
      </c>
      <c r="G221" t="s">
        <v>39</v>
      </c>
      <c r="H221" s="3" t="s">
        <v>18</v>
      </c>
      <c r="I221" s="3" t="s">
        <v>38</v>
      </c>
      <c r="J221" s="3" t="s">
        <v>17</v>
      </c>
      <c r="K221" s="3">
        <f>_xlfn.XLOOKUP(tbl_main[[#This Row],[Service]],tbl_service[Service],tbl_service[Price],"")</f>
        <v>500</v>
      </c>
      <c r="L221" s="3">
        <v>2</v>
      </c>
      <c r="M221" s="3">
        <f>IF(AND(tbl_main[[#This Row],[Price]]="",tbl_main[[#This Row],[Qty]]=""),"",tbl_main[[#This Row],[Price]]*tbl_main[[#This Row],[Qty]])</f>
        <v>1000</v>
      </c>
      <c r="N221" s="3">
        <f>_xlfn.LET(_xlpm.x,_xlfn.XLOOKUP(tbl_main[[#This Row],[Service]],tbl_service[Service],tbl_service[Profit],""),
               IF(tbl_main[[#This Row],[Qty]]="","",_xlpm.x*tbl_main[[#This Row],[Qty]]))</f>
        <v>314</v>
      </c>
    </row>
    <row r="222" spans="1:14" x14ac:dyDescent="0.25">
      <c r="A222" t="s">
        <v>264</v>
      </c>
      <c r="B222" s="1">
        <v>45727</v>
      </c>
      <c r="C222">
        <f>IF(tbl_main[[#This Row],[Date]]="","",YEAR(B222))</f>
        <v>2025</v>
      </c>
      <c r="D222" t="str">
        <f>IF(tbl_main[[#This Row],[Date]]="","",TEXT(B222,"mmm"))</f>
        <v>Mar</v>
      </c>
      <c r="E222" t="str">
        <f>IF(tbl_main[[#This Row],[Date]]="","",TEXT(B222,"DDD"))</f>
        <v>Tue</v>
      </c>
      <c r="F222" t="s">
        <v>30</v>
      </c>
      <c r="G222" t="s">
        <v>31</v>
      </c>
      <c r="H222" s="3" t="s">
        <v>24</v>
      </c>
      <c r="I222" s="3" t="s">
        <v>16</v>
      </c>
      <c r="J222" s="3" t="s">
        <v>17</v>
      </c>
      <c r="K222" s="3">
        <f>_xlfn.XLOOKUP(tbl_main[[#This Row],[Service]],tbl_service[Service],tbl_service[Price],"")</f>
        <v>80</v>
      </c>
      <c r="L222" s="3">
        <v>1</v>
      </c>
      <c r="M222" s="3">
        <f>IF(AND(tbl_main[[#This Row],[Price]]="",tbl_main[[#This Row],[Qty]]=""),"",tbl_main[[#This Row],[Price]]*tbl_main[[#This Row],[Qty]])</f>
        <v>80</v>
      </c>
      <c r="N222" s="3">
        <f>_xlfn.LET(_xlpm.x,_xlfn.XLOOKUP(tbl_main[[#This Row],[Service]],tbl_service[Service],tbl_service[Profit],""),
               IF(tbl_main[[#This Row],[Qty]]="","",_xlpm.x*tbl_main[[#This Row],[Qty]]))</f>
        <v>36</v>
      </c>
    </row>
    <row r="223" spans="1:14" x14ac:dyDescent="0.25">
      <c r="A223" t="s">
        <v>265</v>
      </c>
      <c r="B223" s="1">
        <v>45727</v>
      </c>
      <c r="C223">
        <f>IF(tbl_main[[#This Row],[Date]]="","",YEAR(B223))</f>
        <v>2025</v>
      </c>
      <c r="D223" t="str">
        <f>IF(tbl_main[[#This Row],[Date]]="","",TEXT(B223,"mmm"))</f>
        <v>Mar</v>
      </c>
      <c r="E223" t="str">
        <f>IF(tbl_main[[#This Row],[Date]]="","",TEXT(B223,"DDD"))</f>
        <v>Tue</v>
      </c>
      <c r="F223" t="s">
        <v>30</v>
      </c>
      <c r="G223" t="s">
        <v>31</v>
      </c>
      <c r="H223" s="3" t="s">
        <v>18</v>
      </c>
      <c r="I223" s="3" t="s">
        <v>19</v>
      </c>
      <c r="J223" s="3" t="s">
        <v>25</v>
      </c>
      <c r="K223" s="3">
        <f>_xlfn.XLOOKUP(tbl_main[[#This Row],[Service]],tbl_service[Service],tbl_service[Price],"")</f>
        <v>500</v>
      </c>
      <c r="L223" s="3">
        <v>1</v>
      </c>
      <c r="M223" s="3">
        <f>IF(AND(tbl_main[[#This Row],[Price]]="",tbl_main[[#This Row],[Qty]]=""),"",tbl_main[[#This Row],[Price]]*tbl_main[[#This Row],[Qty]])</f>
        <v>500</v>
      </c>
      <c r="N223" s="3">
        <f>_xlfn.LET(_xlpm.x,_xlfn.XLOOKUP(tbl_main[[#This Row],[Service]],tbl_service[Service],tbl_service[Profit],""),
               IF(tbl_main[[#This Row],[Qty]]="","",_xlpm.x*tbl_main[[#This Row],[Qty]]))</f>
        <v>157</v>
      </c>
    </row>
    <row r="224" spans="1:14" x14ac:dyDescent="0.25">
      <c r="A224" t="s">
        <v>266</v>
      </c>
      <c r="B224" s="1">
        <v>45727</v>
      </c>
      <c r="C224">
        <f>IF(tbl_main[[#This Row],[Date]]="","",YEAR(B224))</f>
        <v>2025</v>
      </c>
      <c r="D224" t="str">
        <f>IF(tbl_main[[#This Row],[Date]]="","",TEXT(B224,"mmm"))</f>
        <v>Mar</v>
      </c>
      <c r="E224" t="str">
        <f>IF(tbl_main[[#This Row],[Date]]="","",TEXT(B224,"DDD"))</f>
        <v>Tue</v>
      </c>
      <c r="F224" t="s">
        <v>30</v>
      </c>
      <c r="G224" t="s">
        <v>31</v>
      </c>
      <c r="H224" s="3" t="s">
        <v>34</v>
      </c>
      <c r="I224" s="3" t="s">
        <v>42</v>
      </c>
      <c r="J224" s="3" t="s">
        <v>17</v>
      </c>
      <c r="K224" s="3">
        <f>_xlfn.XLOOKUP(tbl_main[[#This Row],[Service]],tbl_service[Service],tbl_service[Price],"")</f>
        <v>100</v>
      </c>
      <c r="L224" s="3">
        <v>2</v>
      </c>
      <c r="M224" s="3">
        <f>IF(AND(tbl_main[[#This Row],[Price]]="",tbl_main[[#This Row],[Qty]]=""),"",tbl_main[[#This Row],[Price]]*tbl_main[[#This Row],[Qty]])</f>
        <v>200</v>
      </c>
      <c r="N224" s="3">
        <f>_xlfn.LET(_xlpm.x,_xlfn.XLOOKUP(tbl_main[[#This Row],[Service]],tbl_service[Service],tbl_service[Profit],""),
               IF(tbl_main[[#This Row],[Qty]]="","",_xlpm.x*tbl_main[[#This Row],[Qty]]))</f>
        <v>90</v>
      </c>
    </row>
    <row r="225" spans="1:14" x14ac:dyDescent="0.25">
      <c r="A225" t="s">
        <v>267</v>
      </c>
      <c r="B225" s="1">
        <v>45727</v>
      </c>
      <c r="C225">
        <f>IF(tbl_main[[#This Row],[Date]]="","",YEAR(B225))</f>
        <v>2025</v>
      </c>
      <c r="D225" t="str">
        <f>IF(tbl_main[[#This Row],[Date]]="","",TEXT(B225,"mmm"))</f>
        <v>Mar</v>
      </c>
      <c r="E225" t="str">
        <f>IF(tbl_main[[#This Row],[Date]]="","",TEXT(B225,"DDD"))</f>
        <v>Tue</v>
      </c>
      <c r="F225" t="s">
        <v>27</v>
      </c>
      <c r="G225" t="s">
        <v>40</v>
      </c>
      <c r="H225" s="3" t="s">
        <v>15</v>
      </c>
      <c r="I225" s="3" t="s">
        <v>41</v>
      </c>
      <c r="J225" s="3" t="s">
        <v>17</v>
      </c>
      <c r="K225" s="3">
        <f>_xlfn.XLOOKUP(tbl_main[[#This Row],[Service]],tbl_service[Service],tbl_service[Price],"")</f>
        <v>500</v>
      </c>
      <c r="L225" s="3">
        <v>1</v>
      </c>
      <c r="M225" s="3">
        <f>IF(AND(tbl_main[[#This Row],[Price]]="",tbl_main[[#This Row],[Qty]]=""),"",tbl_main[[#This Row],[Price]]*tbl_main[[#This Row],[Qty]])</f>
        <v>500</v>
      </c>
      <c r="N225" s="3">
        <f>_xlfn.LET(_xlpm.x,_xlfn.XLOOKUP(tbl_main[[#This Row],[Service]],tbl_service[Service],tbl_service[Profit],""),
               IF(tbl_main[[#This Row],[Qty]]="","",_xlpm.x*tbl_main[[#This Row],[Qty]]))</f>
        <v>225</v>
      </c>
    </row>
    <row r="226" spans="1:14" x14ac:dyDescent="0.25">
      <c r="A226" t="s">
        <v>268</v>
      </c>
      <c r="B226" s="1">
        <v>45728</v>
      </c>
      <c r="C226">
        <f>IF(tbl_main[[#This Row],[Date]]="","",YEAR(B226))</f>
        <v>2025</v>
      </c>
      <c r="D226" t="str">
        <f>IF(tbl_main[[#This Row],[Date]]="","",TEXT(B226,"mmm"))</f>
        <v>Mar</v>
      </c>
      <c r="E226" t="str">
        <f>IF(tbl_main[[#This Row],[Date]]="","",TEXT(B226,"DDD"))</f>
        <v>Wed</v>
      </c>
      <c r="F226" t="s">
        <v>13</v>
      </c>
      <c r="G226" t="s">
        <v>33</v>
      </c>
      <c r="H226" s="3" t="s">
        <v>34</v>
      </c>
      <c r="I226" s="3" t="s">
        <v>41</v>
      </c>
      <c r="J226" s="3" t="s">
        <v>25</v>
      </c>
      <c r="K226" s="3">
        <f>_xlfn.XLOOKUP(tbl_main[[#This Row],[Service]],tbl_service[Service],tbl_service[Price],"")</f>
        <v>100</v>
      </c>
      <c r="L226" s="3">
        <v>1</v>
      </c>
      <c r="M226" s="3">
        <f>IF(AND(tbl_main[[#This Row],[Price]]="",tbl_main[[#This Row],[Qty]]=""),"",tbl_main[[#This Row],[Price]]*tbl_main[[#This Row],[Qty]])</f>
        <v>100</v>
      </c>
      <c r="N226" s="3">
        <f>_xlfn.LET(_xlpm.x,_xlfn.XLOOKUP(tbl_main[[#This Row],[Service]],tbl_service[Service],tbl_service[Profit],""),
               IF(tbl_main[[#This Row],[Qty]]="","",_xlpm.x*tbl_main[[#This Row],[Qty]]))</f>
        <v>45</v>
      </c>
    </row>
    <row r="227" spans="1:14" x14ac:dyDescent="0.25">
      <c r="A227" t="s">
        <v>269</v>
      </c>
      <c r="B227" s="1">
        <v>45728</v>
      </c>
      <c r="C227">
        <f>IF(tbl_main[[#This Row],[Date]]="","",YEAR(B227))</f>
        <v>2025</v>
      </c>
      <c r="D227" t="str">
        <f>IF(tbl_main[[#This Row],[Date]]="","",TEXT(B227,"mmm"))</f>
        <v>Mar</v>
      </c>
      <c r="E227" t="str">
        <f>IF(tbl_main[[#This Row],[Date]]="","",TEXT(B227,"DDD"))</f>
        <v>Wed</v>
      </c>
      <c r="F227" t="s">
        <v>30</v>
      </c>
      <c r="G227" t="s">
        <v>31</v>
      </c>
      <c r="H227" s="3" t="s">
        <v>18</v>
      </c>
      <c r="I227" s="3" t="s">
        <v>35</v>
      </c>
      <c r="J227" s="3" t="s">
        <v>32</v>
      </c>
      <c r="K227" s="3">
        <f>_xlfn.XLOOKUP(tbl_main[[#This Row],[Service]],tbl_service[Service],tbl_service[Price],"")</f>
        <v>500</v>
      </c>
      <c r="L227" s="3">
        <v>1</v>
      </c>
      <c r="M227" s="3">
        <f>IF(AND(tbl_main[[#This Row],[Price]]="",tbl_main[[#This Row],[Qty]]=""),"",tbl_main[[#This Row],[Price]]*tbl_main[[#This Row],[Qty]])</f>
        <v>500</v>
      </c>
      <c r="N227" s="3">
        <f>_xlfn.LET(_xlpm.x,_xlfn.XLOOKUP(tbl_main[[#This Row],[Service]],tbl_service[Service],tbl_service[Profit],""),
               IF(tbl_main[[#This Row],[Qty]]="","",_xlpm.x*tbl_main[[#This Row],[Qty]]))</f>
        <v>157</v>
      </c>
    </row>
    <row r="228" spans="1:14" x14ac:dyDescent="0.25">
      <c r="A228" t="s">
        <v>270</v>
      </c>
      <c r="B228" s="1">
        <v>45728</v>
      </c>
      <c r="C228">
        <f>IF(tbl_main[[#This Row],[Date]]="","",YEAR(B228))</f>
        <v>2025</v>
      </c>
      <c r="D228" t="str">
        <f>IF(tbl_main[[#This Row],[Date]]="","",TEXT(B228,"mmm"))</f>
        <v>Mar</v>
      </c>
      <c r="E228" t="str">
        <f>IF(tbl_main[[#This Row],[Date]]="","",TEXT(B228,"DDD"))</f>
        <v>Wed</v>
      </c>
      <c r="F228" t="s">
        <v>27</v>
      </c>
      <c r="G228" t="s">
        <v>28</v>
      </c>
      <c r="H228" s="3" t="s">
        <v>26</v>
      </c>
      <c r="I228" s="3" t="s">
        <v>35</v>
      </c>
      <c r="J228" s="3" t="s">
        <v>17</v>
      </c>
      <c r="K228" s="3">
        <f>_xlfn.XLOOKUP(tbl_main[[#This Row],[Service]],tbl_service[Service],tbl_service[Price],"")</f>
        <v>200</v>
      </c>
      <c r="L228" s="3">
        <v>1</v>
      </c>
      <c r="M228" s="3">
        <f>IF(AND(tbl_main[[#This Row],[Price]]="",tbl_main[[#This Row],[Qty]]=""),"",tbl_main[[#This Row],[Price]]*tbl_main[[#This Row],[Qty]])</f>
        <v>200</v>
      </c>
      <c r="N228" s="3">
        <f>_xlfn.LET(_xlpm.x,_xlfn.XLOOKUP(tbl_main[[#This Row],[Service]],tbl_service[Service],tbl_service[Profit],""),
               IF(tbl_main[[#This Row],[Qty]]="","",_xlpm.x*tbl_main[[#This Row],[Qty]]))</f>
        <v>90</v>
      </c>
    </row>
    <row r="229" spans="1:14" x14ac:dyDescent="0.25">
      <c r="A229" t="s">
        <v>271</v>
      </c>
      <c r="B229" s="1">
        <v>45729</v>
      </c>
      <c r="C229">
        <f>IF(tbl_main[[#This Row],[Date]]="","",YEAR(B229))</f>
        <v>2025</v>
      </c>
      <c r="D229" t="str">
        <f>IF(tbl_main[[#This Row],[Date]]="","",TEXT(B229,"mmm"))</f>
        <v>Mar</v>
      </c>
      <c r="E229" t="str">
        <f>IF(tbl_main[[#This Row],[Date]]="","",TEXT(B229,"DDD"))</f>
        <v>Thu</v>
      </c>
      <c r="F229" t="s">
        <v>13</v>
      </c>
      <c r="G229" t="s">
        <v>14</v>
      </c>
      <c r="H229" s="3" t="s">
        <v>34</v>
      </c>
      <c r="I229" s="3" t="s">
        <v>23</v>
      </c>
      <c r="J229" s="3" t="s">
        <v>32</v>
      </c>
      <c r="K229" s="3">
        <f>_xlfn.XLOOKUP(tbl_main[[#This Row],[Service]],tbl_service[Service],tbl_service[Price],"")</f>
        <v>100</v>
      </c>
      <c r="L229" s="3">
        <v>1</v>
      </c>
      <c r="M229" s="3">
        <f>IF(AND(tbl_main[[#This Row],[Price]]="",tbl_main[[#This Row],[Qty]]=""),"",tbl_main[[#This Row],[Price]]*tbl_main[[#This Row],[Qty]])</f>
        <v>100</v>
      </c>
      <c r="N229" s="3">
        <f>_xlfn.LET(_xlpm.x,_xlfn.XLOOKUP(tbl_main[[#This Row],[Service]],tbl_service[Service],tbl_service[Profit],""),
               IF(tbl_main[[#This Row],[Qty]]="","",_xlpm.x*tbl_main[[#This Row],[Qty]]))</f>
        <v>45</v>
      </c>
    </row>
    <row r="230" spans="1:14" x14ac:dyDescent="0.25">
      <c r="A230" t="s">
        <v>272</v>
      </c>
      <c r="B230" s="1">
        <v>45729</v>
      </c>
      <c r="C230">
        <f>IF(tbl_main[[#This Row],[Date]]="","",YEAR(B230))</f>
        <v>2025</v>
      </c>
      <c r="D230" t="str">
        <f>IF(tbl_main[[#This Row],[Date]]="","",TEXT(B230,"mmm"))</f>
        <v>Mar</v>
      </c>
      <c r="E230" t="str">
        <f>IF(tbl_main[[#This Row],[Date]]="","",TEXT(B230,"DDD"))</f>
        <v>Thu</v>
      </c>
      <c r="F230" t="s">
        <v>30</v>
      </c>
      <c r="G230" t="s">
        <v>31</v>
      </c>
      <c r="H230" s="3" t="s">
        <v>24</v>
      </c>
      <c r="I230" s="3" t="s">
        <v>37</v>
      </c>
      <c r="J230" s="3" t="s">
        <v>25</v>
      </c>
      <c r="K230" s="3">
        <f>_xlfn.XLOOKUP(tbl_main[[#This Row],[Service]],tbl_service[Service],tbl_service[Price],"")</f>
        <v>80</v>
      </c>
      <c r="L230" s="3">
        <v>1</v>
      </c>
      <c r="M230" s="3">
        <f>IF(AND(tbl_main[[#This Row],[Price]]="",tbl_main[[#This Row],[Qty]]=""),"",tbl_main[[#This Row],[Price]]*tbl_main[[#This Row],[Qty]])</f>
        <v>80</v>
      </c>
      <c r="N230" s="3">
        <f>_xlfn.LET(_xlpm.x,_xlfn.XLOOKUP(tbl_main[[#This Row],[Service]],tbl_service[Service],tbl_service[Profit],""),
               IF(tbl_main[[#This Row],[Qty]]="","",_xlpm.x*tbl_main[[#This Row],[Qty]]))</f>
        <v>36</v>
      </c>
    </row>
    <row r="231" spans="1:14" x14ac:dyDescent="0.25">
      <c r="A231" t="s">
        <v>273</v>
      </c>
      <c r="B231" s="1">
        <v>45729</v>
      </c>
      <c r="C231">
        <f>IF(tbl_main[[#This Row],[Date]]="","",YEAR(B231))</f>
        <v>2025</v>
      </c>
      <c r="D231" t="str">
        <f>IF(tbl_main[[#This Row],[Date]]="","",TEXT(B231,"mmm"))</f>
        <v>Mar</v>
      </c>
      <c r="E231" t="str">
        <f>IF(tbl_main[[#This Row],[Date]]="","",TEXT(B231,"DDD"))</f>
        <v>Thu</v>
      </c>
      <c r="F231" t="s">
        <v>20</v>
      </c>
      <c r="G231" t="s">
        <v>29</v>
      </c>
      <c r="H231" s="3" t="s">
        <v>24</v>
      </c>
      <c r="I231" s="3" t="s">
        <v>38</v>
      </c>
      <c r="J231" s="3" t="s">
        <v>32</v>
      </c>
      <c r="K231" s="3">
        <f>_xlfn.XLOOKUP(tbl_main[[#This Row],[Service]],tbl_service[Service],tbl_service[Price],"")</f>
        <v>80</v>
      </c>
      <c r="L231" s="3">
        <v>1</v>
      </c>
      <c r="M231" s="3">
        <f>IF(AND(tbl_main[[#This Row],[Price]]="",tbl_main[[#This Row],[Qty]]=""),"",tbl_main[[#This Row],[Price]]*tbl_main[[#This Row],[Qty]])</f>
        <v>80</v>
      </c>
      <c r="N231" s="3">
        <f>_xlfn.LET(_xlpm.x,_xlfn.XLOOKUP(tbl_main[[#This Row],[Service]],tbl_service[Service],tbl_service[Profit],""),
               IF(tbl_main[[#This Row],[Qty]]="","",_xlpm.x*tbl_main[[#This Row],[Qty]]))</f>
        <v>36</v>
      </c>
    </row>
    <row r="232" spans="1:14" x14ac:dyDescent="0.25">
      <c r="A232" t="s">
        <v>274</v>
      </c>
      <c r="B232" s="1">
        <v>45729</v>
      </c>
      <c r="C232">
        <f>IF(tbl_main[[#This Row],[Date]]="","",YEAR(B232))</f>
        <v>2025</v>
      </c>
      <c r="D232" t="str">
        <f>IF(tbl_main[[#This Row],[Date]]="","",TEXT(B232,"mmm"))</f>
        <v>Mar</v>
      </c>
      <c r="E232" t="str">
        <f>IF(tbl_main[[#This Row],[Date]]="","",TEXT(B232,"DDD"))</f>
        <v>Thu</v>
      </c>
      <c r="F232" t="s">
        <v>30</v>
      </c>
      <c r="G232" t="s">
        <v>31</v>
      </c>
      <c r="H232" s="3" t="s">
        <v>15</v>
      </c>
      <c r="I232" s="3" t="s">
        <v>16</v>
      </c>
      <c r="J232" s="3" t="s">
        <v>32</v>
      </c>
      <c r="K232" s="3">
        <f>_xlfn.XLOOKUP(tbl_main[[#This Row],[Service]],tbl_service[Service],tbl_service[Price],"")</f>
        <v>500</v>
      </c>
      <c r="L232" s="3">
        <v>2</v>
      </c>
      <c r="M232" s="3">
        <f>IF(AND(tbl_main[[#This Row],[Price]]="",tbl_main[[#This Row],[Qty]]=""),"",tbl_main[[#This Row],[Price]]*tbl_main[[#This Row],[Qty]])</f>
        <v>1000</v>
      </c>
      <c r="N232" s="3">
        <f>_xlfn.LET(_xlpm.x,_xlfn.XLOOKUP(tbl_main[[#This Row],[Service]],tbl_service[Service],tbl_service[Profit],""),
               IF(tbl_main[[#This Row],[Qty]]="","",_xlpm.x*tbl_main[[#This Row],[Qty]]))</f>
        <v>450</v>
      </c>
    </row>
    <row r="233" spans="1:14" x14ac:dyDescent="0.25">
      <c r="A233" t="s">
        <v>275</v>
      </c>
      <c r="B233" s="1">
        <v>45730</v>
      </c>
      <c r="C233">
        <f>IF(tbl_main[[#This Row],[Date]]="","",YEAR(B233))</f>
        <v>2025</v>
      </c>
      <c r="D233" t="str">
        <f>IF(tbl_main[[#This Row],[Date]]="","",TEXT(B233,"mmm"))</f>
        <v>Mar</v>
      </c>
      <c r="E233" t="str">
        <f>IF(tbl_main[[#This Row],[Date]]="","",TEXT(B233,"DDD"))</f>
        <v>Fri</v>
      </c>
      <c r="F233" t="s">
        <v>27</v>
      </c>
      <c r="G233" t="s">
        <v>28</v>
      </c>
      <c r="H233" s="3" t="s">
        <v>22</v>
      </c>
      <c r="I233" s="3" t="s">
        <v>19</v>
      </c>
      <c r="J233" s="3" t="s">
        <v>17</v>
      </c>
      <c r="K233" s="3">
        <f>_xlfn.XLOOKUP(tbl_main[[#This Row],[Service]],tbl_service[Service],tbl_service[Price],"")</f>
        <v>150</v>
      </c>
      <c r="L233" s="3">
        <v>1</v>
      </c>
      <c r="M233" s="3">
        <f>IF(AND(tbl_main[[#This Row],[Price]]="",tbl_main[[#This Row],[Qty]]=""),"",tbl_main[[#This Row],[Price]]*tbl_main[[#This Row],[Qty]])</f>
        <v>150</v>
      </c>
      <c r="N233" s="3">
        <f>_xlfn.LET(_xlpm.x,_xlfn.XLOOKUP(tbl_main[[#This Row],[Service]],tbl_service[Service],tbl_service[Profit],""),
               IF(tbl_main[[#This Row],[Qty]]="","",_xlpm.x*tbl_main[[#This Row],[Qty]]))</f>
        <v>67</v>
      </c>
    </row>
    <row r="234" spans="1:14" x14ac:dyDescent="0.25">
      <c r="A234" t="s">
        <v>276</v>
      </c>
      <c r="B234" s="1">
        <v>45730</v>
      </c>
      <c r="C234">
        <f>IF(tbl_main[[#This Row],[Date]]="","",YEAR(B234))</f>
        <v>2025</v>
      </c>
      <c r="D234" t="str">
        <f>IF(tbl_main[[#This Row],[Date]]="","",TEXT(B234,"mmm"))</f>
        <v>Mar</v>
      </c>
      <c r="E234" t="str">
        <f>IF(tbl_main[[#This Row],[Date]]="","",TEXT(B234,"DDD"))</f>
        <v>Fri</v>
      </c>
      <c r="F234" t="s">
        <v>27</v>
      </c>
      <c r="G234" t="s">
        <v>40</v>
      </c>
      <c r="H234" s="3" t="s">
        <v>18</v>
      </c>
      <c r="I234" s="3" t="s">
        <v>42</v>
      </c>
      <c r="J234" s="3" t="s">
        <v>32</v>
      </c>
      <c r="K234" s="3">
        <f>_xlfn.XLOOKUP(tbl_main[[#This Row],[Service]],tbl_service[Service],tbl_service[Price],"")</f>
        <v>500</v>
      </c>
      <c r="L234" s="3">
        <v>2</v>
      </c>
      <c r="M234" s="3">
        <f>IF(AND(tbl_main[[#This Row],[Price]]="",tbl_main[[#This Row],[Qty]]=""),"",tbl_main[[#This Row],[Price]]*tbl_main[[#This Row],[Qty]])</f>
        <v>1000</v>
      </c>
      <c r="N234" s="3">
        <f>_xlfn.LET(_xlpm.x,_xlfn.XLOOKUP(tbl_main[[#This Row],[Service]],tbl_service[Service],tbl_service[Profit],""),
               IF(tbl_main[[#This Row],[Qty]]="","",_xlpm.x*tbl_main[[#This Row],[Qty]]))</f>
        <v>314</v>
      </c>
    </row>
    <row r="235" spans="1:14" x14ac:dyDescent="0.25">
      <c r="A235" t="s">
        <v>277</v>
      </c>
      <c r="B235" s="1">
        <v>45731</v>
      </c>
      <c r="C235">
        <f>IF(tbl_main[[#This Row],[Date]]="","",YEAR(B235))</f>
        <v>2025</v>
      </c>
      <c r="D235" t="str">
        <f>IF(tbl_main[[#This Row],[Date]]="","",TEXT(B235,"mmm"))</f>
        <v>Mar</v>
      </c>
      <c r="E235" t="str">
        <f>IF(tbl_main[[#This Row],[Date]]="","",TEXT(B235,"DDD"))</f>
        <v>Sat</v>
      </c>
      <c r="F235" t="s">
        <v>27</v>
      </c>
      <c r="G235" t="s">
        <v>40</v>
      </c>
      <c r="H235" s="3" t="s">
        <v>24</v>
      </c>
      <c r="I235" s="3" t="s">
        <v>41</v>
      </c>
      <c r="J235" s="3" t="s">
        <v>17</v>
      </c>
      <c r="K235" s="3">
        <f>_xlfn.XLOOKUP(tbl_main[[#This Row],[Service]],tbl_service[Service],tbl_service[Price],"")</f>
        <v>80</v>
      </c>
      <c r="L235" s="3">
        <v>1</v>
      </c>
      <c r="M235" s="3">
        <f>IF(AND(tbl_main[[#This Row],[Price]]="",tbl_main[[#This Row],[Qty]]=""),"",tbl_main[[#This Row],[Price]]*tbl_main[[#This Row],[Qty]])</f>
        <v>80</v>
      </c>
      <c r="N235" s="3">
        <f>_xlfn.LET(_xlpm.x,_xlfn.XLOOKUP(tbl_main[[#This Row],[Service]],tbl_service[Service],tbl_service[Profit],""),
               IF(tbl_main[[#This Row],[Qty]]="","",_xlpm.x*tbl_main[[#This Row],[Qty]]))</f>
        <v>36</v>
      </c>
    </row>
    <row r="236" spans="1:14" x14ac:dyDescent="0.25">
      <c r="A236" t="s">
        <v>278</v>
      </c>
      <c r="B236" s="1">
        <v>45731</v>
      </c>
      <c r="C236">
        <f>IF(tbl_main[[#This Row],[Date]]="","",YEAR(B236))</f>
        <v>2025</v>
      </c>
      <c r="D236" t="str">
        <f>IF(tbl_main[[#This Row],[Date]]="","",TEXT(B236,"mmm"))</f>
        <v>Mar</v>
      </c>
      <c r="E236" t="str">
        <f>IF(tbl_main[[#This Row],[Date]]="","",TEXT(B236,"DDD"))</f>
        <v>Sat</v>
      </c>
      <c r="F236" t="s">
        <v>30</v>
      </c>
      <c r="G236" t="s">
        <v>36</v>
      </c>
      <c r="H236" s="3" t="s">
        <v>34</v>
      </c>
      <c r="I236" s="3" t="s">
        <v>41</v>
      </c>
      <c r="J236" s="3" t="s">
        <v>32</v>
      </c>
      <c r="K236" s="3">
        <f>_xlfn.XLOOKUP(tbl_main[[#This Row],[Service]],tbl_service[Service],tbl_service[Price],"")</f>
        <v>100</v>
      </c>
      <c r="L236" s="3">
        <v>1</v>
      </c>
      <c r="M236" s="3">
        <f>IF(AND(tbl_main[[#This Row],[Price]]="",tbl_main[[#This Row],[Qty]]=""),"",tbl_main[[#This Row],[Price]]*tbl_main[[#This Row],[Qty]])</f>
        <v>100</v>
      </c>
      <c r="N236" s="3">
        <f>_xlfn.LET(_xlpm.x,_xlfn.XLOOKUP(tbl_main[[#This Row],[Service]],tbl_service[Service],tbl_service[Profit],""),
               IF(tbl_main[[#This Row],[Qty]]="","",_xlpm.x*tbl_main[[#This Row],[Qty]]))</f>
        <v>45</v>
      </c>
    </row>
    <row r="237" spans="1:14" x14ac:dyDescent="0.25">
      <c r="A237" t="s">
        <v>279</v>
      </c>
      <c r="B237" s="1">
        <v>45732</v>
      </c>
      <c r="C237">
        <f>IF(tbl_main[[#This Row],[Date]]="","",YEAR(B237))</f>
        <v>2025</v>
      </c>
      <c r="D237" t="str">
        <f>IF(tbl_main[[#This Row],[Date]]="","",TEXT(B237,"mmm"))</f>
        <v>Mar</v>
      </c>
      <c r="E237" t="str">
        <f>IF(tbl_main[[#This Row],[Date]]="","",TEXT(B237,"DDD"))</f>
        <v>Sun</v>
      </c>
      <c r="F237" t="s">
        <v>20</v>
      </c>
      <c r="G237" t="s">
        <v>21</v>
      </c>
      <c r="H237" s="3" t="s">
        <v>34</v>
      </c>
      <c r="I237" s="3" t="s">
        <v>41</v>
      </c>
      <c r="J237" s="3" t="s">
        <v>17</v>
      </c>
      <c r="K237" s="3">
        <f>_xlfn.XLOOKUP(tbl_main[[#This Row],[Service]],tbl_service[Service],tbl_service[Price],"")</f>
        <v>100</v>
      </c>
      <c r="L237" s="3">
        <v>1</v>
      </c>
      <c r="M237" s="3">
        <f>IF(AND(tbl_main[[#This Row],[Price]]="",tbl_main[[#This Row],[Qty]]=""),"",tbl_main[[#This Row],[Price]]*tbl_main[[#This Row],[Qty]])</f>
        <v>100</v>
      </c>
      <c r="N237" s="3">
        <f>_xlfn.LET(_xlpm.x,_xlfn.XLOOKUP(tbl_main[[#This Row],[Service]],tbl_service[Service],tbl_service[Profit],""),
               IF(tbl_main[[#This Row],[Qty]]="","",_xlpm.x*tbl_main[[#This Row],[Qty]]))</f>
        <v>45</v>
      </c>
    </row>
    <row r="238" spans="1:14" x14ac:dyDescent="0.25">
      <c r="A238" t="s">
        <v>280</v>
      </c>
      <c r="B238" s="1">
        <v>45732</v>
      </c>
      <c r="C238">
        <f>IF(tbl_main[[#This Row],[Date]]="","",YEAR(B238))</f>
        <v>2025</v>
      </c>
      <c r="D238" t="str">
        <f>IF(tbl_main[[#This Row],[Date]]="","",TEXT(B238,"mmm"))</f>
        <v>Mar</v>
      </c>
      <c r="E238" t="str">
        <f>IF(tbl_main[[#This Row],[Date]]="","",TEXT(B238,"DDD"))</f>
        <v>Sun</v>
      </c>
      <c r="F238" t="s">
        <v>20</v>
      </c>
      <c r="G238" t="s">
        <v>21</v>
      </c>
      <c r="H238" s="3" t="s">
        <v>22</v>
      </c>
      <c r="I238" s="3" t="s">
        <v>41</v>
      </c>
      <c r="J238" s="3" t="s">
        <v>32</v>
      </c>
      <c r="K238" s="3">
        <f>_xlfn.XLOOKUP(tbl_main[[#This Row],[Service]],tbl_service[Service],tbl_service[Price],"")</f>
        <v>150</v>
      </c>
      <c r="L238" s="3">
        <v>1</v>
      </c>
      <c r="M238" s="3">
        <f>IF(AND(tbl_main[[#This Row],[Price]]="",tbl_main[[#This Row],[Qty]]=""),"",tbl_main[[#This Row],[Price]]*tbl_main[[#This Row],[Qty]])</f>
        <v>150</v>
      </c>
      <c r="N238" s="3">
        <f>_xlfn.LET(_xlpm.x,_xlfn.XLOOKUP(tbl_main[[#This Row],[Service]],tbl_service[Service],tbl_service[Profit],""),
               IF(tbl_main[[#This Row],[Qty]]="","",_xlpm.x*tbl_main[[#This Row],[Qty]]))</f>
        <v>67</v>
      </c>
    </row>
    <row r="239" spans="1:14" x14ac:dyDescent="0.25">
      <c r="A239" t="s">
        <v>281</v>
      </c>
      <c r="B239" s="1">
        <v>45732</v>
      </c>
      <c r="C239">
        <f>IF(tbl_main[[#This Row],[Date]]="","",YEAR(B239))</f>
        <v>2025</v>
      </c>
      <c r="D239" t="str">
        <f>IF(tbl_main[[#This Row],[Date]]="","",TEXT(B239,"mmm"))</f>
        <v>Mar</v>
      </c>
      <c r="E239" t="str">
        <f>IF(tbl_main[[#This Row],[Date]]="","",TEXT(B239,"DDD"))</f>
        <v>Sun</v>
      </c>
      <c r="F239" t="s">
        <v>13</v>
      </c>
      <c r="G239" t="s">
        <v>14</v>
      </c>
      <c r="H239" s="3" t="s">
        <v>26</v>
      </c>
      <c r="I239" s="3" t="s">
        <v>41</v>
      </c>
      <c r="J239" s="3" t="s">
        <v>32</v>
      </c>
      <c r="K239" s="3">
        <f>_xlfn.XLOOKUP(tbl_main[[#This Row],[Service]],tbl_service[Service],tbl_service[Price],"")</f>
        <v>200</v>
      </c>
      <c r="L239" s="3">
        <v>1</v>
      </c>
      <c r="M239" s="3">
        <f>IF(AND(tbl_main[[#This Row],[Price]]="",tbl_main[[#This Row],[Qty]]=""),"",tbl_main[[#This Row],[Price]]*tbl_main[[#This Row],[Qty]])</f>
        <v>200</v>
      </c>
      <c r="N239" s="3">
        <f>_xlfn.LET(_xlpm.x,_xlfn.XLOOKUP(tbl_main[[#This Row],[Service]],tbl_service[Service],tbl_service[Profit],""),
               IF(tbl_main[[#This Row],[Qty]]="","",_xlpm.x*tbl_main[[#This Row],[Qty]]))</f>
        <v>90</v>
      </c>
    </row>
    <row r="240" spans="1:14" x14ac:dyDescent="0.25">
      <c r="A240" t="s">
        <v>282</v>
      </c>
      <c r="B240" s="1">
        <v>45732</v>
      </c>
      <c r="C240">
        <f>IF(tbl_main[[#This Row],[Date]]="","",YEAR(B240))</f>
        <v>2025</v>
      </c>
      <c r="D240" t="str">
        <f>IF(tbl_main[[#This Row],[Date]]="","",TEXT(B240,"mmm"))</f>
        <v>Mar</v>
      </c>
      <c r="E240" t="str">
        <f>IF(tbl_main[[#This Row],[Date]]="","",TEXT(B240,"DDD"))</f>
        <v>Sun</v>
      </c>
      <c r="F240" t="s">
        <v>27</v>
      </c>
      <c r="G240" t="s">
        <v>40</v>
      </c>
      <c r="H240" s="3" t="s">
        <v>22</v>
      </c>
      <c r="I240" s="3" t="s">
        <v>41</v>
      </c>
      <c r="J240" s="3" t="s">
        <v>32</v>
      </c>
      <c r="K240" s="3">
        <f>_xlfn.XLOOKUP(tbl_main[[#This Row],[Service]],tbl_service[Service],tbl_service[Price],"")</f>
        <v>150</v>
      </c>
      <c r="L240" s="3">
        <v>2</v>
      </c>
      <c r="M240" s="3">
        <f>IF(AND(tbl_main[[#This Row],[Price]]="",tbl_main[[#This Row],[Qty]]=""),"",tbl_main[[#This Row],[Price]]*tbl_main[[#This Row],[Qty]])</f>
        <v>300</v>
      </c>
      <c r="N240" s="3">
        <f>_xlfn.LET(_xlpm.x,_xlfn.XLOOKUP(tbl_main[[#This Row],[Service]],tbl_service[Service],tbl_service[Profit],""),
               IF(tbl_main[[#This Row],[Qty]]="","",_xlpm.x*tbl_main[[#This Row],[Qty]]))</f>
        <v>134</v>
      </c>
    </row>
    <row r="241" spans="1:14" x14ac:dyDescent="0.25">
      <c r="A241" t="s">
        <v>283</v>
      </c>
      <c r="B241" s="1">
        <v>45733</v>
      </c>
      <c r="C241">
        <f>IF(tbl_main[[#This Row],[Date]]="","",YEAR(B241))</f>
        <v>2025</v>
      </c>
      <c r="D241" t="str">
        <f>IF(tbl_main[[#This Row],[Date]]="","",TEXT(B241,"mmm"))</f>
        <v>Mar</v>
      </c>
      <c r="E241" t="str">
        <f>IF(tbl_main[[#This Row],[Date]]="","",TEXT(B241,"DDD"))</f>
        <v>Mon</v>
      </c>
      <c r="F241" t="s">
        <v>30</v>
      </c>
      <c r="G241" t="s">
        <v>31</v>
      </c>
      <c r="H241" s="3" t="s">
        <v>15</v>
      </c>
      <c r="I241" s="3" t="s">
        <v>41</v>
      </c>
      <c r="J241" s="3" t="s">
        <v>25</v>
      </c>
      <c r="K241" s="3">
        <f>_xlfn.XLOOKUP(tbl_main[[#This Row],[Service]],tbl_service[Service],tbl_service[Price],"")</f>
        <v>500</v>
      </c>
      <c r="L241" s="3">
        <v>1</v>
      </c>
      <c r="M241" s="3">
        <f>IF(AND(tbl_main[[#This Row],[Price]]="",tbl_main[[#This Row],[Qty]]=""),"",tbl_main[[#This Row],[Price]]*tbl_main[[#This Row],[Qty]])</f>
        <v>500</v>
      </c>
      <c r="N241" s="3">
        <f>_xlfn.LET(_xlpm.x,_xlfn.XLOOKUP(tbl_main[[#This Row],[Service]],tbl_service[Service],tbl_service[Profit],""),
               IF(tbl_main[[#This Row],[Qty]]="","",_xlpm.x*tbl_main[[#This Row],[Qty]]))</f>
        <v>225</v>
      </c>
    </row>
    <row r="242" spans="1:14" x14ac:dyDescent="0.25">
      <c r="A242" t="s">
        <v>284</v>
      </c>
      <c r="B242" s="1">
        <v>45733</v>
      </c>
      <c r="C242">
        <f>IF(tbl_main[[#This Row],[Date]]="","",YEAR(B242))</f>
        <v>2025</v>
      </c>
      <c r="D242" t="str">
        <f>IF(tbl_main[[#This Row],[Date]]="","",TEXT(B242,"mmm"))</f>
        <v>Mar</v>
      </c>
      <c r="E242" t="str">
        <f>IF(tbl_main[[#This Row],[Date]]="","",TEXT(B242,"DDD"))</f>
        <v>Mon</v>
      </c>
      <c r="F242" t="s">
        <v>13</v>
      </c>
      <c r="G242" t="s">
        <v>14</v>
      </c>
      <c r="H242" s="3" t="s">
        <v>18</v>
      </c>
      <c r="I242" s="3" t="s">
        <v>41</v>
      </c>
      <c r="J242" s="3" t="s">
        <v>17</v>
      </c>
      <c r="K242" s="3">
        <f>_xlfn.XLOOKUP(tbl_main[[#This Row],[Service]],tbl_service[Service],tbl_service[Price],"")</f>
        <v>500</v>
      </c>
      <c r="L242" s="3">
        <v>2</v>
      </c>
      <c r="M242" s="3">
        <f>IF(AND(tbl_main[[#This Row],[Price]]="",tbl_main[[#This Row],[Qty]]=""),"",tbl_main[[#This Row],[Price]]*tbl_main[[#This Row],[Qty]])</f>
        <v>1000</v>
      </c>
      <c r="N242" s="3">
        <f>_xlfn.LET(_xlpm.x,_xlfn.XLOOKUP(tbl_main[[#This Row],[Service]],tbl_service[Service],tbl_service[Profit],""),
               IF(tbl_main[[#This Row],[Qty]]="","",_xlpm.x*tbl_main[[#This Row],[Qty]]))</f>
        <v>314</v>
      </c>
    </row>
    <row r="243" spans="1:14" x14ac:dyDescent="0.25">
      <c r="A243" t="s">
        <v>285</v>
      </c>
      <c r="B243" s="1">
        <v>45733</v>
      </c>
      <c r="C243">
        <f>IF(tbl_main[[#This Row],[Date]]="","",YEAR(B243))</f>
        <v>2025</v>
      </c>
      <c r="D243" t="str">
        <f>IF(tbl_main[[#This Row],[Date]]="","",TEXT(B243,"mmm"))</f>
        <v>Mar</v>
      </c>
      <c r="E243" t="str">
        <f>IF(tbl_main[[#This Row],[Date]]="","",TEXT(B243,"DDD"))</f>
        <v>Mon</v>
      </c>
      <c r="F243" t="s">
        <v>30</v>
      </c>
      <c r="G243" t="s">
        <v>31</v>
      </c>
      <c r="H243" s="3" t="s">
        <v>18</v>
      </c>
      <c r="I243" s="3" t="s">
        <v>41</v>
      </c>
      <c r="J243" s="3" t="s">
        <v>32</v>
      </c>
      <c r="K243" s="3">
        <f>_xlfn.XLOOKUP(tbl_main[[#This Row],[Service]],tbl_service[Service],tbl_service[Price],"")</f>
        <v>500</v>
      </c>
      <c r="L243" s="3">
        <v>1</v>
      </c>
      <c r="M243" s="3">
        <f>IF(AND(tbl_main[[#This Row],[Price]]="",tbl_main[[#This Row],[Qty]]=""),"",tbl_main[[#This Row],[Price]]*tbl_main[[#This Row],[Qty]])</f>
        <v>500</v>
      </c>
      <c r="N243" s="3">
        <f>_xlfn.LET(_xlpm.x,_xlfn.XLOOKUP(tbl_main[[#This Row],[Service]],tbl_service[Service],tbl_service[Profit],""),
               IF(tbl_main[[#This Row],[Qty]]="","",_xlpm.x*tbl_main[[#This Row],[Qty]]))</f>
        <v>157</v>
      </c>
    </row>
    <row r="244" spans="1:14" x14ac:dyDescent="0.25">
      <c r="A244" t="s">
        <v>286</v>
      </c>
      <c r="B244" s="1">
        <v>45734</v>
      </c>
      <c r="C244">
        <f>IF(tbl_main[[#This Row],[Date]]="","",YEAR(B244))</f>
        <v>2025</v>
      </c>
      <c r="D244" t="str">
        <f>IF(tbl_main[[#This Row],[Date]]="","",TEXT(B244,"mmm"))</f>
        <v>Mar</v>
      </c>
      <c r="E244" t="str">
        <f>IF(tbl_main[[#This Row],[Date]]="","",TEXT(B244,"DDD"))</f>
        <v>Tue</v>
      </c>
      <c r="F244" t="s">
        <v>20</v>
      </c>
      <c r="G244" t="s">
        <v>39</v>
      </c>
      <c r="H244" s="3" t="s">
        <v>24</v>
      </c>
      <c r="I244" s="3" t="s">
        <v>41</v>
      </c>
      <c r="J244" s="3" t="s">
        <v>17</v>
      </c>
      <c r="K244" s="3">
        <f>_xlfn.XLOOKUP(tbl_main[[#This Row],[Service]],tbl_service[Service],tbl_service[Price],"")</f>
        <v>80</v>
      </c>
      <c r="L244" s="3">
        <v>1</v>
      </c>
      <c r="M244" s="3">
        <f>IF(AND(tbl_main[[#This Row],[Price]]="",tbl_main[[#This Row],[Qty]]=""),"",tbl_main[[#This Row],[Price]]*tbl_main[[#This Row],[Qty]])</f>
        <v>80</v>
      </c>
      <c r="N244" s="3">
        <f>_xlfn.LET(_xlpm.x,_xlfn.XLOOKUP(tbl_main[[#This Row],[Service]],tbl_service[Service],tbl_service[Profit],""),
               IF(tbl_main[[#This Row],[Qty]]="","",_xlpm.x*tbl_main[[#This Row],[Qty]]))</f>
        <v>36</v>
      </c>
    </row>
    <row r="245" spans="1:14" x14ac:dyDescent="0.25">
      <c r="A245" t="s">
        <v>287</v>
      </c>
      <c r="B245" s="1">
        <v>45734</v>
      </c>
      <c r="C245">
        <f>IF(tbl_main[[#This Row],[Date]]="","",YEAR(B245))</f>
        <v>2025</v>
      </c>
      <c r="D245" t="str">
        <f>IF(tbl_main[[#This Row],[Date]]="","",TEXT(B245,"mmm"))</f>
        <v>Mar</v>
      </c>
      <c r="E245" t="str">
        <f>IF(tbl_main[[#This Row],[Date]]="","",TEXT(B245,"DDD"))</f>
        <v>Tue</v>
      </c>
      <c r="F245" t="s">
        <v>27</v>
      </c>
      <c r="G245" t="s">
        <v>28</v>
      </c>
      <c r="H245" s="3" t="s">
        <v>34</v>
      </c>
      <c r="I245" s="3" t="s">
        <v>41</v>
      </c>
      <c r="J245" s="3" t="s">
        <v>25</v>
      </c>
      <c r="K245" s="3">
        <f>_xlfn.XLOOKUP(tbl_main[[#This Row],[Service]],tbl_service[Service],tbl_service[Price],"")</f>
        <v>100</v>
      </c>
      <c r="L245" s="3">
        <v>2</v>
      </c>
      <c r="M245" s="3">
        <f>IF(AND(tbl_main[[#This Row],[Price]]="",tbl_main[[#This Row],[Qty]]=""),"",tbl_main[[#This Row],[Price]]*tbl_main[[#This Row],[Qty]])</f>
        <v>200</v>
      </c>
      <c r="N245" s="3">
        <f>_xlfn.LET(_xlpm.x,_xlfn.XLOOKUP(tbl_main[[#This Row],[Service]],tbl_service[Service],tbl_service[Profit],""),
               IF(tbl_main[[#This Row],[Qty]]="","",_xlpm.x*tbl_main[[#This Row],[Qty]]))</f>
        <v>90</v>
      </c>
    </row>
    <row r="246" spans="1:14" x14ac:dyDescent="0.25">
      <c r="A246" t="s">
        <v>288</v>
      </c>
      <c r="B246" s="1">
        <v>45734</v>
      </c>
      <c r="C246">
        <f>IF(tbl_main[[#This Row],[Date]]="","",YEAR(B246))</f>
        <v>2025</v>
      </c>
      <c r="D246" t="str">
        <f>IF(tbl_main[[#This Row],[Date]]="","",TEXT(B246,"mmm"))</f>
        <v>Mar</v>
      </c>
      <c r="E246" t="str">
        <f>IF(tbl_main[[#This Row],[Date]]="","",TEXT(B246,"DDD"))</f>
        <v>Tue</v>
      </c>
      <c r="F246" t="s">
        <v>27</v>
      </c>
      <c r="G246" t="s">
        <v>40</v>
      </c>
      <c r="H246" s="3" t="s">
        <v>24</v>
      </c>
      <c r="I246" s="3" t="s">
        <v>41</v>
      </c>
      <c r="J246" s="3" t="s">
        <v>25</v>
      </c>
      <c r="K246" s="3">
        <f>_xlfn.XLOOKUP(tbl_main[[#This Row],[Service]],tbl_service[Service],tbl_service[Price],"")</f>
        <v>80</v>
      </c>
      <c r="L246" s="3">
        <v>2</v>
      </c>
      <c r="M246" s="3">
        <f>IF(AND(tbl_main[[#This Row],[Price]]="",tbl_main[[#This Row],[Qty]]=""),"",tbl_main[[#This Row],[Price]]*tbl_main[[#This Row],[Qty]])</f>
        <v>160</v>
      </c>
      <c r="N246" s="3">
        <f>_xlfn.LET(_xlpm.x,_xlfn.XLOOKUP(tbl_main[[#This Row],[Service]],tbl_service[Service],tbl_service[Profit],""),
               IF(tbl_main[[#This Row],[Qty]]="","",_xlpm.x*tbl_main[[#This Row],[Qty]]))</f>
        <v>72</v>
      </c>
    </row>
    <row r="247" spans="1:14" x14ac:dyDescent="0.25">
      <c r="A247" t="s">
        <v>289</v>
      </c>
      <c r="B247" s="1">
        <v>45734</v>
      </c>
      <c r="C247">
        <f>IF(tbl_main[[#This Row],[Date]]="","",YEAR(B247))</f>
        <v>2025</v>
      </c>
      <c r="D247" t="str">
        <f>IF(tbl_main[[#This Row],[Date]]="","",TEXT(B247,"mmm"))</f>
        <v>Mar</v>
      </c>
      <c r="E247" t="str">
        <f>IF(tbl_main[[#This Row],[Date]]="","",TEXT(B247,"DDD"))</f>
        <v>Tue</v>
      </c>
      <c r="F247" t="s">
        <v>20</v>
      </c>
      <c r="G247" t="s">
        <v>29</v>
      </c>
      <c r="H247" s="3" t="s">
        <v>34</v>
      </c>
      <c r="I247" s="3" t="s">
        <v>41</v>
      </c>
      <c r="J247" s="3" t="s">
        <v>25</v>
      </c>
      <c r="K247" s="3">
        <f>_xlfn.XLOOKUP(tbl_main[[#This Row],[Service]],tbl_service[Service],tbl_service[Price],"")</f>
        <v>100</v>
      </c>
      <c r="L247" s="3">
        <v>1</v>
      </c>
      <c r="M247" s="3">
        <f>IF(AND(tbl_main[[#This Row],[Price]]="",tbl_main[[#This Row],[Qty]]=""),"",tbl_main[[#This Row],[Price]]*tbl_main[[#This Row],[Qty]])</f>
        <v>100</v>
      </c>
      <c r="N247" s="3">
        <f>_xlfn.LET(_xlpm.x,_xlfn.XLOOKUP(tbl_main[[#This Row],[Service]],tbl_service[Service],tbl_service[Profit],""),
               IF(tbl_main[[#This Row],[Qty]]="","",_xlpm.x*tbl_main[[#This Row],[Qty]]))</f>
        <v>45</v>
      </c>
    </row>
    <row r="248" spans="1:14" x14ac:dyDescent="0.25">
      <c r="A248" t="s">
        <v>290</v>
      </c>
      <c r="B248" s="1">
        <v>45735</v>
      </c>
      <c r="C248">
        <f>IF(tbl_main[[#This Row],[Date]]="","",YEAR(B248))</f>
        <v>2025</v>
      </c>
      <c r="D248" t="str">
        <f>IF(tbl_main[[#This Row],[Date]]="","",TEXT(B248,"mmm"))</f>
        <v>Mar</v>
      </c>
      <c r="E248" t="str">
        <f>IF(tbl_main[[#This Row],[Date]]="","",TEXT(B248,"DDD"))</f>
        <v>Wed</v>
      </c>
      <c r="F248" t="s">
        <v>27</v>
      </c>
      <c r="G248" t="s">
        <v>28</v>
      </c>
      <c r="H248" s="3" t="s">
        <v>18</v>
      </c>
      <c r="I248" s="3" t="s">
        <v>41</v>
      </c>
      <c r="J248" s="3" t="s">
        <v>17</v>
      </c>
      <c r="K248" s="3">
        <f>_xlfn.XLOOKUP(tbl_main[[#This Row],[Service]],tbl_service[Service],tbl_service[Price],"")</f>
        <v>500</v>
      </c>
      <c r="L248" s="3">
        <v>2</v>
      </c>
      <c r="M248" s="3">
        <f>IF(AND(tbl_main[[#This Row],[Price]]="",tbl_main[[#This Row],[Qty]]=""),"",tbl_main[[#This Row],[Price]]*tbl_main[[#This Row],[Qty]])</f>
        <v>1000</v>
      </c>
      <c r="N248" s="3">
        <f>_xlfn.LET(_xlpm.x,_xlfn.XLOOKUP(tbl_main[[#This Row],[Service]],tbl_service[Service],tbl_service[Profit],""),
               IF(tbl_main[[#This Row],[Qty]]="","",_xlpm.x*tbl_main[[#This Row],[Qty]]))</f>
        <v>314</v>
      </c>
    </row>
    <row r="249" spans="1:14" x14ac:dyDescent="0.25">
      <c r="A249" t="s">
        <v>291</v>
      </c>
      <c r="B249" s="1">
        <v>45735</v>
      </c>
      <c r="C249">
        <f>IF(tbl_main[[#This Row],[Date]]="","",YEAR(B249))</f>
        <v>2025</v>
      </c>
      <c r="D249" t="str">
        <f>IF(tbl_main[[#This Row],[Date]]="","",TEXT(B249,"mmm"))</f>
        <v>Mar</v>
      </c>
      <c r="E249" t="str">
        <f>IF(tbl_main[[#This Row],[Date]]="","",TEXT(B249,"DDD"))</f>
        <v>Wed</v>
      </c>
      <c r="F249" t="s">
        <v>30</v>
      </c>
      <c r="G249" t="s">
        <v>36</v>
      </c>
      <c r="H249" s="3" t="s">
        <v>22</v>
      </c>
      <c r="I249" s="3" t="s">
        <v>41</v>
      </c>
      <c r="J249" s="3" t="s">
        <v>25</v>
      </c>
      <c r="K249" s="3">
        <f>_xlfn.XLOOKUP(tbl_main[[#This Row],[Service]],tbl_service[Service],tbl_service[Price],"")</f>
        <v>150</v>
      </c>
      <c r="L249" s="3">
        <v>1</v>
      </c>
      <c r="M249" s="3">
        <f>IF(AND(tbl_main[[#This Row],[Price]]="",tbl_main[[#This Row],[Qty]]=""),"",tbl_main[[#This Row],[Price]]*tbl_main[[#This Row],[Qty]])</f>
        <v>150</v>
      </c>
      <c r="N249" s="3">
        <f>_xlfn.LET(_xlpm.x,_xlfn.XLOOKUP(tbl_main[[#This Row],[Service]],tbl_service[Service],tbl_service[Profit],""),
               IF(tbl_main[[#This Row],[Qty]]="","",_xlpm.x*tbl_main[[#This Row],[Qty]]))</f>
        <v>67</v>
      </c>
    </row>
    <row r="250" spans="1:14" x14ac:dyDescent="0.25">
      <c r="A250" t="s">
        <v>292</v>
      </c>
      <c r="B250" s="1">
        <v>45735</v>
      </c>
      <c r="C250">
        <f>IF(tbl_main[[#This Row],[Date]]="","",YEAR(B250))</f>
        <v>2025</v>
      </c>
      <c r="D250" t="str">
        <f>IF(tbl_main[[#This Row],[Date]]="","",TEXT(B250,"mmm"))</f>
        <v>Mar</v>
      </c>
      <c r="E250" t="str">
        <f>IF(tbl_main[[#This Row],[Date]]="","",TEXT(B250,"DDD"))</f>
        <v>Wed</v>
      </c>
      <c r="F250" t="s">
        <v>30</v>
      </c>
      <c r="G250" t="s">
        <v>31</v>
      </c>
      <c r="H250" s="3" t="s">
        <v>34</v>
      </c>
      <c r="I250" s="3" t="s">
        <v>41</v>
      </c>
      <c r="J250" s="3" t="s">
        <v>17</v>
      </c>
      <c r="K250" s="3">
        <f>_xlfn.XLOOKUP(tbl_main[[#This Row],[Service]],tbl_service[Service],tbl_service[Price],"")</f>
        <v>100</v>
      </c>
      <c r="L250" s="3">
        <v>2</v>
      </c>
      <c r="M250" s="3">
        <f>IF(AND(tbl_main[[#This Row],[Price]]="",tbl_main[[#This Row],[Qty]]=""),"",tbl_main[[#This Row],[Price]]*tbl_main[[#This Row],[Qty]])</f>
        <v>200</v>
      </c>
      <c r="N250" s="3">
        <f>_xlfn.LET(_xlpm.x,_xlfn.XLOOKUP(tbl_main[[#This Row],[Service]],tbl_service[Service],tbl_service[Profit],""),
               IF(tbl_main[[#This Row],[Qty]]="","",_xlpm.x*tbl_main[[#This Row],[Qty]]))</f>
        <v>90</v>
      </c>
    </row>
    <row r="251" spans="1:14" x14ac:dyDescent="0.25">
      <c r="A251" t="s">
        <v>293</v>
      </c>
      <c r="B251" s="1">
        <v>45735</v>
      </c>
      <c r="C251">
        <f>IF(tbl_main[[#This Row],[Date]]="","",YEAR(B251))</f>
        <v>2025</v>
      </c>
      <c r="D251" t="str">
        <f>IF(tbl_main[[#This Row],[Date]]="","",TEXT(B251,"mmm"))</f>
        <v>Mar</v>
      </c>
      <c r="E251" t="str">
        <f>IF(tbl_main[[#This Row],[Date]]="","",TEXT(B251,"DDD"))</f>
        <v>Wed</v>
      </c>
      <c r="F251" t="s">
        <v>30</v>
      </c>
      <c r="G251" t="s">
        <v>36</v>
      </c>
      <c r="H251" s="3" t="s">
        <v>15</v>
      </c>
      <c r="I251" s="3" t="s">
        <v>41</v>
      </c>
      <c r="J251" s="3" t="s">
        <v>17</v>
      </c>
      <c r="K251" s="3">
        <f>_xlfn.XLOOKUP(tbl_main[[#This Row],[Service]],tbl_service[Service],tbl_service[Price],"")</f>
        <v>500</v>
      </c>
      <c r="L251" s="3">
        <v>2</v>
      </c>
      <c r="M251" s="3">
        <f>IF(AND(tbl_main[[#This Row],[Price]]="",tbl_main[[#This Row],[Qty]]=""),"",tbl_main[[#This Row],[Price]]*tbl_main[[#This Row],[Qty]])</f>
        <v>1000</v>
      </c>
      <c r="N251" s="3">
        <f>_xlfn.LET(_xlpm.x,_xlfn.XLOOKUP(tbl_main[[#This Row],[Service]],tbl_service[Service],tbl_service[Profit],""),
               IF(tbl_main[[#This Row],[Qty]]="","",_xlpm.x*tbl_main[[#This Row],[Qty]]))</f>
        <v>450</v>
      </c>
    </row>
    <row r="252" spans="1:14" x14ac:dyDescent="0.25">
      <c r="A252" t="s">
        <v>294</v>
      </c>
      <c r="B252" s="1">
        <v>45736</v>
      </c>
      <c r="C252">
        <f>IF(tbl_main[[#This Row],[Date]]="","",YEAR(B252))</f>
        <v>2025</v>
      </c>
      <c r="D252" t="str">
        <f>IF(tbl_main[[#This Row],[Date]]="","",TEXT(B252,"mmm"))</f>
        <v>Mar</v>
      </c>
      <c r="E252" t="str">
        <f>IF(tbl_main[[#This Row],[Date]]="","",TEXT(B252,"DDD"))</f>
        <v>Thu</v>
      </c>
      <c r="F252" t="s">
        <v>30</v>
      </c>
      <c r="G252" t="s">
        <v>31</v>
      </c>
      <c r="H252" s="3" t="s">
        <v>34</v>
      </c>
      <c r="I252" s="3" t="s">
        <v>41</v>
      </c>
      <c r="J252" s="3" t="s">
        <v>25</v>
      </c>
      <c r="K252" s="3">
        <f>_xlfn.XLOOKUP(tbl_main[[#This Row],[Service]],tbl_service[Service],tbl_service[Price],"")</f>
        <v>100</v>
      </c>
      <c r="L252" s="3">
        <v>1</v>
      </c>
      <c r="M252" s="3">
        <f>IF(AND(tbl_main[[#This Row],[Price]]="",tbl_main[[#This Row],[Qty]]=""),"",tbl_main[[#This Row],[Price]]*tbl_main[[#This Row],[Qty]])</f>
        <v>100</v>
      </c>
      <c r="N252" s="3">
        <f>_xlfn.LET(_xlpm.x,_xlfn.XLOOKUP(tbl_main[[#This Row],[Service]],tbl_service[Service],tbl_service[Profit],""),
               IF(tbl_main[[#This Row],[Qty]]="","",_xlpm.x*tbl_main[[#This Row],[Qty]]))</f>
        <v>45</v>
      </c>
    </row>
    <row r="253" spans="1:14" x14ac:dyDescent="0.25">
      <c r="A253" t="s">
        <v>295</v>
      </c>
      <c r="B253" s="1">
        <v>45736</v>
      </c>
      <c r="C253">
        <f>IF(tbl_main[[#This Row],[Date]]="","",YEAR(B253))</f>
        <v>2025</v>
      </c>
      <c r="D253" t="str">
        <f>IF(tbl_main[[#This Row],[Date]]="","",TEXT(B253,"mmm"))</f>
        <v>Mar</v>
      </c>
      <c r="E253" t="str">
        <f>IF(tbl_main[[#This Row],[Date]]="","",TEXT(B253,"DDD"))</f>
        <v>Thu</v>
      </c>
      <c r="F253" t="s">
        <v>20</v>
      </c>
      <c r="G253" t="s">
        <v>29</v>
      </c>
      <c r="H253" s="3" t="s">
        <v>24</v>
      </c>
      <c r="I253" s="3" t="s">
        <v>41</v>
      </c>
      <c r="J253" s="3" t="s">
        <v>25</v>
      </c>
      <c r="K253" s="3">
        <f>_xlfn.XLOOKUP(tbl_main[[#This Row],[Service]],tbl_service[Service],tbl_service[Price],"")</f>
        <v>80</v>
      </c>
      <c r="L253" s="3">
        <v>2</v>
      </c>
      <c r="M253" s="3">
        <f>IF(AND(tbl_main[[#This Row],[Price]]="",tbl_main[[#This Row],[Qty]]=""),"",tbl_main[[#This Row],[Price]]*tbl_main[[#This Row],[Qty]])</f>
        <v>160</v>
      </c>
      <c r="N253" s="3">
        <f>_xlfn.LET(_xlpm.x,_xlfn.XLOOKUP(tbl_main[[#This Row],[Service]],tbl_service[Service],tbl_service[Profit],""),
               IF(tbl_main[[#This Row],[Qty]]="","",_xlpm.x*tbl_main[[#This Row],[Qty]]))</f>
        <v>72</v>
      </c>
    </row>
    <row r="254" spans="1:14" x14ac:dyDescent="0.25">
      <c r="A254" t="s">
        <v>296</v>
      </c>
      <c r="B254" s="1">
        <v>45737</v>
      </c>
      <c r="C254">
        <f>IF(tbl_main[[#This Row],[Date]]="","",YEAR(B254))</f>
        <v>2025</v>
      </c>
      <c r="D254" t="str">
        <f>IF(tbl_main[[#This Row],[Date]]="","",TEXT(B254,"mmm"))</f>
        <v>Mar</v>
      </c>
      <c r="E254" t="str">
        <f>IF(tbl_main[[#This Row],[Date]]="","",TEXT(B254,"DDD"))</f>
        <v>Fri</v>
      </c>
      <c r="F254" t="s">
        <v>20</v>
      </c>
      <c r="G254" t="s">
        <v>21</v>
      </c>
      <c r="H254" s="3" t="s">
        <v>22</v>
      </c>
      <c r="I254" s="3" t="s">
        <v>41</v>
      </c>
      <c r="J254" s="3" t="s">
        <v>25</v>
      </c>
      <c r="K254" s="3">
        <f>_xlfn.XLOOKUP(tbl_main[[#This Row],[Service]],tbl_service[Service],tbl_service[Price],"")</f>
        <v>150</v>
      </c>
      <c r="L254" s="3">
        <v>2</v>
      </c>
      <c r="M254" s="3">
        <f>IF(AND(tbl_main[[#This Row],[Price]]="",tbl_main[[#This Row],[Qty]]=""),"",tbl_main[[#This Row],[Price]]*tbl_main[[#This Row],[Qty]])</f>
        <v>300</v>
      </c>
      <c r="N254" s="3">
        <f>_xlfn.LET(_xlpm.x,_xlfn.XLOOKUP(tbl_main[[#This Row],[Service]],tbl_service[Service],tbl_service[Profit],""),
               IF(tbl_main[[#This Row],[Qty]]="","",_xlpm.x*tbl_main[[#This Row],[Qty]]))</f>
        <v>134</v>
      </c>
    </row>
    <row r="255" spans="1:14" x14ac:dyDescent="0.25">
      <c r="A255" t="s">
        <v>297</v>
      </c>
      <c r="B255" s="1">
        <v>45737</v>
      </c>
      <c r="C255">
        <f>IF(tbl_main[[#This Row],[Date]]="","",YEAR(B255))</f>
        <v>2025</v>
      </c>
      <c r="D255" t="str">
        <f>IF(tbl_main[[#This Row],[Date]]="","",TEXT(B255,"mmm"))</f>
        <v>Mar</v>
      </c>
      <c r="E255" t="str">
        <f>IF(tbl_main[[#This Row],[Date]]="","",TEXT(B255,"DDD"))</f>
        <v>Fri</v>
      </c>
      <c r="F255" t="s">
        <v>13</v>
      </c>
      <c r="G255" t="s">
        <v>14</v>
      </c>
      <c r="H255" s="3" t="s">
        <v>34</v>
      </c>
      <c r="I255" s="3" t="s">
        <v>41</v>
      </c>
      <c r="J255" s="3" t="s">
        <v>17</v>
      </c>
      <c r="K255" s="3">
        <f>_xlfn.XLOOKUP(tbl_main[[#This Row],[Service]],tbl_service[Service],tbl_service[Price],"")</f>
        <v>100</v>
      </c>
      <c r="L255" s="3">
        <v>2</v>
      </c>
      <c r="M255" s="3">
        <f>IF(AND(tbl_main[[#This Row],[Price]]="",tbl_main[[#This Row],[Qty]]=""),"",tbl_main[[#This Row],[Price]]*tbl_main[[#This Row],[Qty]])</f>
        <v>200</v>
      </c>
      <c r="N255" s="3">
        <f>_xlfn.LET(_xlpm.x,_xlfn.XLOOKUP(tbl_main[[#This Row],[Service]],tbl_service[Service],tbl_service[Profit],""),
               IF(tbl_main[[#This Row],[Qty]]="","",_xlpm.x*tbl_main[[#This Row],[Qty]]))</f>
        <v>90</v>
      </c>
    </row>
    <row r="256" spans="1:14" x14ac:dyDescent="0.25">
      <c r="A256" t="s">
        <v>298</v>
      </c>
      <c r="B256" s="1">
        <v>45737</v>
      </c>
      <c r="C256">
        <f>IF(tbl_main[[#This Row],[Date]]="","",YEAR(B256))</f>
        <v>2025</v>
      </c>
      <c r="D256" t="str">
        <f>IF(tbl_main[[#This Row],[Date]]="","",TEXT(B256,"mmm"))</f>
        <v>Mar</v>
      </c>
      <c r="E256" t="str">
        <f>IF(tbl_main[[#This Row],[Date]]="","",TEXT(B256,"DDD"))</f>
        <v>Fri</v>
      </c>
      <c r="F256" t="s">
        <v>13</v>
      </c>
      <c r="G256" t="s">
        <v>33</v>
      </c>
      <c r="H256" s="3" t="s">
        <v>22</v>
      </c>
      <c r="I256" s="3" t="s">
        <v>41</v>
      </c>
      <c r="J256" s="3" t="s">
        <v>32</v>
      </c>
      <c r="K256" s="3">
        <f>_xlfn.XLOOKUP(tbl_main[[#This Row],[Service]],tbl_service[Service],tbl_service[Price],"")</f>
        <v>150</v>
      </c>
      <c r="L256" s="3">
        <v>2</v>
      </c>
      <c r="M256" s="3">
        <f>IF(AND(tbl_main[[#This Row],[Price]]="",tbl_main[[#This Row],[Qty]]=""),"",tbl_main[[#This Row],[Price]]*tbl_main[[#This Row],[Qty]])</f>
        <v>300</v>
      </c>
      <c r="N256" s="3">
        <f>_xlfn.LET(_xlpm.x,_xlfn.XLOOKUP(tbl_main[[#This Row],[Service]],tbl_service[Service],tbl_service[Profit],""),
               IF(tbl_main[[#This Row],[Qty]]="","",_xlpm.x*tbl_main[[#This Row],[Qty]]))</f>
        <v>134</v>
      </c>
    </row>
    <row r="257" spans="1:14" x14ac:dyDescent="0.25">
      <c r="A257" t="s">
        <v>299</v>
      </c>
      <c r="B257" s="1">
        <v>45737</v>
      </c>
      <c r="C257">
        <f>IF(tbl_main[[#This Row],[Date]]="","",YEAR(B257))</f>
        <v>2025</v>
      </c>
      <c r="D257" t="str">
        <f>IF(tbl_main[[#This Row],[Date]]="","",TEXT(B257,"mmm"))</f>
        <v>Mar</v>
      </c>
      <c r="E257" t="str">
        <f>IF(tbl_main[[#This Row],[Date]]="","",TEXT(B257,"DDD"))</f>
        <v>Fri</v>
      </c>
      <c r="F257" t="s">
        <v>20</v>
      </c>
      <c r="G257" t="s">
        <v>39</v>
      </c>
      <c r="H257" s="3" t="s">
        <v>22</v>
      </c>
      <c r="I257" s="3" t="s">
        <v>41</v>
      </c>
      <c r="J257" s="3" t="s">
        <v>25</v>
      </c>
      <c r="K257" s="3">
        <f>_xlfn.XLOOKUP(tbl_main[[#This Row],[Service]],tbl_service[Service],tbl_service[Price],"")</f>
        <v>150</v>
      </c>
      <c r="L257" s="3">
        <v>1</v>
      </c>
      <c r="M257" s="3">
        <f>IF(AND(tbl_main[[#This Row],[Price]]="",tbl_main[[#This Row],[Qty]]=""),"",tbl_main[[#This Row],[Price]]*tbl_main[[#This Row],[Qty]])</f>
        <v>150</v>
      </c>
      <c r="N257" s="3">
        <f>_xlfn.LET(_xlpm.x,_xlfn.XLOOKUP(tbl_main[[#This Row],[Service]],tbl_service[Service],tbl_service[Profit],""),
               IF(tbl_main[[#This Row],[Qty]]="","",_xlpm.x*tbl_main[[#This Row],[Qty]]))</f>
        <v>67</v>
      </c>
    </row>
    <row r="258" spans="1:14" x14ac:dyDescent="0.25">
      <c r="A258" t="s">
        <v>300</v>
      </c>
      <c r="B258" s="1">
        <v>45738</v>
      </c>
      <c r="C258">
        <f>IF(tbl_main[[#This Row],[Date]]="","",YEAR(B258))</f>
        <v>2025</v>
      </c>
      <c r="D258" t="str">
        <f>IF(tbl_main[[#This Row],[Date]]="","",TEXT(B258,"mmm"))</f>
        <v>Mar</v>
      </c>
      <c r="E258" t="str">
        <f>IF(tbl_main[[#This Row],[Date]]="","",TEXT(B258,"DDD"))</f>
        <v>Sat</v>
      </c>
      <c r="F258" t="s">
        <v>27</v>
      </c>
      <c r="G258" t="s">
        <v>40</v>
      </c>
      <c r="H258" s="3" t="s">
        <v>18</v>
      </c>
      <c r="I258" s="3" t="s">
        <v>41</v>
      </c>
      <c r="J258" s="3" t="s">
        <v>17</v>
      </c>
      <c r="K258" s="3">
        <f>_xlfn.XLOOKUP(tbl_main[[#This Row],[Service]],tbl_service[Service],tbl_service[Price],"")</f>
        <v>500</v>
      </c>
      <c r="L258" s="3">
        <v>2</v>
      </c>
      <c r="M258" s="3">
        <f>IF(AND(tbl_main[[#This Row],[Price]]="",tbl_main[[#This Row],[Qty]]=""),"",tbl_main[[#This Row],[Price]]*tbl_main[[#This Row],[Qty]])</f>
        <v>1000</v>
      </c>
      <c r="N258" s="3">
        <f>_xlfn.LET(_xlpm.x,_xlfn.XLOOKUP(tbl_main[[#This Row],[Service]],tbl_service[Service],tbl_service[Profit],""),
               IF(tbl_main[[#This Row],[Qty]]="","",_xlpm.x*tbl_main[[#This Row],[Qty]]))</f>
        <v>314</v>
      </c>
    </row>
    <row r="259" spans="1:14" x14ac:dyDescent="0.25">
      <c r="A259" t="s">
        <v>301</v>
      </c>
      <c r="B259" s="1">
        <v>45738</v>
      </c>
      <c r="C259">
        <f>IF(tbl_main[[#This Row],[Date]]="","",YEAR(B259))</f>
        <v>2025</v>
      </c>
      <c r="D259" t="str">
        <f>IF(tbl_main[[#This Row],[Date]]="","",TEXT(B259,"mmm"))</f>
        <v>Mar</v>
      </c>
      <c r="E259" t="str">
        <f>IF(tbl_main[[#This Row],[Date]]="","",TEXT(B259,"DDD"))</f>
        <v>Sat</v>
      </c>
      <c r="F259" t="s">
        <v>30</v>
      </c>
      <c r="G259" t="s">
        <v>36</v>
      </c>
      <c r="H259" s="3" t="s">
        <v>22</v>
      </c>
      <c r="I259" s="3" t="s">
        <v>41</v>
      </c>
      <c r="J259" s="3" t="s">
        <v>32</v>
      </c>
      <c r="K259" s="3">
        <f>_xlfn.XLOOKUP(tbl_main[[#This Row],[Service]],tbl_service[Service],tbl_service[Price],"")</f>
        <v>150</v>
      </c>
      <c r="L259" s="3">
        <v>2</v>
      </c>
      <c r="M259" s="3">
        <f>IF(AND(tbl_main[[#This Row],[Price]]="",tbl_main[[#This Row],[Qty]]=""),"",tbl_main[[#This Row],[Price]]*tbl_main[[#This Row],[Qty]])</f>
        <v>300</v>
      </c>
      <c r="N259" s="3">
        <f>_xlfn.LET(_xlpm.x,_xlfn.XLOOKUP(tbl_main[[#This Row],[Service]],tbl_service[Service],tbl_service[Profit],""),
               IF(tbl_main[[#This Row],[Qty]]="","",_xlpm.x*tbl_main[[#This Row],[Qty]]))</f>
        <v>134</v>
      </c>
    </row>
    <row r="260" spans="1:14" x14ac:dyDescent="0.25">
      <c r="A260" t="s">
        <v>302</v>
      </c>
      <c r="B260" s="1">
        <v>45738</v>
      </c>
      <c r="C260">
        <f>IF(tbl_main[[#This Row],[Date]]="","",YEAR(B260))</f>
        <v>2025</v>
      </c>
      <c r="D260" t="str">
        <f>IF(tbl_main[[#This Row],[Date]]="","",TEXT(B260,"mmm"))</f>
        <v>Mar</v>
      </c>
      <c r="E260" t="str">
        <f>IF(tbl_main[[#This Row],[Date]]="","",TEXT(B260,"DDD"))</f>
        <v>Sat</v>
      </c>
      <c r="F260" t="s">
        <v>20</v>
      </c>
      <c r="G260" t="s">
        <v>39</v>
      </c>
      <c r="H260" s="3" t="s">
        <v>26</v>
      </c>
      <c r="I260" s="3" t="s">
        <v>41</v>
      </c>
      <c r="J260" s="3" t="s">
        <v>17</v>
      </c>
      <c r="K260" s="3">
        <f>_xlfn.XLOOKUP(tbl_main[[#This Row],[Service]],tbl_service[Service],tbl_service[Price],"")</f>
        <v>200</v>
      </c>
      <c r="L260" s="3">
        <v>2</v>
      </c>
      <c r="M260" s="3">
        <f>IF(AND(tbl_main[[#This Row],[Price]]="",tbl_main[[#This Row],[Qty]]=""),"",tbl_main[[#This Row],[Price]]*tbl_main[[#This Row],[Qty]])</f>
        <v>400</v>
      </c>
      <c r="N260" s="3">
        <f>_xlfn.LET(_xlpm.x,_xlfn.XLOOKUP(tbl_main[[#This Row],[Service]],tbl_service[Service],tbl_service[Profit],""),
               IF(tbl_main[[#This Row],[Qty]]="","",_xlpm.x*tbl_main[[#This Row],[Qty]]))</f>
        <v>180</v>
      </c>
    </row>
    <row r="261" spans="1:14" x14ac:dyDescent="0.25">
      <c r="A261" t="s">
        <v>303</v>
      </c>
      <c r="B261" s="1">
        <v>45738</v>
      </c>
      <c r="C261">
        <f>IF(tbl_main[[#This Row],[Date]]="","",YEAR(B261))</f>
        <v>2025</v>
      </c>
      <c r="D261" t="str">
        <f>IF(tbl_main[[#This Row],[Date]]="","",TEXT(B261,"mmm"))</f>
        <v>Mar</v>
      </c>
      <c r="E261" t="str">
        <f>IF(tbl_main[[#This Row],[Date]]="","",TEXT(B261,"DDD"))</f>
        <v>Sat</v>
      </c>
      <c r="F261" t="s">
        <v>27</v>
      </c>
      <c r="G261" t="s">
        <v>40</v>
      </c>
      <c r="H261" s="3" t="s">
        <v>26</v>
      </c>
      <c r="I261" s="3" t="s">
        <v>41</v>
      </c>
      <c r="J261" s="3" t="s">
        <v>25</v>
      </c>
      <c r="K261" s="3">
        <f>_xlfn.XLOOKUP(tbl_main[[#This Row],[Service]],tbl_service[Service],tbl_service[Price],"")</f>
        <v>200</v>
      </c>
      <c r="L261" s="3">
        <v>1</v>
      </c>
      <c r="M261" s="3">
        <f>IF(AND(tbl_main[[#This Row],[Price]]="",tbl_main[[#This Row],[Qty]]=""),"",tbl_main[[#This Row],[Price]]*tbl_main[[#This Row],[Qty]])</f>
        <v>200</v>
      </c>
      <c r="N261" s="3">
        <f>_xlfn.LET(_xlpm.x,_xlfn.XLOOKUP(tbl_main[[#This Row],[Service]],tbl_service[Service],tbl_service[Profit],""),
               IF(tbl_main[[#This Row],[Qty]]="","",_xlpm.x*tbl_main[[#This Row],[Qty]]))</f>
        <v>90</v>
      </c>
    </row>
    <row r="262" spans="1:14" x14ac:dyDescent="0.25">
      <c r="A262" t="s">
        <v>304</v>
      </c>
      <c r="B262" s="1">
        <v>45739</v>
      </c>
      <c r="C262">
        <f>IF(tbl_main[[#This Row],[Date]]="","",YEAR(B262))</f>
        <v>2025</v>
      </c>
      <c r="D262" t="str">
        <f>IF(tbl_main[[#This Row],[Date]]="","",TEXT(B262,"mmm"))</f>
        <v>Mar</v>
      </c>
      <c r="E262" t="str">
        <f>IF(tbl_main[[#This Row],[Date]]="","",TEXT(B262,"DDD"))</f>
        <v>Sun</v>
      </c>
      <c r="F262" t="s">
        <v>13</v>
      </c>
      <c r="G262" t="s">
        <v>14</v>
      </c>
      <c r="H262" s="3" t="s">
        <v>34</v>
      </c>
      <c r="I262" s="3" t="s">
        <v>41</v>
      </c>
      <c r="J262" s="3" t="s">
        <v>17</v>
      </c>
      <c r="K262" s="3">
        <f>_xlfn.XLOOKUP(tbl_main[[#This Row],[Service]],tbl_service[Service],tbl_service[Price],"")</f>
        <v>100</v>
      </c>
      <c r="L262" s="3">
        <v>2</v>
      </c>
      <c r="M262" s="3">
        <f>IF(AND(tbl_main[[#This Row],[Price]]="",tbl_main[[#This Row],[Qty]]=""),"",tbl_main[[#This Row],[Price]]*tbl_main[[#This Row],[Qty]])</f>
        <v>200</v>
      </c>
      <c r="N262" s="3">
        <f>_xlfn.LET(_xlpm.x,_xlfn.XLOOKUP(tbl_main[[#This Row],[Service]],tbl_service[Service],tbl_service[Profit],""),
               IF(tbl_main[[#This Row],[Qty]]="","",_xlpm.x*tbl_main[[#This Row],[Qty]]))</f>
        <v>90</v>
      </c>
    </row>
    <row r="263" spans="1:14" x14ac:dyDescent="0.25">
      <c r="A263" t="s">
        <v>305</v>
      </c>
      <c r="B263" s="1">
        <v>45739</v>
      </c>
      <c r="C263">
        <f>IF(tbl_main[[#This Row],[Date]]="","",YEAR(B263))</f>
        <v>2025</v>
      </c>
      <c r="D263" t="str">
        <f>IF(tbl_main[[#This Row],[Date]]="","",TEXT(B263,"mmm"))</f>
        <v>Mar</v>
      </c>
      <c r="E263" t="str">
        <f>IF(tbl_main[[#This Row],[Date]]="","",TEXT(B263,"DDD"))</f>
        <v>Sun</v>
      </c>
      <c r="F263" t="s">
        <v>13</v>
      </c>
      <c r="G263" t="s">
        <v>33</v>
      </c>
      <c r="H263" s="3" t="s">
        <v>26</v>
      </c>
      <c r="I263" s="3" t="s">
        <v>41</v>
      </c>
      <c r="J263" s="3" t="s">
        <v>32</v>
      </c>
      <c r="K263" s="3">
        <f>_xlfn.XLOOKUP(tbl_main[[#This Row],[Service]],tbl_service[Service],tbl_service[Price],"")</f>
        <v>200</v>
      </c>
      <c r="L263" s="3">
        <v>1</v>
      </c>
      <c r="M263" s="3">
        <f>IF(AND(tbl_main[[#This Row],[Price]]="",tbl_main[[#This Row],[Qty]]=""),"",tbl_main[[#This Row],[Price]]*tbl_main[[#This Row],[Qty]])</f>
        <v>200</v>
      </c>
      <c r="N263" s="3">
        <f>_xlfn.LET(_xlpm.x,_xlfn.XLOOKUP(tbl_main[[#This Row],[Service]],tbl_service[Service],tbl_service[Profit],""),
               IF(tbl_main[[#This Row],[Qty]]="","",_xlpm.x*tbl_main[[#This Row],[Qty]]))</f>
        <v>90</v>
      </c>
    </row>
    <row r="264" spans="1:14" x14ac:dyDescent="0.25">
      <c r="A264" t="s">
        <v>306</v>
      </c>
      <c r="B264" s="1">
        <v>45739</v>
      </c>
      <c r="C264">
        <f>IF(tbl_main[[#This Row],[Date]]="","",YEAR(B264))</f>
        <v>2025</v>
      </c>
      <c r="D264" t="str">
        <f>IF(tbl_main[[#This Row],[Date]]="","",TEXT(B264,"mmm"))</f>
        <v>Mar</v>
      </c>
      <c r="E264" t="str">
        <f>IF(tbl_main[[#This Row],[Date]]="","",TEXT(B264,"DDD"))</f>
        <v>Sun</v>
      </c>
      <c r="F264" t="s">
        <v>27</v>
      </c>
      <c r="G264" t="s">
        <v>28</v>
      </c>
      <c r="H264" s="3" t="s">
        <v>18</v>
      </c>
      <c r="I264" s="3" t="s">
        <v>41</v>
      </c>
      <c r="J264" s="3" t="s">
        <v>25</v>
      </c>
      <c r="K264" s="3">
        <f>_xlfn.XLOOKUP(tbl_main[[#This Row],[Service]],tbl_service[Service],tbl_service[Price],"")</f>
        <v>500</v>
      </c>
      <c r="L264" s="3">
        <v>1</v>
      </c>
      <c r="M264" s="3">
        <f>IF(AND(tbl_main[[#This Row],[Price]]="",tbl_main[[#This Row],[Qty]]=""),"",tbl_main[[#This Row],[Price]]*tbl_main[[#This Row],[Qty]])</f>
        <v>500</v>
      </c>
      <c r="N264" s="3">
        <f>_xlfn.LET(_xlpm.x,_xlfn.XLOOKUP(tbl_main[[#This Row],[Service]],tbl_service[Service],tbl_service[Profit],""),
               IF(tbl_main[[#This Row],[Qty]]="","",_xlpm.x*tbl_main[[#This Row],[Qty]]))</f>
        <v>157</v>
      </c>
    </row>
    <row r="265" spans="1:14" x14ac:dyDescent="0.25">
      <c r="A265" t="s">
        <v>307</v>
      </c>
      <c r="B265" s="1">
        <v>45740</v>
      </c>
      <c r="C265">
        <f>IF(tbl_main[[#This Row],[Date]]="","",YEAR(B265))</f>
        <v>2025</v>
      </c>
      <c r="D265" t="str">
        <f>IF(tbl_main[[#This Row],[Date]]="","",TEXT(B265,"mmm"))</f>
        <v>Mar</v>
      </c>
      <c r="E265" t="str">
        <f>IF(tbl_main[[#This Row],[Date]]="","",TEXT(B265,"DDD"))</f>
        <v>Mon</v>
      </c>
      <c r="F265" t="s">
        <v>13</v>
      </c>
      <c r="G265" t="s">
        <v>14</v>
      </c>
      <c r="H265" s="3" t="s">
        <v>26</v>
      </c>
      <c r="I265" s="3" t="s">
        <v>41</v>
      </c>
      <c r="J265" s="3" t="s">
        <v>25</v>
      </c>
      <c r="K265" s="3">
        <f>_xlfn.XLOOKUP(tbl_main[[#This Row],[Service]],tbl_service[Service],tbl_service[Price],"")</f>
        <v>200</v>
      </c>
      <c r="L265" s="3">
        <v>1</v>
      </c>
      <c r="M265" s="3">
        <f>IF(AND(tbl_main[[#This Row],[Price]]="",tbl_main[[#This Row],[Qty]]=""),"",tbl_main[[#This Row],[Price]]*tbl_main[[#This Row],[Qty]])</f>
        <v>200</v>
      </c>
      <c r="N265" s="3">
        <f>_xlfn.LET(_xlpm.x,_xlfn.XLOOKUP(tbl_main[[#This Row],[Service]],tbl_service[Service],tbl_service[Profit],""),
               IF(tbl_main[[#This Row],[Qty]]="","",_xlpm.x*tbl_main[[#This Row],[Qty]]))</f>
        <v>90</v>
      </c>
    </row>
    <row r="266" spans="1:14" x14ac:dyDescent="0.25">
      <c r="A266" t="s">
        <v>308</v>
      </c>
      <c r="B266" s="1">
        <v>45740</v>
      </c>
      <c r="C266">
        <f>IF(tbl_main[[#This Row],[Date]]="","",YEAR(B266))</f>
        <v>2025</v>
      </c>
      <c r="D266" t="str">
        <f>IF(tbl_main[[#This Row],[Date]]="","",TEXT(B266,"mmm"))</f>
        <v>Mar</v>
      </c>
      <c r="E266" t="str">
        <f>IF(tbl_main[[#This Row],[Date]]="","",TEXT(B266,"DDD"))</f>
        <v>Mon</v>
      </c>
      <c r="F266" t="s">
        <v>20</v>
      </c>
      <c r="G266" t="s">
        <v>21</v>
      </c>
      <c r="H266" s="3" t="s">
        <v>24</v>
      </c>
      <c r="I266" s="3" t="s">
        <v>41</v>
      </c>
      <c r="J266" s="3" t="s">
        <v>25</v>
      </c>
      <c r="K266" s="3">
        <f>_xlfn.XLOOKUP(tbl_main[[#This Row],[Service]],tbl_service[Service],tbl_service[Price],"")</f>
        <v>80</v>
      </c>
      <c r="L266" s="3">
        <v>2</v>
      </c>
      <c r="M266" s="3">
        <f>IF(AND(tbl_main[[#This Row],[Price]]="",tbl_main[[#This Row],[Qty]]=""),"",tbl_main[[#This Row],[Price]]*tbl_main[[#This Row],[Qty]])</f>
        <v>160</v>
      </c>
      <c r="N266" s="3">
        <f>_xlfn.LET(_xlpm.x,_xlfn.XLOOKUP(tbl_main[[#This Row],[Service]],tbl_service[Service],tbl_service[Profit],""),
               IF(tbl_main[[#This Row],[Qty]]="","",_xlpm.x*tbl_main[[#This Row],[Qty]]))</f>
        <v>72</v>
      </c>
    </row>
    <row r="267" spans="1:14" x14ac:dyDescent="0.25">
      <c r="A267" t="s">
        <v>309</v>
      </c>
      <c r="B267" s="1">
        <v>45740</v>
      </c>
      <c r="C267">
        <f>IF(tbl_main[[#This Row],[Date]]="","",YEAR(B267))</f>
        <v>2025</v>
      </c>
      <c r="D267" t="str">
        <f>IF(tbl_main[[#This Row],[Date]]="","",TEXT(B267,"mmm"))</f>
        <v>Mar</v>
      </c>
      <c r="E267" t="str">
        <f>IF(tbl_main[[#This Row],[Date]]="","",TEXT(B267,"DDD"))</f>
        <v>Mon</v>
      </c>
      <c r="F267" t="s">
        <v>30</v>
      </c>
      <c r="G267" t="s">
        <v>31</v>
      </c>
      <c r="H267" s="3" t="s">
        <v>26</v>
      </c>
      <c r="I267" s="3" t="s">
        <v>41</v>
      </c>
      <c r="J267" s="3" t="s">
        <v>32</v>
      </c>
      <c r="K267" s="3">
        <f>_xlfn.XLOOKUP(tbl_main[[#This Row],[Service]],tbl_service[Service],tbl_service[Price],"")</f>
        <v>200</v>
      </c>
      <c r="L267" s="3">
        <v>1</v>
      </c>
      <c r="M267" s="3">
        <f>IF(AND(tbl_main[[#This Row],[Price]]="",tbl_main[[#This Row],[Qty]]=""),"",tbl_main[[#This Row],[Price]]*tbl_main[[#This Row],[Qty]])</f>
        <v>200</v>
      </c>
      <c r="N267" s="3">
        <f>_xlfn.LET(_xlpm.x,_xlfn.XLOOKUP(tbl_main[[#This Row],[Service]],tbl_service[Service],tbl_service[Profit],""),
               IF(tbl_main[[#This Row],[Qty]]="","",_xlpm.x*tbl_main[[#This Row],[Qty]]))</f>
        <v>90</v>
      </c>
    </row>
    <row r="268" spans="1:14" x14ac:dyDescent="0.25">
      <c r="A268" t="s">
        <v>310</v>
      </c>
      <c r="B268" s="1">
        <v>45740</v>
      </c>
      <c r="C268">
        <f>IF(tbl_main[[#This Row],[Date]]="","",YEAR(B268))</f>
        <v>2025</v>
      </c>
      <c r="D268" t="str">
        <f>IF(tbl_main[[#This Row],[Date]]="","",TEXT(B268,"mmm"))</f>
        <v>Mar</v>
      </c>
      <c r="E268" t="str">
        <f>IF(tbl_main[[#This Row],[Date]]="","",TEXT(B268,"DDD"))</f>
        <v>Mon</v>
      </c>
      <c r="F268" t="s">
        <v>30</v>
      </c>
      <c r="G268" t="s">
        <v>31</v>
      </c>
      <c r="H268" s="3" t="s">
        <v>34</v>
      </c>
      <c r="I268" s="3" t="s">
        <v>41</v>
      </c>
      <c r="J268" s="3" t="s">
        <v>25</v>
      </c>
      <c r="K268" s="3">
        <f>_xlfn.XLOOKUP(tbl_main[[#This Row],[Service]],tbl_service[Service],tbl_service[Price],"")</f>
        <v>100</v>
      </c>
      <c r="L268" s="3">
        <v>1</v>
      </c>
      <c r="M268" s="3">
        <f>IF(AND(tbl_main[[#This Row],[Price]]="",tbl_main[[#This Row],[Qty]]=""),"",tbl_main[[#This Row],[Price]]*tbl_main[[#This Row],[Qty]])</f>
        <v>100</v>
      </c>
      <c r="N268" s="3">
        <f>_xlfn.LET(_xlpm.x,_xlfn.XLOOKUP(tbl_main[[#This Row],[Service]],tbl_service[Service],tbl_service[Profit],""),
               IF(tbl_main[[#This Row],[Qty]]="","",_xlpm.x*tbl_main[[#This Row],[Qty]]))</f>
        <v>45</v>
      </c>
    </row>
    <row r="269" spans="1:14" x14ac:dyDescent="0.25">
      <c r="A269" t="s">
        <v>311</v>
      </c>
      <c r="B269" s="1">
        <v>45741</v>
      </c>
      <c r="C269">
        <f>IF(tbl_main[[#This Row],[Date]]="","",YEAR(B269))</f>
        <v>2025</v>
      </c>
      <c r="D269" t="str">
        <f>IF(tbl_main[[#This Row],[Date]]="","",TEXT(B269,"mmm"))</f>
        <v>Mar</v>
      </c>
      <c r="E269" t="str">
        <f>IF(tbl_main[[#This Row],[Date]]="","",TEXT(B269,"DDD"))</f>
        <v>Tue</v>
      </c>
      <c r="F269" t="s">
        <v>13</v>
      </c>
      <c r="G269" t="s">
        <v>14</v>
      </c>
      <c r="H269" s="3" t="s">
        <v>15</v>
      </c>
      <c r="I269" s="3" t="s">
        <v>41</v>
      </c>
      <c r="J269" s="3" t="s">
        <v>17</v>
      </c>
      <c r="K269" s="3">
        <f>_xlfn.XLOOKUP(tbl_main[[#This Row],[Service]],tbl_service[Service],tbl_service[Price],"")</f>
        <v>500</v>
      </c>
      <c r="L269" s="3">
        <v>1</v>
      </c>
      <c r="M269" s="3">
        <f>IF(AND(tbl_main[[#This Row],[Price]]="",tbl_main[[#This Row],[Qty]]=""),"",tbl_main[[#This Row],[Price]]*tbl_main[[#This Row],[Qty]])</f>
        <v>500</v>
      </c>
      <c r="N269" s="3">
        <f>_xlfn.LET(_xlpm.x,_xlfn.XLOOKUP(tbl_main[[#This Row],[Service]],tbl_service[Service],tbl_service[Profit],""),
               IF(tbl_main[[#This Row],[Qty]]="","",_xlpm.x*tbl_main[[#This Row],[Qty]]))</f>
        <v>225</v>
      </c>
    </row>
    <row r="270" spans="1:14" x14ac:dyDescent="0.25">
      <c r="A270" t="s">
        <v>312</v>
      </c>
      <c r="B270" s="1">
        <v>45741</v>
      </c>
      <c r="C270">
        <f>IF(tbl_main[[#This Row],[Date]]="","",YEAR(B270))</f>
        <v>2025</v>
      </c>
      <c r="D270" t="str">
        <f>IF(tbl_main[[#This Row],[Date]]="","",TEXT(B270,"mmm"))</f>
        <v>Mar</v>
      </c>
      <c r="E270" t="str">
        <f>IF(tbl_main[[#This Row],[Date]]="","",TEXT(B270,"DDD"))</f>
        <v>Tue</v>
      </c>
      <c r="F270" t="s">
        <v>13</v>
      </c>
      <c r="G270" t="s">
        <v>14</v>
      </c>
      <c r="H270" s="3" t="s">
        <v>18</v>
      </c>
      <c r="I270" s="3" t="s">
        <v>41</v>
      </c>
      <c r="J270" s="3" t="s">
        <v>25</v>
      </c>
      <c r="K270" s="3">
        <f>_xlfn.XLOOKUP(tbl_main[[#This Row],[Service]],tbl_service[Service],tbl_service[Price],"")</f>
        <v>500</v>
      </c>
      <c r="L270" s="3">
        <v>1</v>
      </c>
      <c r="M270" s="3">
        <f>IF(AND(tbl_main[[#This Row],[Price]]="",tbl_main[[#This Row],[Qty]]=""),"",tbl_main[[#This Row],[Price]]*tbl_main[[#This Row],[Qty]])</f>
        <v>500</v>
      </c>
      <c r="N270" s="3">
        <f>_xlfn.LET(_xlpm.x,_xlfn.XLOOKUP(tbl_main[[#This Row],[Service]],tbl_service[Service],tbl_service[Profit],""),
               IF(tbl_main[[#This Row],[Qty]]="","",_xlpm.x*tbl_main[[#This Row],[Qty]]))</f>
        <v>157</v>
      </c>
    </row>
    <row r="271" spans="1:14" x14ac:dyDescent="0.25">
      <c r="A271" t="s">
        <v>313</v>
      </c>
      <c r="B271" s="1">
        <v>45741</v>
      </c>
      <c r="C271">
        <f>IF(tbl_main[[#This Row],[Date]]="","",YEAR(B271))</f>
        <v>2025</v>
      </c>
      <c r="D271" t="str">
        <f>IF(tbl_main[[#This Row],[Date]]="","",TEXT(B271,"mmm"))</f>
        <v>Mar</v>
      </c>
      <c r="E271" t="str">
        <f>IF(tbl_main[[#This Row],[Date]]="","",TEXT(B271,"DDD"))</f>
        <v>Tue</v>
      </c>
      <c r="F271" t="s">
        <v>13</v>
      </c>
      <c r="G271" t="s">
        <v>14</v>
      </c>
      <c r="H271" s="3" t="s">
        <v>24</v>
      </c>
      <c r="I271" s="3" t="s">
        <v>41</v>
      </c>
      <c r="J271" s="3" t="s">
        <v>32</v>
      </c>
      <c r="K271" s="3">
        <f>_xlfn.XLOOKUP(tbl_main[[#This Row],[Service]],tbl_service[Service],tbl_service[Price],"")</f>
        <v>80</v>
      </c>
      <c r="L271" s="3">
        <v>1</v>
      </c>
      <c r="M271" s="3">
        <f>IF(AND(tbl_main[[#This Row],[Price]]="",tbl_main[[#This Row],[Qty]]=""),"",tbl_main[[#This Row],[Price]]*tbl_main[[#This Row],[Qty]])</f>
        <v>80</v>
      </c>
      <c r="N271" s="3">
        <f>_xlfn.LET(_xlpm.x,_xlfn.XLOOKUP(tbl_main[[#This Row],[Service]],tbl_service[Service],tbl_service[Profit],""),
               IF(tbl_main[[#This Row],[Qty]]="","",_xlpm.x*tbl_main[[#This Row],[Qty]]))</f>
        <v>36</v>
      </c>
    </row>
    <row r="272" spans="1:14" x14ac:dyDescent="0.25">
      <c r="A272" t="s">
        <v>314</v>
      </c>
      <c r="B272" s="1">
        <v>45742</v>
      </c>
      <c r="C272">
        <f>IF(tbl_main[[#This Row],[Date]]="","",YEAR(B272))</f>
        <v>2025</v>
      </c>
      <c r="D272" t="str">
        <f>IF(tbl_main[[#This Row],[Date]]="","",TEXT(B272,"mmm"))</f>
        <v>Mar</v>
      </c>
      <c r="E272" t="str">
        <f>IF(tbl_main[[#This Row],[Date]]="","",TEXT(B272,"DDD"))</f>
        <v>Wed</v>
      </c>
      <c r="F272" t="s">
        <v>13</v>
      </c>
      <c r="G272" t="s">
        <v>33</v>
      </c>
      <c r="H272" s="3" t="s">
        <v>22</v>
      </c>
      <c r="I272" s="3" t="s">
        <v>41</v>
      </c>
      <c r="J272" s="3" t="s">
        <v>32</v>
      </c>
      <c r="K272" s="3">
        <f>_xlfn.XLOOKUP(tbl_main[[#This Row],[Service]],tbl_service[Service],tbl_service[Price],"")</f>
        <v>150</v>
      </c>
      <c r="L272" s="3">
        <v>1</v>
      </c>
      <c r="M272" s="3">
        <f>IF(AND(tbl_main[[#This Row],[Price]]="",tbl_main[[#This Row],[Qty]]=""),"",tbl_main[[#This Row],[Price]]*tbl_main[[#This Row],[Qty]])</f>
        <v>150</v>
      </c>
      <c r="N272" s="3">
        <f>_xlfn.LET(_xlpm.x,_xlfn.XLOOKUP(tbl_main[[#This Row],[Service]],tbl_service[Service],tbl_service[Profit],""),
               IF(tbl_main[[#This Row],[Qty]]="","",_xlpm.x*tbl_main[[#This Row],[Qty]]))</f>
        <v>67</v>
      </c>
    </row>
    <row r="273" spans="1:14" x14ac:dyDescent="0.25">
      <c r="A273" t="s">
        <v>315</v>
      </c>
      <c r="B273" s="1">
        <v>45742</v>
      </c>
      <c r="C273">
        <f>IF(tbl_main[[#This Row],[Date]]="","",YEAR(B273))</f>
        <v>2025</v>
      </c>
      <c r="D273" t="str">
        <f>IF(tbl_main[[#This Row],[Date]]="","",TEXT(B273,"mmm"))</f>
        <v>Mar</v>
      </c>
      <c r="E273" t="str">
        <f>IF(tbl_main[[#This Row],[Date]]="","",TEXT(B273,"DDD"))</f>
        <v>Wed</v>
      </c>
      <c r="F273" t="s">
        <v>13</v>
      </c>
      <c r="G273" t="s">
        <v>14</v>
      </c>
      <c r="H273" s="3" t="s">
        <v>26</v>
      </c>
      <c r="I273" s="3" t="s">
        <v>41</v>
      </c>
      <c r="J273" s="3" t="s">
        <v>32</v>
      </c>
      <c r="K273" s="3">
        <f>_xlfn.XLOOKUP(tbl_main[[#This Row],[Service]],tbl_service[Service],tbl_service[Price],"")</f>
        <v>200</v>
      </c>
      <c r="L273" s="3">
        <v>2</v>
      </c>
      <c r="M273" s="3">
        <f>IF(AND(tbl_main[[#This Row],[Price]]="",tbl_main[[#This Row],[Qty]]=""),"",tbl_main[[#This Row],[Price]]*tbl_main[[#This Row],[Qty]])</f>
        <v>400</v>
      </c>
      <c r="N273" s="3">
        <f>_xlfn.LET(_xlpm.x,_xlfn.XLOOKUP(tbl_main[[#This Row],[Service]],tbl_service[Service],tbl_service[Profit],""),
               IF(tbl_main[[#This Row],[Qty]]="","",_xlpm.x*tbl_main[[#This Row],[Qty]]))</f>
        <v>180</v>
      </c>
    </row>
    <row r="274" spans="1:14" x14ac:dyDescent="0.25">
      <c r="A274" t="s">
        <v>316</v>
      </c>
      <c r="B274" s="1">
        <v>45742</v>
      </c>
      <c r="C274">
        <f>IF(tbl_main[[#This Row],[Date]]="","",YEAR(B274))</f>
        <v>2025</v>
      </c>
      <c r="D274" t="str">
        <f>IF(tbl_main[[#This Row],[Date]]="","",TEXT(B274,"mmm"))</f>
        <v>Mar</v>
      </c>
      <c r="E274" t="str">
        <f>IF(tbl_main[[#This Row],[Date]]="","",TEXT(B274,"DDD"))</f>
        <v>Wed</v>
      </c>
      <c r="F274" t="s">
        <v>30</v>
      </c>
      <c r="G274" t="s">
        <v>36</v>
      </c>
      <c r="H274" s="3" t="s">
        <v>34</v>
      </c>
      <c r="I274" s="3" t="s">
        <v>41</v>
      </c>
      <c r="J274" s="3" t="s">
        <v>17</v>
      </c>
      <c r="K274" s="3">
        <f>_xlfn.XLOOKUP(tbl_main[[#This Row],[Service]],tbl_service[Service],tbl_service[Price],"")</f>
        <v>100</v>
      </c>
      <c r="L274" s="3">
        <v>1</v>
      </c>
      <c r="M274" s="3">
        <f>IF(AND(tbl_main[[#This Row],[Price]]="",tbl_main[[#This Row],[Qty]]=""),"",tbl_main[[#This Row],[Price]]*tbl_main[[#This Row],[Qty]])</f>
        <v>100</v>
      </c>
      <c r="N274" s="3">
        <f>_xlfn.LET(_xlpm.x,_xlfn.XLOOKUP(tbl_main[[#This Row],[Service]],tbl_service[Service],tbl_service[Profit],""),
               IF(tbl_main[[#This Row],[Qty]]="","",_xlpm.x*tbl_main[[#This Row],[Qty]]))</f>
        <v>45</v>
      </c>
    </row>
    <row r="275" spans="1:14" x14ac:dyDescent="0.25">
      <c r="A275" t="s">
        <v>317</v>
      </c>
      <c r="B275" s="1">
        <v>45743</v>
      </c>
      <c r="C275">
        <f>IF(tbl_main[[#This Row],[Date]]="","",YEAR(B275))</f>
        <v>2025</v>
      </c>
      <c r="D275" t="str">
        <f>IF(tbl_main[[#This Row],[Date]]="","",TEXT(B275,"mmm"))</f>
        <v>Mar</v>
      </c>
      <c r="E275" t="str">
        <f>IF(tbl_main[[#This Row],[Date]]="","",TEXT(B275,"DDD"))</f>
        <v>Thu</v>
      </c>
      <c r="F275" t="s">
        <v>30</v>
      </c>
      <c r="G275" t="s">
        <v>31</v>
      </c>
      <c r="H275" s="3" t="s">
        <v>22</v>
      </c>
      <c r="I275" s="3" t="s">
        <v>41</v>
      </c>
      <c r="J275" s="3" t="s">
        <v>17</v>
      </c>
      <c r="K275" s="3">
        <f>_xlfn.XLOOKUP(tbl_main[[#This Row],[Service]],tbl_service[Service],tbl_service[Price],"")</f>
        <v>150</v>
      </c>
      <c r="L275" s="3">
        <v>1</v>
      </c>
      <c r="M275" s="3">
        <f>IF(AND(tbl_main[[#This Row],[Price]]="",tbl_main[[#This Row],[Qty]]=""),"",tbl_main[[#This Row],[Price]]*tbl_main[[#This Row],[Qty]])</f>
        <v>150</v>
      </c>
      <c r="N275" s="3">
        <f>_xlfn.LET(_xlpm.x,_xlfn.XLOOKUP(tbl_main[[#This Row],[Service]],tbl_service[Service],tbl_service[Profit],""),
               IF(tbl_main[[#This Row],[Qty]]="","",_xlpm.x*tbl_main[[#This Row],[Qty]]))</f>
        <v>67</v>
      </c>
    </row>
    <row r="276" spans="1:14" x14ac:dyDescent="0.25">
      <c r="A276" t="s">
        <v>318</v>
      </c>
      <c r="B276" s="1">
        <v>45743</v>
      </c>
      <c r="C276">
        <f>IF(tbl_main[[#This Row],[Date]]="","",YEAR(B276))</f>
        <v>2025</v>
      </c>
      <c r="D276" t="str">
        <f>IF(tbl_main[[#This Row],[Date]]="","",TEXT(B276,"mmm"))</f>
        <v>Mar</v>
      </c>
      <c r="E276" t="str">
        <f>IF(tbl_main[[#This Row],[Date]]="","",TEXT(B276,"DDD"))</f>
        <v>Thu</v>
      </c>
      <c r="F276" t="s">
        <v>30</v>
      </c>
      <c r="G276" t="s">
        <v>36</v>
      </c>
      <c r="H276" s="3" t="s">
        <v>34</v>
      </c>
      <c r="I276" s="3" t="s">
        <v>41</v>
      </c>
      <c r="J276" s="3" t="s">
        <v>32</v>
      </c>
      <c r="K276" s="3">
        <f>_xlfn.XLOOKUP(tbl_main[[#This Row],[Service]],tbl_service[Service],tbl_service[Price],"")</f>
        <v>100</v>
      </c>
      <c r="L276" s="3">
        <v>1</v>
      </c>
      <c r="M276" s="3">
        <f>IF(AND(tbl_main[[#This Row],[Price]]="",tbl_main[[#This Row],[Qty]]=""),"",tbl_main[[#This Row],[Price]]*tbl_main[[#This Row],[Qty]])</f>
        <v>100</v>
      </c>
      <c r="N276" s="3">
        <f>_xlfn.LET(_xlpm.x,_xlfn.XLOOKUP(tbl_main[[#This Row],[Service]],tbl_service[Service],tbl_service[Profit],""),
               IF(tbl_main[[#This Row],[Qty]]="","",_xlpm.x*tbl_main[[#This Row],[Qty]]))</f>
        <v>45</v>
      </c>
    </row>
    <row r="277" spans="1:14" x14ac:dyDescent="0.25">
      <c r="A277" t="s">
        <v>319</v>
      </c>
      <c r="B277" s="1">
        <v>45743</v>
      </c>
      <c r="C277">
        <f>IF(tbl_main[[#This Row],[Date]]="","",YEAR(B277))</f>
        <v>2025</v>
      </c>
      <c r="D277" t="str">
        <f>IF(tbl_main[[#This Row],[Date]]="","",TEXT(B277,"mmm"))</f>
        <v>Mar</v>
      </c>
      <c r="E277" t="str">
        <f>IF(tbl_main[[#This Row],[Date]]="","",TEXT(B277,"DDD"))</f>
        <v>Thu</v>
      </c>
      <c r="F277" t="s">
        <v>30</v>
      </c>
      <c r="G277" t="s">
        <v>36</v>
      </c>
      <c r="H277" s="3" t="s">
        <v>15</v>
      </c>
      <c r="I277" s="3" t="s">
        <v>41</v>
      </c>
      <c r="J277" s="3" t="s">
        <v>25</v>
      </c>
      <c r="K277" s="3">
        <f>_xlfn.XLOOKUP(tbl_main[[#This Row],[Service]],tbl_service[Service],tbl_service[Price],"")</f>
        <v>500</v>
      </c>
      <c r="L277" s="3">
        <v>1</v>
      </c>
      <c r="M277" s="3">
        <f>IF(AND(tbl_main[[#This Row],[Price]]="",tbl_main[[#This Row],[Qty]]=""),"",tbl_main[[#This Row],[Price]]*tbl_main[[#This Row],[Qty]])</f>
        <v>500</v>
      </c>
      <c r="N277" s="3">
        <f>_xlfn.LET(_xlpm.x,_xlfn.XLOOKUP(tbl_main[[#This Row],[Service]],tbl_service[Service],tbl_service[Profit],""),
               IF(tbl_main[[#This Row],[Qty]]="","",_xlpm.x*tbl_main[[#This Row],[Qty]]))</f>
        <v>225</v>
      </c>
    </row>
    <row r="278" spans="1:14" x14ac:dyDescent="0.25">
      <c r="A278" t="s">
        <v>320</v>
      </c>
      <c r="B278" s="1">
        <v>45744</v>
      </c>
      <c r="C278">
        <f>IF(tbl_main[[#This Row],[Date]]="","",YEAR(B278))</f>
        <v>2025</v>
      </c>
      <c r="D278" t="str">
        <f>IF(tbl_main[[#This Row],[Date]]="","",TEXT(B278,"mmm"))</f>
        <v>Mar</v>
      </c>
      <c r="E278" t="str">
        <f>IF(tbl_main[[#This Row],[Date]]="","",TEXT(B278,"DDD"))</f>
        <v>Fri</v>
      </c>
      <c r="F278" t="s">
        <v>13</v>
      </c>
      <c r="G278" t="s">
        <v>33</v>
      </c>
      <c r="H278" s="3" t="s">
        <v>22</v>
      </c>
      <c r="I278" s="3" t="s">
        <v>41</v>
      </c>
      <c r="J278" s="3" t="s">
        <v>25</v>
      </c>
      <c r="K278" s="3">
        <f>_xlfn.XLOOKUP(tbl_main[[#This Row],[Service]],tbl_service[Service],tbl_service[Price],"")</f>
        <v>150</v>
      </c>
      <c r="L278" s="3">
        <v>1</v>
      </c>
      <c r="M278" s="3">
        <f>IF(AND(tbl_main[[#This Row],[Price]]="",tbl_main[[#This Row],[Qty]]=""),"",tbl_main[[#This Row],[Price]]*tbl_main[[#This Row],[Qty]])</f>
        <v>150</v>
      </c>
      <c r="N278" s="3">
        <f>_xlfn.LET(_xlpm.x,_xlfn.XLOOKUP(tbl_main[[#This Row],[Service]],tbl_service[Service],tbl_service[Profit],""),
               IF(tbl_main[[#This Row],[Qty]]="","",_xlpm.x*tbl_main[[#This Row],[Qty]]))</f>
        <v>67</v>
      </c>
    </row>
    <row r="279" spans="1:14" x14ac:dyDescent="0.25">
      <c r="A279" t="s">
        <v>321</v>
      </c>
      <c r="B279" s="1">
        <v>45744</v>
      </c>
      <c r="C279">
        <f>IF(tbl_main[[#This Row],[Date]]="","",YEAR(B279))</f>
        <v>2025</v>
      </c>
      <c r="D279" t="str">
        <f>IF(tbl_main[[#This Row],[Date]]="","",TEXT(B279,"mmm"))</f>
        <v>Mar</v>
      </c>
      <c r="E279" t="str">
        <f>IF(tbl_main[[#This Row],[Date]]="","",TEXT(B279,"DDD"))</f>
        <v>Fri</v>
      </c>
      <c r="F279" t="s">
        <v>20</v>
      </c>
      <c r="G279" t="s">
        <v>39</v>
      </c>
      <c r="H279" s="3" t="s">
        <v>15</v>
      </c>
      <c r="I279" s="3" t="s">
        <v>41</v>
      </c>
      <c r="J279" s="3" t="s">
        <v>32</v>
      </c>
      <c r="K279" s="3">
        <f>_xlfn.XLOOKUP(tbl_main[[#This Row],[Service]],tbl_service[Service],tbl_service[Price],"")</f>
        <v>500</v>
      </c>
      <c r="L279" s="3">
        <v>2</v>
      </c>
      <c r="M279" s="3">
        <f>IF(AND(tbl_main[[#This Row],[Price]]="",tbl_main[[#This Row],[Qty]]=""),"",tbl_main[[#This Row],[Price]]*tbl_main[[#This Row],[Qty]])</f>
        <v>1000</v>
      </c>
      <c r="N279" s="3">
        <f>_xlfn.LET(_xlpm.x,_xlfn.XLOOKUP(tbl_main[[#This Row],[Service]],tbl_service[Service],tbl_service[Profit],""),
               IF(tbl_main[[#This Row],[Qty]]="","",_xlpm.x*tbl_main[[#This Row],[Qty]]))</f>
        <v>450</v>
      </c>
    </row>
    <row r="280" spans="1:14" x14ac:dyDescent="0.25">
      <c r="A280" t="s">
        <v>322</v>
      </c>
      <c r="B280" s="1">
        <v>45745</v>
      </c>
      <c r="C280">
        <f>IF(tbl_main[[#This Row],[Date]]="","",YEAR(B280))</f>
        <v>2025</v>
      </c>
      <c r="D280" t="str">
        <f>IF(tbl_main[[#This Row],[Date]]="","",TEXT(B280,"mmm"))</f>
        <v>Mar</v>
      </c>
      <c r="E280" t="str">
        <f>IF(tbl_main[[#This Row],[Date]]="","",TEXT(B280,"DDD"))</f>
        <v>Sat</v>
      </c>
      <c r="F280" t="s">
        <v>20</v>
      </c>
      <c r="G280" t="s">
        <v>21</v>
      </c>
      <c r="H280" s="3" t="s">
        <v>22</v>
      </c>
      <c r="I280" s="3" t="s">
        <v>41</v>
      </c>
      <c r="J280" s="3" t="s">
        <v>25</v>
      </c>
      <c r="K280" s="3">
        <f>_xlfn.XLOOKUP(tbl_main[[#This Row],[Service]],tbl_service[Service],tbl_service[Price],"")</f>
        <v>150</v>
      </c>
      <c r="L280" s="3">
        <v>1</v>
      </c>
      <c r="M280" s="3">
        <f>IF(AND(tbl_main[[#This Row],[Price]]="",tbl_main[[#This Row],[Qty]]=""),"",tbl_main[[#This Row],[Price]]*tbl_main[[#This Row],[Qty]])</f>
        <v>150</v>
      </c>
      <c r="N280" s="3">
        <f>_xlfn.LET(_xlpm.x,_xlfn.XLOOKUP(tbl_main[[#This Row],[Service]],tbl_service[Service],tbl_service[Profit],""),
               IF(tbl_main[[#This Row],[Qty]]="","",_xlpm.x*tbl_main[[#This Row],[Qty]]))</f>
        <v>67</v>
      </c>
    </row>
    <row r="281" spans="1:14" x14ac:dyDescent="0.25">
      <c r="A281" t="s">
        <v>323</v>
      </c>
      <c r="B281" s="1">
        <v>45745</v>
      </c>
      <c r="C281">
        <f>IF(tbl_main[[#This Row],[Date]]="","",YEAR(B281))</f>
        <v>2025</v>
      </c>
      <c r="D281" t="str">
        <f>IF(tbl_main[[#This Row],[Date]]="","",TEXT(B281,"mmm"))</f>
        <v>Mar</v>
      </c>
      <c r="E281" t="str">
        <f>IF(tbl_main[[#This Row],[Date]]="","",TEXT(B281,"DDD"))</f>
        <v>Sat</v>
      </c>
      <c r="F281" t="s">
        <v>13</v>
      </c>
      <c r="G281" t="s">
        <v>33</v>
      </c>
      <c r="H281" s="3" t="s">
        <v>18</v>
      </c>
      <c r="I281" s="3" t="s">
        <v>41</v>
      </c>
      <c r="J281" s="3" t="s">
        <v>32</v>
      </c>
      <c r="K281" s="3">
        <f>_xlfn.XLOOKUP(tbl_main[[#This Row],[Service]],tbl_service[Service],tbl_service[Price],"")</f>
        <v>500</v>
      </c>
      <c r="L281" s="3">
        <v>1</v>
      </c>
      <c r="M281" s="3">
        <f>IF(AND(tbl_main[[#This Row],[Price]]="",tbl_main[[#This Row],[Qty]]=""),"",tbl_main[[#This Row],[Price]]*tbl_main[[#This Row],[Qty]])</f>
        <v>500</v>
      </c>
      <c r="N281" s="3">
        <f>_xlfn.LET(_xlpm.x,_xlfn.XLOOKUP(tbl_main[[#This Row],[Service]],tbl_service[Service],tbl_service[Profit],""),
               IF(tbl_main[[#This Row],[Qty]]="","",_xlpm.x*tbl_main[[#This Row],[Qty]]))</f>
        <v>157</v>
      </c>
    </row>
    <row r="282" spans="1:14" x14ac:dyDescent="0.25">
      <c r="A282" t="s">
        <v>324</v>
      </c>
      <c r="B282" s="1">
        <v>45745</v>
      </c>
      <c r="C282">
        <f>IF(tbl_main[[#This Row],[Date]]="","",YEAR(B282))</f>
        <v>2025</v>
      </c>
      <c r="D282" t="str">
        <f>IF(tbl_main[[#This Row],[Date]]="","",TEXT(B282,"mmm"))</f>
        <v>Mar</v>
      </c>
      <c r="E282" t="str">
        <f>IF(tbl_main[[#This Row],[Date]]="","",TEXT(B282,"DDD"))</f>
        <v>Sat</v>
      </c>
      <c r="F282" t="s">
        <v>20</v>
      </c>
      <c r="G282" t="s">
        <v>21</v>
      </c>
      <c r="H282" s="3" t="s">
        <v>15</v>
      </c>
      <c r="I282" s="3" t="s">
        <v>41</v>
      </c>
      <c r="J282" s="3" t="s">
        <v>25</v>
      </c>
      <c r="K282" s="3">
        <f>_xlfn.XLOOKUP(tbl_main[[#This Row],[Service]],tbl_service[Service],tbl_service[Price],"")</f>
        <v>500</v>
      </c>
      <c r="L282" s="3">
        <v>2</v>
      </c>
      <c r="M282" s="3">
        <f>IF(AND(tbl_main[[#This Row],[Price]]="",tbl_main[[#This Row],[Qty]]=""),"",tbl_main[[#This Row],[Price]]*tbl_main[[#This Row],[Qty]])</f>
        <v>1000</v>
      </c>
      <c r="N282" s="3">
        <f>_xlfn.LET(_xlpm.x,_xlfn.XLOOKUP(tbl_main[[#This Row],[Service]],tbl_service[Service],tbl_service[Profit],""),
               IF(tbl_main[[#This Row],[Qty]]="","",_xlpm.x*tbl_main[[#This Row],[Qty]]))</f>
        <v>450</v>
      </c>
    </row>
    <row r="283" spans="1:14" x14ac:dyDescent="0.25">
      <c r="A283" t="s">
        <v>325</v>
      </c>
      <c r="B283" s="1">
        <v>45745</v>
      </c>
      <c r="C283">
        <f>IF(tbl_main[[#This Row],[Date]]="","",YEAR(B283))</f>
        <v>2025</v>
      </c>
      <c r="D283" t="str">
        <f>IF(tbl_main[[#This Row],[Date]]="","",TEXT(B283,"mmm"))</f>
        <v>Mar</v>
      </c>
      <c r="E283" t="str">
        <f>IF(tbl_main[[#This Row],[Date]]="","",TEXT(B283,"DDD"))</f>
        <v>Sat</v>
      </c>
      <c r="F283" t="s">
        <v>13</v>
      </c>
      <c r="G283" t="s">
        <v>33</v>
      </c>
      <c r="H283" s="3" t="s">
        <v>18</v>
      </c>
      <c r="I283" s="3" t="s">
        <v>41</v>
      </c>
      <c r="J283" s="3" t="s">
        <v>25</v>
      </c>
      <c r="K283" s="3">
        <f>_xlfn.XLOOKUP(tbl_main[[#This Row],[Service]],tbl_service[Service],tbl_service[Price],"")</f>
        <v>500</v>
      </c>
      <c r="L283" s="3">
        <v>1</v>
      </c>
      <c r="M283" s="3">
        <f>IF(AND(tbl_main[[#This Row],[Price]]="",tbl_main[[#This Row],[Qty]]=""),"",tbl_main[[#This Row],[Price]]*tbl_main[[#This Row],[Qty]])</f>
        <v>500</v>
      </c>
      <c r="N283" s="3">
        <f>_xlfn.LET(_xlpm.x,_xlfn.XLOOKUP(tbl_main[[#This Row],[Service]],tbl_service[Service],tbl_service[Profit],""),
               IF(tbl_main[[#This Row],[Qty]]="","",_xlpm.x*tbl_main[[#This Row],[Qty]]))</f>
        <v>157</v>
      </c>
    </row>
    <row r="284" spans="1:14" x14ac:dyDescent="0.25">
      <c r="A284" t="s">
        <v>326</v>
      </c>
      <c r="B284" s="1">
        <v>45746</v>
      </c>
      <c r="C284">
        <f>IF(tbl_main[[#This Row],[Date]]="","",YEAR(B284))</f>
        <v>2025</v>
      </c>
      <c r="D284" t="str">
        <f>IF(tbl_main[[#This Row],[Date]]="","",TEXT(B284,"mmm"))</f>
        <v>Mar</v>
      </c>
      <c r="E284" t="str">
        <f>IF(tbl_main[[#This Row],[Date]]="","",TEXT(B284,"DDD"))</f>
        <v>Sun</v>
      </c>
      <c r="F284" t="s">
        <v>27</v>
      </c>
      <c r="G284" t="s">
        <v>40</v>
      </c>
      <c r="H284" s="3" t="s">
        <v>18</v>
      </c>
      <c r="I284" s="3" t="s">
        <v>41</v>
      </c>
      <c r="J284" s="3" t="s">
        <v>25</v>
      </c>
      <c r="K284" s="3">
        <f>_xlfn.XLOOKUP(tbl_main[[#This Row],[Service]],tbl_service[Service],tbl_service[Price],"")</f>
        <v>500</v>
      </c>
      <c r="L284" s="3">
        <v>2</v>
      </c>
      <c r="M284" s="3">
        <f>IF(AND(tbl_main[[#This Row],[Price]]="",tbl_main[[#This Row],[Qty]]=""),"",tbl_main[[#This Row],[Price]]*tbl_main[[#This Row],[Qty]])</f>
        <v>1000</v>
      </c>
      <c r="N284" s="3">
        <f>_xlfn.LET(_xlpm.x,_xlfn.XLOOKUP(tbl_main[[#This Row],[Service]],tbl_service[Service],tbl_service[Profit],""),
               IF(tbl_main[[#This Row],[Qty]]="","",_xlpm.x*tbl_main[[#This Row],[Qty]]))</f>
        <v>314</v>
      </c>
    </row>
    <row r="285" spans="1:14" x14ac:dyDescent="0.25">
      <c r="A285" t="s">
        <v>327</v>
      </c>
      <c r="B285" s="1">
        <v>45746</v>
      </c>
      <c r="C285">
        <f>IF(tbl_main[[#This Row],[Date]]="","",YEAR(B285))</f>
        <v>2025</v>
      </c>
      <c r="D285" t="str">
        <f>IF(tbl_main[[#This Row],[Date]]="","",TEXT(B285,"mmm"))</f>
        <v>Mar</v>
      </c>
      <c r="E285" t="str">
        <f>IF(tbl_main[[#This Row],[Date]]="","",TEXT(B285,"DDD"))</f>
        <v>Sun</v>
      </c>
      <c r="F285" t="s">
        <v>30</v>
      </c>
      <c r="G285" t="s">
        <v>31</v>
      </c>
      <c r="H285" s="3" t="s">
        <v>26</v>
      </c>
      <c r="I285" s="3" t="s">
        <v>41</v>
      </c>
      <c r="J285" s="3" t="s">
        <v>32</v>
      </c>
      <c r="K285" s="3">
        <f>_xlfn.XLOOKUP(tbl_main[[#This Row],[Service]],tbl_service[Service],tbl_service[Price],"")</f>
        <v>200</v>
      </c>
      <c r="L285" s="3">
        <v>2</v>
      </c>
      <c r="M285" s="3">
        <f>IF(AND(tbl_main[[#This Row],[Price]]="",tbl_main[[#This Row],[Qty]]=""),"",tbl_main[[#This Row],[Price]]*tbl_main[[#This Row],[Qty]])</f>
        <v>400</v>
      </c>
      <c r="N285" s="3">
        <f>_xlfn.LET(_xlpm.x,_xlfn.XLOOKUP(tbl_main[[#This Row],[Service]],tbl_service[Service],tbl_service[Profit],""),
               IF(tbl_main[[#This Row],[Qty]]="","",_xlpm.x*tbl_main[[#This Row],[Qty]]))</f>
        <v>180</v>
      </c>
    </row>
    <row r="286" spans="1:14" x14ac:dyDescent="0.25">
      <c r="A286" t="s">
        <v>328</v>
      </c>
      <c r="B286" s="1">
        <v>45746</v>
      </c>
      <c r="C286">
        <f>IF(tbl_main[[#This Row],[Date]]="","",YEAR(B286))</f>
        <v>2025</v>
      </c>
      <c r="D286" t="str">
        <f>IF(tbl_main[[#This Row],[Date]]="","",TEXT(B286,"mmm"))</f>
        <v>Mar</v>
      </c>
      <c r="E286" t="str">
        <f>IF(tbl_main[[#This Row],[Date]]="","",TEXT(B286,"DDD"))</f>
        <v>Sun</v>
      </c>
      <c r="F286" t="s">
        <v>13</v>
      </c>
      <c r="G286" t="s">
        <v>14</v>
      </c>
      <c r="H286" s="3" t="s">
        <v>34</v>
      </c>
      <c r="I286" s="3" t="s">
        <v>41</v>
      </c>
      <c r="J286" s="3" t="s">
        <v>17</v>
      </c>
      <c r="K286" s="3">
        <f>_xlfn.XLOOKUP(tbl_main[[#This Row],[Service]],tbl_service[Service],tbl_service[Price],"")</f>
        <v>100</v>
      </c>
      <c r="L286" s="3">
        <v>1</v>
      </c>
      <c r="M286" s="3">
        <f>IF(AND(tbl_main[[#This Row],[Price]]="",tbl_main[[#This Row],[Qty]]=""),"",tbl_main[[#This Row],[Price]]*tbl_main[[#This Row],[Qty]])</f>
        <v>100</v>
      </c>
      <c r="N286" s="3">
        <f>_xlfn.LET(_xlpm.x,_xlfn.XLOOKUP(tbl_main[[#This Row],[Service]],tbl_service[Service],tbl_service[Profit],""),
               IF(tbl_main[[#This Row],[Qty]]="","",_xlpm.x*tbl_main[[#This Row],[Qty]]))</f>
        <v>45</v>
      </c>
    </row>
    <row r="287" spans="1:14" x14ac:dyDescent="0.25">
      <c r="A287" t="s">
        <v>329</v>
      </c>
      <c r="B287" s="1">
        <v>45746</v>
      </c>
      <c r="C287">
        <f>IF(tbl_main[[#This Row],[Date]]="","",YEAR(B287))</f>
        <v>2025</v>
      </c>
      <c r="D287" t="str">
        <f>IF(tbl_main[[#This Row],[Date]]="","",TEXT(B287,"mmm"))</f>
        <v>Mar</v>
      </c>
      <c r="E287" t="str">
        <f>IF(tbl_main[[#This Row],[Date]]="","",TEXT(B287,"DDD"))</f>
        <v>Sun</v>
      </c>
      <c r="F287" t="s">
        <v>27</v>
      </c>
      <c r="G287" t="s">
        <v>28</v>
      </c>
      <c r="H287" s="3" t="s">
        <v>26</v>
      </c>
      <c r="I287" s="3" t="s">
        <v>41</v>
      </c>
      <c r="J287" s="3" t="s">
        <v>25</v>
      </c>
      <c r="K287" s="3">
        <f>_xlfn.XLOOKUP(tbl_main[[#This Row],[Service]],tbl_service[Service],tbl_service[Price],"")</f>
        <v>200</v>
      </c>
      <c r="L287" s="3">
        <v>1</v>
      </c>
      <c r="M287" s="3">
        <f>IF(AND(tbl_main[[#This Row],[Price]]="",tbl_main[[#This Row],[Qty]]=""),"",tbl_main[[#This Row],[Price]]*tbl_main[[#This Row],[Qty]])</f>
        <v>200</v>
      </c>
      <c r="N287" s="3">
        <f>_xlfn.LET(_xlpm.x,_xlfn.XLOOKUP(tbl_main[[#This Row],[Service]],tbl_service[Service],tbl_service[Profit],""),
               IF(tbl_main[[#This Row],[Qty]]="","",_xlpm.x*tbl_main[[#This Row],[Qty]]))</f>
        <v>90</v>
      </c>
    </row>
    <row r="288" spans="1:14" x14ac:dyDescent="0.25">
      <c r="A288" t="s">
        <v>330</v>
      </c>
      <c r="B288" s="1">
        <v>45747</v>
      </c>
      <c r="C288">
        <f>IF(tbl_main[[#This Row],[Date]]="","",YEAR(B288))</f>
        <v>2025</v>
      </c>
      <c r="D288" t="str">
        <f>IF(tbl_main[[#This Row],[Date]]="","",TEXT(B288,"mmm"))</f>
        <v>Mar</v>
      </c>
      <c r="E288" t="str">
        <f>IF(tbl_main[[#This Row],[Date]]="","",TEXT(B288,"DDD"))</f>
        <v>Mon</v>
      </c>
      <c r="F288" t="s">
        <v>27</v>
      </c>
      <c r="G288" t="s">
        <v>28</v>
      </c>
      <c r="H288" s="3" t="s">
        <v>34</v>
      </c>
      <c r="I288" s="3" t="s">
        <v>35</v>
      </c>
      <c r="J288" s="3" t="s">
        <v>17</v>
      </c>
      <c r="K288" s="3">
        <f>_xlfn.XLOOKUP(tbl_main[[#This Row],[Service]],tbl_service[Service],tbl_service[Price],"")</f>
        <v>100</v>
      </c>
      <c r="L288" s="3">
        <v>2</v>
      </c>
      <c r="M288" s="3">
        <f>IF(AND(tbl_main[[#This Row],[Price]]="",tbl_main[[#This Row],[Qty]]=""),"",tbl_main[[#This Row],[Price]]*tbl_main[[#This Row],[Qty]])</f>
        <v>200</v>
      </c>
      <c r="N288" s="3">
        <f>_xlfn.LET(_xlpm.x,_xlfn.XLOOKUP(tbl_main[[#This Row],[Service]],tbl_service[Service],tbl_service[Profit],""),
               IF(tbl_main[[#This Row],[Qty]]="","",_xlpm.x*tbl_main[[#This Row],[Qty]]))</f>
        <v>90</v>
      </c>
    </row>
    <row r="289" spans="1:14" x14ac:dyDescent="0.25">
      <c r="A289" t="s">
        <v>331</v>
      </c>
      <c r="B289" s="1">
        <v>45747</v>
      </c>
      <c r="C289">
        <f>IF(tbl_main[[#This Row],[Date]]="","",YEAR(B289))</f>
        <v>2025</v>
      </c>
      <c r="D289" t="str">
        <f>IF(tbl_main[[#This Row],[Date]]="","",TEXT(B289,"mmm"))</f>
        <v>Mar</v>
      </c>
      <c r="E289" t="str">
        <f>IF(tbl_main[[#This Row],[Date]]="","",TEXT(B289,"DDD"))</f>
        <v>Mon</v>
      </c>
      <c r="F289" t="s">
        <v>27</v>
      </c>
      <c r="G289" t="s">
        <v>40</v>
      </c>
      <c r="H289" s="3" t="s">
        <v>34</v>
      </c>
      <c r="I289" s="3" t="s">
        <v>23</v>
      </c>
      <c r="J289" s="3" t="s">
        <v>32</v>
      </c>
      <c r="K289" s="3">
        <f>_xlfn.XLOOKUP(tbl_main[[#This Row],[Service]],tbl_service[Service],tbl_service[Price],"")</f>
        <v>100</v>
      </c>
      <c r="L289" s="3">
        <v>2</v>
      </c>
      <c r="M289" s="3">
        <f>IF(AND(tbl_main[[#This Row],[Price]]="",tbl_main[[#This Row],[Qty]]=""),"",tbl_main[[#This Row],[Price]]*tbl_main[[#This Row],[Qty]])</f>
        <v>200</v>
      </c>
      <c r="N289" s="3">
        <f>_xlfn.LET(_xlpm.x,_xlfn.XLOOKUP(tbl_main[[#This Row],[Service]],tbl_service[Service],tbl_service[Profit],""),
               IF(tbl_main[[#This Row],[Qty]]="","",_xlpm.x*tbl_main[[#This Row],[Qty]]))</f>
        <v>90</v>
      </c>
    </row>
    <row r="290" spans="1:14" x14ac:dyDescent="0.25">
      <c r="A290" t="s">
        <v>332</v>
      </c>
      <c r="B290" s="1">
        <v>45747</v>
      </c>
      <c r="C290">
        <f>IF(tbl_main[[#This Row],[Date]]="","",YEAR(B290))</f>
        <v>2025</v>
      </c>
      <c r="D290" t="str">
        <f>IF(tbl_main[[#This Row],[Date]]="","",TEXT(B290,"mmm"))</f>
        <v>Mar</v>
      </c>
      <c r="E290" t="str">
        <f>IF(tbl_main[[#This Row],[Date]]="","",TEXT(B290,"DDD"))</f>
        <v>Mon</v>
      </c>
      <c r="F290" t="s">
        <v>30</v>
      </c>
      <c r="G290" t="s">
        <v>36</v>
      </c>
      <c r="H290" s="3" t="s">
        <v>34</v>
      </c>
      <c r="I290" s="3" t="s">
        <v>37</v>
      </c>
      <c r="J290" s="3" t="s">
        <v>32</v>
      </c>
      <c r="K290" s="3">
        <f>_xlfn.XLOOKUP(tbl_main[[#This Row],[Service]],tbl_service[Service],tbl_service[Price],"")</f>
        <v>100</v>
      </c>
      <c r="L290" s="3">
        <v>1</v>
      </c>
      <c r="M290" s="3">
        <f>IF(AND(tbl_main[[#This Row],[Price]]="",tbl_main[[#This Row],[Qty]]=""),"",tbl_main[[#This Row],[Price]]*tbl_main[[#This Row],[Qty]])</f>
        <v>100</v>
      </c>
      <c r="N290" s="3">
        <f>_xlfn.LET(_xlpm.x,_xlfn.XLOOKUP(tbl_main[[#This Row],[Service]],tbl_service[Service],tbl_service[Profit],""),
               IF(tbl_main[[#This Row],[Qty]]="","",_xlpm.x*tbl_main[[#This Row],[Qty]]))</f>
        <v>45</v>
      </c>
    </row>
    <row r="291" spans="1:14" x14ac:dyDescent="0.25">
      <c r="A291" t="s">
        <v>333</v>
      </c>
      <c r="B291" s="1">
        <v>45748</v>
      </c>
      <c r="C291">
        <f>IF(tbl_main[[#This Row],[Date]]="","",YEAR(B291))</f>
        <v>2025</v>
      </c>
      <c r="D291" t="str">
        <f>IF(tbl_main[[#This Row],[Date]]="","",TEXT(B291,"mmm"))</f>
        <v>Apr</v>
      </c>
      <c r="E291" t="str">
        <f>IF(tbl_main[[#This Row],[Date]]="","",TEXT(B291,"DDD"))</f>
        <v>Tue</v>
      </c>
      <c r="F291" t="s">
        <v>30</v>
      </c>
      <c r="G291" t="s">
        <v>31</v>
      </c>
      <c r="H291" s="3" t="s">
        <v>26</v>
      </c>
      <c r="I291" s="3" t="s">
        <v>38</v>
      </c>
      <c r="J291" s="3" t="s">
        <v>25</v>
      </c>
      <c r="K291" s="3">
        <f>_xlfn.XLOOKUP(tbl_main[[#This Row],[Service]],tbl_service[Service],tbl_service[Price],"")</f>
        <v>200</v>
      </c>
      <c r="L291" s="3">
        <v>1</v>
      </c>
      <c r="M291" s="3">
        <f>IF(AND(tbl_main[[#This Row],[Price]]="",tbl_main[[#This Row],[Qty]]=""),"",tbl_main[[#This Row],[Price]]*tbl_main[[#This Row],[Qty]])</f>
        <v>200</v>
      </c>
      <c r="N291" s="3">
        <f>_xlfn.LET(_xlpm.x,_xlfn.XLOOKUP(tbl_main[[#This Row],[Service]],tbl_service[Service],tbl_service[Profit],""),
               IF(tbl_main[[#This Row],[Qty]]="","",_xlpm.x*tbl_main[[#This Row],[Qty]]))</f>
        <v>90</v>
      </c>
    </row>
    <row r="292" spans="1:14" x14ac:dyDescent="0.25">
      <c r="A292" t="s">
        <v>334</v>
      </c>
      <c r="B292" s="1">
        <v>45748</v>
      </c>
      <c r="C292">
        <f>IF(tbl_main[[#This Row],[Date]]="","",YEAR(B292))</f>
        <v>2025</v>
      </c>
      <c r="D292" t="str">
        <f>IF(tbl_main[[#This Row],[Date]]="","",TEXT(B292,"mmm"))</f>
        <v>Apr</v>
      </c>
      <c r="E292" t="str">
        <f>IF(tbl_main[[#This Row],[Date]]="","",TEXT(B292,"DDD"))</f>
        <v>Tue</v>
      </c>
      <c r="F292" t="s">
        <v>30</v>
      </c>
      <c r="G292" t="s">
        <v>31</v>
      </c>
      <c r="H292" s="3" t="s">
        <v>15</v>
      </c>
      <c r="I292" s="3" t="s">
        <v>16</v>
      </c>
      <c r="J292" s="3" t="s">
        <v>32</v>
      </c>
      <c r="K292" s="3">
        <f>_xlfn.XLOOKUP(tbl_main[[#This Row],[Service]],tbl_service[Service],tbl_service[Price],"")</f>
        <v>500</v>
      </c>
      <c r="L292" s="3">
        <v>1</v>
      </c>
      <c r="M292" s="3">
        <f>IF(AND(tbl_main[[#This Row],[Price]]="",tbl_main[[#This Row],[Qty]]=""),"",tbl_main[[#This Row],[Price]]*tbl_main[[#This Row],[Qty]])</f>
        <v>500</v>
      </c>
      <c r="N292" s="3">
        <f>_xlfn.LET(_xlpm.x,_xlfn.XLOOKUP(tbl_main[[#This Row],[Service]],tbl_service[Service],tbl_service[Profit],""),
               IF(tbl_main[[#This Row],[Qty]]="","",_xlpm.x*tbl_main[[#This Row],[Qty]]))</f>
        <v>225</v>
      </c>
    </row>
    <row r="293" spans="1:14" x14ac:dyDescent="0.25">
      <c r="A293" t="s">
        <v>335</v>
      </c>
      <c r="B293" s="1">
        <v>45749</v>
      </c>
      <c r="C293">
        <f>IF(tbl_main[[#This Row],[Date]]="","",YEAR(B293))</f>
        <v>2025</v>
      </c>
      <c r="D293" t="str">
        <f>IF(tbl_main[[#This Row],[Date]]="","",TEXT(B293,"mmm"))</f>
        <v>Apr</v>
      </c>
      <c r="E293" t="str">
        <f>IF(tbl_main[[#This Row],[Date]]="","",TEXT(B293,"DDD"))</f>
        <v>Wed</v>
      </c>
      <c r="F293" t="s">
        <v>20</v>
      </c>
      <c r="G293" t="s">
        <v>39</v>
      </c>
      <c r="H293" s="3" t="s">
        <v>26</v>
      </c>
      <c r="I293" s="3" t="s">
        <v>19</v>
      </c>
      <c r="J293" s="3" t="s">
        <v>32</v>
      </c>
      <c r="K293" s="3">
        <f>_xlfn.XLOOKUP(tbl_main[[#This Row],[Service]],tbl_service[Service],tbl_service[Price],"")</f>
        <v>200</v>
      </c>
      <c r="L293" s="3">
        <v>1</v>
      </c>
      <c r="M293" s="3">
        <f>IF(AND(tbl_main[[#This Row],[Price]]="",tbl_main[[#This Row],[Qty]]=""),"",tbl_main[[#This Row],[Price]]*tbl_main[[#This Row],[Qty]])</f>
        <v>200</v>
      </c>
      <c r="N293" s="3">
        <f>_xlfn.LET(_xlpm.x,_xlfn.XLOOKUP(tbl_main[[#This Row],[Service]],tbl_service[Service],tbl_service[Profit],""),
               IF(tbl_main[[#This Row],[Qty]]="","",_xlpm.x*tbl_main[[#This Row],[Qty]]))</f>
        <v>90</v>
      </c>
    </row>
    <row r="294" spans="1:14" x14ac:dyDescent="0.25">
      <c r="A294" t="s">
        <v>336</v>
      </c>
      <c r="B294" s="1">
        <v>45749</v>
      </c>
      <c r="C294">
        <f>IF(tbl_main[[#This Row],[Date]]="","",YEAR(B294))</f>
        <v>2025</v>
      </c>
      <c r="D294" t="str">
        <f>IF(tbl_main[[#This Row],[Date]]="","",TEXT(B294,"mmm"))</f>
        <v>Apr</v>
      </c>
      <c r="E294" t="str">
        <f>IF(tbl_main[[#This Row],[Date]]="","",TEXT(B294,"DDD"))</f>
        <v>Wed</v>
      </c>
      <c r="F294" t="s">
        <v>13</v>
      </c>
      <c r="G294" t="s">
        <v>14</v>
      </c>
      <c r="H294" s="3" t="s">
        <v>15</v>
      </c>
      <c r="I294" s="3" t="s">
        <v>42</v>
      </c>
      <c r="J294" s="3" t="s">
        <v>25</v>
      </c>
      <c r="K294" s="3">
        <f>_xlfn.XLOOKUP(tbl_main[[#This Row],[Service]],tbl_service[Service],tbl_service[Price],"")</f>
        <v>500</v>
      </c>
      <c r="L294" s="3">
        <v>1</v>
      </c>
      <c r="M294" s="3">
        <f>IF(AND(tbl_main[[#This Row],[Price]]="",tbl_main[[#This Row],[Qty]]=""),"",tbl_main[[#This Row],[Price]]*tbl_main[[#This Row],[Qty]])</f>
        <v>500</v>
      </c>
      <c r="N294" s="3">
        <f>_xlfn.LET(_xlpm.x,_xlfn.XLOOKUP(tbl_main[[#This Row],[Service]],tbl_service[Service],tbl_service[Profit],""),
               IF(tbl_main[[#This Row],[Qty]]="","",_xlpm.x*tbl_main[[#This Row],[Qty]]))</f>
        <v>225</v>
      </c>
    </row>
    <row r="295" spans="1:14" x14ac:dyDescent="0.25">
      <c r="A295" t="s">
        <v>337</v>
      </c>
      <c r="B295" s="1">
        <v>45749</v>
      </c>
      <c r="C295">
        <f>IF(tbl_main[[#This Row],[Date]]="","",YEAR(B295))</f>
        <v>2025</v>
      </c>
      <c r="D295" t="str">
        <f>IF(tbl_main[[#This Row],[Date]]="","",TEXT(B295,"mmm"))</f>
        <v>Apr</v>
      </c>
      <c r="E295" t="str">
        <f>IF(tbl_main[[#This Row],[Date]]="","",TEXT(B295,"DDD"))</f>
        <v>Wed</v>
      </c>
      <c r="F295" t="s">
        <v>30</v>
      </c>
      <c r="G295" t="s">
        <v>36</v>
      </c>
      <c r="H295" s="3" t="s">
        <v>24</v>
      </c>
      <c r="I295" s="3" t="s">
        <v>41</v>
      </c>
      <c r="J295" s="3" t="s">
        <v>32</v>
      </c>
      <c r="K295" s="3">
        <f>_xlfn.XLOOKUP(tbl_main[[#This Row],[Service]],tbl_service[Service],tbl_service[Price],"")</f>
        <v>80</v>
      </c>
      <c r="L295" s="3">
        <v>2</v>
      </c>
      <c r="M295" s="3">
        <f>IF(AND(tbl_main[[#This Row],[Price]]="",tbl_main[[#This Row],[Qty]]=""),"",tbl_main[[#This Row],[Price]]*tbl_main[[#This Row],[Qty]])</f>
        <v>160</v>
      </c>
      <c r="N295" s="3">
        <f>_xlfn.LET(_xlpm.x,_xlfn.XLOOKUP(tbl_main[[#This Row],[Service]],tbl_service[Service],tbl_service[Profit],""),
               IF(tbl_main[[#This Row],[Qty]]="","",_xlpm.x*tbl_main[[#This Row],[Qty]]))</f>
        <v>72</v>
      </c>
    </row>
    <row r="296" spans="1:14" x14ac:dyDescent="0.25">
      <c r="A296" t="s">
        <v>338</v>
      </c>
      <c r="B296" s="1">
        <v>45749</v>
      </c>
      <c r="C296">
        <f>IF(tbl_main[[#This Row],[Date]]="","",YEAR(B296))</f>
        <v>2025</v>
      </c>
      <c r="D296" t="str">
        <f>IF(tbl_main[[#This Row],[Date]]="","",TEXT(B296,"mmm"))</f>
        <v>Apr</v>
      </c>
      <c r="E296" t="str">
        <f>IF(tbl_main[[#This Row],[Date]]="","",TEXT(B296,"DDD"))</f>
        <v>Wed</v>
      </c>
      <c r="F296" t="s">
        <v>27</v>
      </c>
      <c r="G296" t="s">
        <v>28</v>
      </c>
      <c r="H296" s="3" t="s">
        <v>26</v>
      </c>
      <c r="I296" s="3" t="s">
        <v>41</v>
      </c>
      <c r="J296" s="3" t="s">
        <v>17</v>
      </c>
      <c r="K296" s="3">
        <f>_xlfn.XLOOKUP(tbl_main[[#This Row],[Service]],tbl_service[Service],tbl_service[Price],"")</f>
        <v>200</v>
      </c>
      <c r="L296" s="3">
        <v>2</v>
      </c>
      <c r="M296" s="3">
        <f>IF(AND(tbl_main[[#This Row],[Price]]="",tbl_main[[#This Row],[Qty]]=""),"",tbl_main[[#This Row],[Price]]*tbl_main[[#This Row],[Qty]])</f>
        <v>400</v>
      </c>
      <c r="N296" s="3">
        <f>_xlfn.LET(_xlpm.x,_xlfn.XLOOKUP(tbl_main[[#This Row],[Service]],tbl_service[Service],tbl_service[Profit],""),
               IF(tbl_main[[#This Row],[Qty]]="","",_xlpm.x*tbl_main[[#This Row],[Qty]]))</f>
        <v>180</v>
      </c>
    </row>
    <row r="297" spans="1:14" x14ac:dyDescent="0.25">
      <c r="A297" t="s">
        <v>339</v>
      </c>
      <c r="B297" s="1">
        <v>45750</v>
      </c>
      <c r="C297">
        <f>IF(tbl_main[[#This Row],[Date]]="","",YEAR(B297))</f>
        <v>2025</v>
      </c>
      <c r="D297" t="str">
        <f>IF(tbl_main[[#This Row],[Date]]="","",TEXT(B297,"mmm"))</f>
        <v>Apr</v>
      </c>
      <c r="E297" t="str">
        <f>IF(tbl_main[[#This Row],[Date]]="","",TEXT(B297,"DDD"))</f>
        <v>Thu</v>
      </c>
      <c r="F297" t="s">
        <v>30</v>
      </c>
      <c r="G297" t="s">
        <v>36</v>
      </c>
      <c r="H297" s="3" t="s">
        <v>34</v>
      </c>
      <c r="I297" s="3" t="s">
        <v>35</v>
      </c>
      <c r="J297" s="3" t="s">
        <v>17</v>
      </c>
      <c r="K297" s="3">
        <f>_xlfn.XLOOKUP(tbl_main[[#This Row],[Service]],tbl_service[Service],tbl_service[Price],"")</f>
        <v>100</v>
      </c>
      <c r="L297" s="3">
        <v>1</v>
      </c>
      <c r="M297" s="3">
        <f>IF(AND(tbl_main[[#This Row],[Price]]="",tbl_main[[#This Row],[Qty]]=""),"",tbl_main[[#This Row],[Price]]*tbl_main[[#This Row],[Qty]])</f>
        <v>100</v>
      </c>
      <c r="N297" s="3">
        <f>_xlfn.LET(_xlpm.x,_xlfn.XLOOKUP(tbl_main[[#This Row],[Service]],tbl_service[Service],tbl_service[Profit],""),
               IF(tbl_main[[#This Row],[Qty]]="","",_xlpm.x*tbl_main[[#This Row],[Qty]]))</f>
        <v>45</v>
      </c>
    </row>
    <row r="298" spans="1:14" x14ac:dyDescent="0.25">
      <c r="A298" t="s">
        <v>340</v>
      </c>
      <c r="B298" s="1">
        <v>45750</v>
      </c>
      <c r="C298">
        <f>IF(tbl_main[[#This Row],[Date]]="","",YEAR(B298))</f>
        <v>2025</v>
      </c>
      <c r="D298" t="str">
        <f>IF(tbl_main[[#This Row],[Date]]="","",TEXT(B298,"mmm"))</f>
        <v>Apr</v>
      </c>
      <c r="E298" t="str">
        <f>IF(tbl_main[[#This Row],[Date]]="","",TEXT(B298,"DDD"))</f>
        <v>Thu</v>
      </c>
      <c r="F298" t="s">
        <v>13</v>
      </c>
      <c r="G298" t="s">
        <v>14</v>
      </c>
      <c r="H298" s="3" t="s">
        <v>22</v>
      </c>
      <c r="I298" s="3" t="s">
        <v>35</v>
      </c>
      <c r="J298" s="3" t="s">
        <v>32</v>
      </c>
      <c r="K298" s="3">
        <f>_xlfn.XLOOKUP(tbl_main[[#This Row],[Service]],tbl_service[Service],tbl_service[Price],"")</f>
        <v>150</v>
      </c>
      <c r="L298" s="3">
        <v>2</v>
      </c>
      <c r="M298" s="3">
        <f>IF(AND(tbl_main[[#This Row],[Price]]="",tbl_main[[#This Row],[Qty]]=""),"",tbl_main[[#This Row],[Price]]*tbl_main[[#This Row],[Qty]])</f>
        <v>300</v>
      </c>
      <c r="N298" s="3">
        <f>_xlfn.LET(_xlpm.x,_xlfn.XLOOKUP(tbl_main[[#This Row],[Service]],tbl_service[Service],tbl_service[Profit],""),
               IF(tbl_main[[#This Row],[Qty]]="","",_xlpm.x*tbl_main[[#This Row],[Qty]]))</f>
        <v>134</v>
      </c>
    </row>
    <row r="299" spans="1:14" x14ac:dyDescent="0.25">
      <c r="A299" t="s">
        <v>341</v>
      </c>
      <c r="B299" s="1">
        <v>45750</v>
      </c>
      <c r="C299">
        <f>IF(tbl_main[[#This Row],[Date]]="","",YEAR(B299))</f>
        <v>2025</v>
      </c>
      <c r="D299" t="str">
        <f>IF(tbl_main[[#This Row],[Date]]="","",TEXT(B299,"mmm"))</f>
        <v>Apr</v>
      </c>
      <c r="E299" t="str">
        <f>IF(tbl_main[[#This Row],[Date]]="","",TEXT(B299,"DDD"))</f>
        <v>Thu</v>
      </c>
      <c r="F299" t="s">
        <v>13</v>
      </c>
      <c r="G299" t="s">
        <v>33</v>
      </c>
      <c r="H299" s="3" t="s">
        <v>34</v>
      </c>
      <c r="I299" s="3" t="s">
        <v>23</v>
      </c>
      <c r="J299" s="3" t="s">
        <v>25</v>
      </c>
      <c r="K299" s="3">
        <f>_xlfn.XLOOKUP(tbl_main[[#This Row],[Service]],tbl_service[Service],tbl_service[Price],"")</f>
        <v>100</v>
      </c>
      <c r="L299" s="3">
        <v>1</v>
      </c>
      <c r="M299" s="3">
        <f>IF(AND(tbl_main[[#This Row],[Price]]="",tbl_main[[#This Row],[Qty]]=""),"",tbl_main[[#This Row],[Price]]*tbl_main[[#This Row],[Qty]])</f>
        <v>100</v>
      </c>
      <c r="N299" s="3">
        <f>_xlfn.LET(_xlpm.x,_xlfn.XLOOKUP(tbl_main[[#This Row],[Service]],tbl_service[Service],tbl_service[Profit],""),
               IF(tbl_main[[#This Row],[Qty]]="","",_xlpm.x*tbl_main[[#This Row],[Qty]]))</f>
        <v>45</v>
      </c>
    </row>
    <row r="300" spans="1:14" x14ac:dyDescent="0.25">
      <c r="A300" t="s">
        <v>342</v>
      </c>
      <c r="B300" s="1">
        <v>45750</v>
      </c>
      <c r="C300">
        <f>IF(tbl_main[[#This Row],[Date]]="","",YEAR(B300))</f>
        <v>2025</v>
      </c>
      <c r="D300" t="str">
        <f>IF(tbl_main[[#This Row],[Date]]="","",TEXT(B300,"mmm"))</f>
        <v>Apr</v>
      </c>
      <c r="E300" t="str">
        <f>IF(tbl_main[[#This Row],[Date]]="","",TEXT(B300,"DDD"))</f>
        <v>Thu</v>
      </c>
      <c r="F300" t="s">
        <v>27</v>
      </c>
      <c r="G300" t="s">
        <v>40</v>
      </c>
      <c r="H300" s="3" t="s">
        <v>34</v>
      </c>
      <c r="I300" s="3" t="s">
        <v>37</v>
      </c>
      <c r="J300" s="3" t="s">
        <v>32</v>
      </c>
      <c r="K300" s="3">
        <f>_xlfn.XLOOKUP(tbl_main[[#This Row],[Service]],tbl_service[Service],tbl_service[Price],"")</f>
        <v>100</v>
      </c>
      <c r="L300" s="3">
        <v>1</v>
      </c>
      <c r="M300" s="3">
        <f>IF(AND(tbl_main[[#This Row],[Price]]="",tbl_main[[#This Row],[Qty]]=""),"",tbl_main[[#This Row],[Price]]*tbl_main[[#This Row],[Qty]])</f>
        <v>100</v>
      </c>
      <c r="N300" s="3">
        <f>_xlfn.LET(_xlpm.x,_xlfn.XLOOKUP(tbl_main[[#This Row],[Service]],tbl_service[Service],tbl_service[Profit],""),
               IF(tbl_main[[#This Row],[Qty]]="","",_xlpm.x*tbl_main[[#This Row],[Qty]]))</f>
        <v>45</v>
      </c>
    </row>
    <row r="301" spans="1:14" x14ac:dyDescent="0.25">
      <c r="A301" t="s">
        <v>343</v>
      </c>
      <c r="B301" s="1">
        <v>45751</v>
      </c>
      <c r="C301">
        <f>IF(tbl_main[[#This Row],[Date]]="","",YEAR(B301))</f>
        <v>2025</v>
      </c>
      <c r="D301" t="str">
        <f>IF(tbl_main[[#This Row],[Date]]="","",TEXT(B301,"mmm"))</f>
        <v>Apr</v>
      </c>
      <c r="E301" t="str">
        <f>IF(tbl_main[[#This Row],[Date]]="","",TEXT(B301,"DDD"))</f>
        <v>Fri</v>
      </c>
      <c r="F301" t="s">
        <v>30</v>
      </c>
      <c r="G301" t="s">
        <v>36</v>
      </c>
      <c r="H301" s="3" t="s">
        <v>26</v>
      </c>
      <c r="I301" s="3" t="s">
        <v>38</v>
      </c>
      <c r="J301" s="3" t="s">
        <v>32</v>
      </c>
      <c r="K301" s="3">
        <f>_xlfn.XLOOKUP(tbl_main[[#This Row],[Service]],tbl_service[Service],tbl_service[Price],"")</f>
        <v>200</v>
      </c>
      <c r="L301" s="3">
        <v>1</v>
      </c>
      <c r="M301" s="3">
        <f>IF(AND(tbl_main[[#This Row],[Price]]="",tbl_main[[#This Row],[Qty]]=""),"",tbl_main[[#This Row],[Price]]*tbl_main[[#This Row],[Qty]])</f>
        <v>200</v>
      </c>
      <c r="N301" s="3">
        <f>_xlfn.LET(_xlpm.x,_xlfn.XLOOKUP(tbl_main[[#This Row],[Service]],tbl_service[Service],tbl_service[Profit],""),
               IF(tbl_main[[#This Row],[Qty]]="","",_xlpm.x*tbl_main[[#This Row],[Qty]]))</f>
        <v>90</v>
      </c>
    </row>
    <row r="302" spans="1:14" x14ac:dyDescent="0.25">
      <c r="A302" t="s">
        <v>344</v>
      </c>
      <c r="B302" s="1">
        <v>45751</v>
      </c>
      <c r="C302">
        <f>IF(tbl_main[[#This Row],[Date]]="","",YEAR(B302))</f>
        <v>2025</v>
      </c>
      <c r="D302" t="str">
        <f>IF(tbl_main[[#This Row],[Date]]="","",TEXT(B302,"mmm"))</f>
        <v>Apr</v>
      </c>
      <c r="E302" t="str">
        <f>IF(tbl_main[[#This Row],[Date]]="","",TEXT(B302,"DDD"))</f>
        <v>Fri</v>
      </c>
      <c r="F302" t="s">
        <v>13</v>
      </c>
      <c r="G302" t="s">
        <v>33</v>
      </c>
      <c r="H302" s="3" t="s">
        <v>26</v>
      </c>
      <c r="I302" s="3" t="s">
        <v>16</v>
      </c>
      <c r="J302" s="3" t="s">
        <v>25</v>
      </c>
      <c r="K302" s="3">
        <f>_xlfn.XLOOKUP(tbl_main[[#This Row],[Service]],tbl_service[Service],tbl_service[Price],"")</f>
        <v>200</v>
      </c>
      <c r="L302" s="3">
        <v>1</v>
      </c>
      <c r="M302" s="3">
        <f>IF(AND(tbl_main[[#This Row],[Price]]="",tbl_main[[#This Row],[Qty]]=""),"",tbl_main[[#This Row],[Price]]*tbl_main[[#This Row],[Qty]])</f>
        <v>200</v>
      </c>
      <c r="N302" s="3">
        <f>_xlfn.LET(_xlpm.x,_xlfn.XLOOKUP(tbl_main[[#This Row],[Service]],tbl_service[Service],tbl_service[Profit],""),
               IF(tbl_main[[#This Row],[Qty]]="","",_xlpm.x*tbl_main[[#This Row],[Qty]]))</f>
        <v>90</v>
      </c>
    </row>
    <row r="303" spans="1:14" x14ac:dyDescent="0.25">
      <c r="A303" t="s">
        <v>345</v>
      </c>
      <c r="B303" s="1">
        <v>45751</v>
      </c>
      <c r="C303">
        <f>IF(tbl_main[[#This Row],[Date]]="","",YEAR(B303))</f>
        <v>2025</v>
      </c>
      <c r="D303" t="str">
        <f>IF(tbl_main[[#This Row],[Date]]="","",TEXT(B303,"mmm"))</f>
        <v>Apr</v>
      </c>
      <c r="E303" t="str">
        <f>IF(tbl_main[[#This Row],[Date]]="","",TEXT(B303,"DDD"))</f>
        <v>Fri</v>
      </c>
      <c r="F303" t="s">
        <v>13</v>
      </c>
      <c r="G303" t="s">
        <v>33</v>
      </c>
      <c r="H303" s="3" t="s">
        <v>26</v>
      </c>
      <c r="I303" s="3" t="s">
        <v>19</v>
      </c>
      <c r="J303" s="3" t="s">
        <v>17</v>
      </c>
      <c r="K303" s="3">
        <f>_xlfn.XLOOKUP(tbl_main[[#This Row],[Service]],tbl_service[Service],tbl_service[Price],"")</f>
        <v>200</v>
      </c>
      <c r="L303" s="3">
        <v>1</v>
      </c>
      <c r="M303" s="3">
        <f>IF(AND(tbl_main[[#This Row],[Price]]="",tbl_main[[#This Row],[Qty]]=""),"",tbl_main[[#This Row],[Price]]*tbl_main[[#This Row],[Qty]])</f>
        <v>200</v>
      </c>
      <c r="N303" s="3">
        <f>_xlfn.LET(_xlpm.x,_xlfn.XLOOKUP(tbl_main[[#This Row],[Service]],tbl_service[Service],tbl_service[Profit],""),
               IF(tbl_main[[#This Row],[Qty]]="","",_xlpm.x*tbl_main[[#This Row],[Qty]]))</f>
        <v>90</v>
      </c>
    </row>
    <row r="304" spans="1:14" x14ac:dyDescent="0.25">
      <c r="A304" t="s">
        <v>346</v>
      </c>
      <c r="B304" s="1">
        <v>45752</v>
      </c>
      <c r="C304">
        <f>IF(tbl_main[[#This Row],[Date]]="","",YEAR(B304))</f>
        <v>2025</v>
      </c>
      <c r="D304" t="str">
        <f>IF(tbl_main[[#This Row],[Date]]="","",TEXT(B304,"mmm"))</f>
        <v>Apr</v>
      </c>
      <c r="E304" t="str">
        <f>IF(tbl_main[[#This Row],[Date]]="","",TEXT(B304,"DDD"))</f>
        <v>Sat</v>
      </c>
      <c r="F304" t="s">
        <v>30</v>
      </c>
      <c r="G304" t="s">
        <v>31</v>
      </c>
      <c r="H304" s="3" t="s">
        <v>26</v>
      </c>
      <c r="I304" s="3" t="s">
        <v>42</v>
      </c>
      <c r="J304" s="3" t="s">
        <v>25</v>
      </c>
      <c r="K304" s="3">
        <f>_xlfn.XLOOKUP(tbl_main[[#This Row],[Service]],tbl_service[Service],tbl_service[Price],"")</f>
        <v>200</v>
      </c>
      <c r="L304" s="3">
        <v>1</v>
      </c>
      <c r="M304" s="3">
        <f>IF(AND(tbl_main[[#This Row],[Price]]="",tbl_main[[#This Row],[Qty]]=""),"",tbl_main[[#This Row],[Price]]*tbl_main[[#This Row],[Qty]])</f>
        <v>200</v>
      </c>
      <c r="N304" s="3">
        <f>_xlfn.LET(_xlpm.x,_xlfn.XLOOKUP(tbl_main[[#This Row],[Service]],tbl_service[Service],tbl_service[Profit],""),
               IF(tbl_main[[#This Row],[Qty]]="","",_xlpm.x*tbl_main[[#This Row],[Qty]]))</f>
        <v>90</v>
      </c>
    </row>
    <row r="305" spans="1:14" x14ac:dyDescent="0.25">
      <c r="A305" t="s">
        <v>347</v>
      </c>
      <c r="B305" s="1">
        <v>45752</v>
      </c>
      <c r="C305">
        <f>IF(tbl_main[[#This Row],[Date]]="","",YEAR(B305))</f>
        <v>2025</v>
      </c>
      <c r="D305" t="str">
        <f>IF(tbl_main[[#This Row],[Date]]="","",TEXT(B305,"mmm"))</f>
        <v>Apr</v>
      </c>
      <c r="E305" t="str">
        <f>IF(tbl_main[[#This Row],[Date]]="","",TEXT(B305,"DDD"))</f>
        <v>Sat</v>
      </c>
      <c r="F305" t="s">
        <v>20</v>
      </c>
      <c r="G305" t="s">
        <v>39</v>
      </c>
      <c r="H305" s="3" t="s">
        <v>18</v>
      </c>
      <c r="I305" s="3" t="s">
        <v>41</v>
      </c>
      <c r="J305" s="3" t="s">
        <v>25</v>
      </c>
      <c r="K305" s="3">
        <f>_xlfn.XLOOKUP(tbl_main[[#This Row],[Service]],tbl_service[Service],tbl_service[Price],"")</f>
        <v>500</v>
      </c>
      <c r="L305" s="3">
        <v>2</v>
      </c>
      <c r="M305" s="3">
        <f>IF(AND(tbl_main[[#This Row],[Price]]="",tbl_main[[#This Row],[Qty]]=""),"",tbl_main[[#This Row],[Price]]*tbl_main[[#This Row],[Qty]])</f>
        <v>1000</v>
      </c>
      <c r="N305" s="3">
        <f>_xlfn.LET(_xlpm.x,_xlfn.XLOOKUP(tbl_main[[#This Row],[Service]],tbl_service[Service],tbl_service[Profit],""),
               IF(tbl_main[[#This Row],[Qty]]="","",_xlpm.x*tbl_main[[#This Row],[Qty]]))</f>
        <v>314</v>
      </c>
    </row>
    <row r="306" spans="1:14" x14ac:dyDescent="0.25">
      <c r="A306" t="s">
        <v>348</v>
      </c>
      <c r="B306" s="1">
        <v>45752</v>
      </c>
      <c r="C306">
        <f>IF(tbl_main[[#This Row],[Date]]="","",YEAR(B306))</f>
        <v>2025</v>
      </c>
      <c r="D306" t="str">
        <f>IF(tbl_main[[#This Row],[Date]]="","",TEXT(B306,"mmm"))</f>
        <v>Apr</v>
      </c>
      <c r="E306" t="str">
        <f>IF(tbl_main[[#This Row],[Date]]="","",TEXT(B306,"DDD"))</f>
        <v>Sat</v>
      </c>
      <c r="F306" t="s">
        <v>13</v>
      </c>
      <c r="G306" t="s">
        <v>33</v>
      </c>
      <c r="H306" s="3" t="s">
        <v>34</v>
      </c>
      <c r="I306" s="3" t="s">
        <v>41</v>
      </c>
      <c r="J306" s="3" t="s">
        <v>25</v>
      </c>
      <c r="K306" s="3">
        <f>_xlfn.XLOOKUP(tbl_main[[#This Row],[Service]],tbl_service[Service],tbl_service[Price],"")</f>
        <v>100</v>
      </c>
      <c r="L306" s="3">
        <v>1</v>
      </c>
      <c r="M306" s="3">
        <f>IF(AND(tbl_main[[#This Row],[Price]]="",tbl_main[[#This Row],[Qty]]=""),"",tbl_main[[#This Row],[Price]]*tbl_main[[#This Row],[Qty]])</f>
        <v>100</v>
      </c>
      <c r="N306" s="3">
        <f>_xlfn.LET(_xlpm.x,_xlfn.XLOOKUP(tbl_main[[#This Row],[Service]],tbl_service[Service],tbl_service[Profit],""),
               IF(tbl_main[[#This Row],[Qty]]="","",_xlpm.x*tbl_main[[#This Row],[Qty]]))</f>
        <v>45</v>
      </c>
    </row>
    <row r="307" spans="1:14" x14ac:dyDescent="0.25">
      <c r="A307" t="s">
        <v>349</v>
      </c>
      <c r="B307" s="1">
        <v>45752</v>
      </c>
      <c r="C307">
        <f>IF(tbl_main[[#This Row],[Date]]="","",YEAR(B307))</f>
        <v>2025</v>
      </c>
      <c r="D307" t="str">
        <f>IF(tbl_main[[#This Row],[Date]]="","",TEXT(B307,"mmm"))</f>
        <v>Apr</v>
      </c>
      <c r="E307" t="str">
        <f>IF(tbl_main[[#This Row],[Date]]="","",TEXT(B307,"DDD"))</f>
        <v>Sat</v>
      </c>
      <c r="F307" t="s">
        <v>30</v>
      </c>
      <c r="G307" t="s">
        <v>36</v>
      </c>
      <c r="H307" s="3" t="s">
        <v>15</v>
      </c>
      <c r="I307" s="3" t="s">
        <v>35</v>
      </c>
      <c r="J307" s="3" t="s">
        <v>25</v>
      </c>
      <c r="K307" s="3">
        <f>_xlfn.XLOOKUP(tbl_main[[#This Row],[Service]],tbl_service[Service],tbl_service[Price],"")</f>
        <v>500</v>
      </c>
      <c r="L307" s="3">
        <v>2</v>
      </c>
      <c r="M307" s="3">
        <f>IF(AND(tbl_main[[#This Row],[Price]]="",tbl_main[[#This Row],[Qty]]=""),"",tbl_main[[#This Row],[Price]]*tbl_main[[#This Row],[Qty]])</f>
        <v>1000</v>
      </c>
      <c r="N307" s="3">
        <f>_xlfn.LET(_xlpm.x,_xlfn.XLOOKUP(tbl_main[[#This Row],[Service]],tbl_service[Service],tbl_service[Profit],""),
               IF(tbl_main[[#This Row],[Qty]]="","",_xlpm.x*tbl_main[[#This Row],[Qty]]))</f>
        <v>450</v>
      </c>
    </row>
    <row r="308" spans="1:14" x14ac:dyDescent="0.25">
      <c r="A308" t="s">
        <v>350</v>
      </c>
      <c r="B308" s="1">
        <v>45753</v>
      </c>
      <c r="C308">
        <f>IF(tbl_main[[#This Row],[Date]]="","",YEAR(B308))</f>
        <v>2025</v>
      </c>
      <c r="D308" t="str">
        <f>IF(tbl_main[[#This Row],[Date]]="","",TEXT(B308,"mmm"))</f>
        <v>Apr</v>
      </c>
      <c r="E308" t="str">
        <f>IF(tbl_main[[#This Row],[Date]]="","",TEXT(B308,"DDD"))</f>
        <v>Sun</v>
      </c>
      <c r="F308" t="s">
        <v>13</v>
      </c>
      <c r="G308" t="s">
        <v>14</v>
      </c>
      <c r="H308" s="3" t="s">
        <v>15</v>
      </c>
      <c r="I308" s="3" t="s">
        <v>35</v>
      </c>
      <c r="J308" s="3" t="s">
        <v>25</v>
      </c>
      <c r="K308" s="3">
        <f>_xlfn.XLOOKUP(tbl_main[[#This Row],[Service]],tbl_service[Service],tbl_service[Price],"")</f>
        <v>500</v>
      </c>
      <c r="L308" s="3">
        <v>1</v>
      </c>
      <c r="M308" s="3">
        <f>IF(AND(tbl_main[[#This Row],[Price]]="",tbl_main[[#This Row],[Qty]]=""),"",tbl_main[[#This Row],[Price]]*tbl_main[[#This Row],[Qty]])</f>
        <v>500</v>
      </c>
      <c r="N308" s="3">
        <f>_xlfn.LET(_xlpm.x,_xlfn.XLOOKUP(tbl_main[[#This Row],[Service]],tbl_service[Service],tbl_service[Profit],""),
               IF(tbl_main[[#This Row],[Qty]]="","",_xlpm.x*tbl_main[[#This Row],[Qty]]))</f>
        <v>225</v>
      </c>
    </row>
    <row r="309" spans="1:14" x14ac:dyDescent="0.25">
      <c r="A309" t="s">
        <v>351</v>
      </c>
      <c r="B309" s="1">
        <v>45753</v>
      </c>
      <c r="C309">
        <f>IF(tbl_main[[#This Row],[Date]]="","",YEAR(B309))</f>
        <v>2025</v>
      </c>
      <c r="D309" t="str">
        <f>IF(tbl_main[[#This Row],[Date]]="","",TEXT(B309,"mmm"))</f>
        <v>Apr</v>
      </c>
      <c r="E309" t="str">
        <f>IF(tbl_main[[#This Row],[Date]]="","",TEXT(B309,"DDD"))</f>
        <v>Sun</v>
      </c>
      <c r="F309" t="s">
        <v>30</v>
      </c>
      <c r="G309" t="s">
        <v>36</v>
      </c>
      <c r="H309" s="3" t="s">
        <v>18</v>
      </c>
      <c r="I309" s="3" t="s">
        <v>23</v>
      </c>
      <c r="J309" s="3" t="s">
        <v>17</v>
      </c>
      <c r="K309" s="3">
        <f>_xlfn.XLOOKUP(tbl_main[[#This Row],[Service]],tbl_service[Service],tbl_service[Price],"")</f>
        <v>500</v>
      </c>
      <c r="L309" s="3">
        <v>1</v>
      </c>
      <c r="M309" s="3">
        <f>IF(AND(tbl_main[[#This Row],[Price]]="",tbl_main[[#This Row],[Qty]]=""),"",tbl_main[[#This Row],[Price]]*tbl_main[[#This Row],[Qty]])</f>
        <v>500</v>
      </c>
      <c r="N309" s="3">
        <f>_xlfn.LET(_xlpm.x,_xlfn.XLOOKUP(tbl_main[[#This Row],[Service]],tbl_service[Service],tbl_service[Profit],""),
               IF(tbl_main[[#This Row],[Qty]]="","",_xlpm.x*tbl_main[[#This Row],[Qty]]))</f>
        <v>157</v>
      </c>
    </row>
    <row r="310" spans="1:14" x14ac:dyDescent="0.25">
      <c r="A310" t="s">
        <v>352</v>
      </c>
      <c r="B310" s="1">
        <v>45753</v>
      </c>
      <c r="C310">
        <f>IF(tbl_main[[#This Row],[Date]]="","",YEAR(B310))</f>
        <v>2025</v>
      </c>
      <c r="D310" t="str">
        <f>IF(tbl_main[[#This Row],[Date]]="","",TEXT(B310,"mmm"))</f>
        <v>Apr</v>
      </c>
      <c r="E310" t="str">
        <f>IF(tbl_main[[#This Row],[Date]]="","",TEXT(B310,"DDD"))</f>
        <v>Sun</v>
      </c>
      <c r="F310" t="s">
        <v>20</v>
      </c>
      <c r="G310" t="s">
        <v>21</v>
      </c>
      <c r="H310" s="3" t="s">
        <v>24</v>
      </c>
      <c r="I310" s="3" t="s">
        <v>37</v>
      </c>
      <c r="J310" s="3" t="s">
        <v>25</v>
      </c>
      <c r="K310" s="3">
        <f>_xlfn.XLOOKUP(tbl_main[[#This Row],[Service]],tbl_service[Service],tbl_service[Price],"")</f>
        <v>80</v>
      </c>
      <c r="L310" s="3">
        <v>2</v>
      </c>
      <c r="M310" s="3">
        <f>IF(AND(tbl_main[[#This Row],[Price]]="",tbl_main[[#This Row],[Qty]]=""),"",tbl_main[[#This Row],[Price]]*tbl_main[[#This Row],[Qty]])</f>
        <v>160</v>
      </c>
      <c r="N310" s="3">
        <f>_xlfn.LET(_xlpm.x,_xlfn.XLOOKUP(tbl_main[[#This Row],[Service]],tbl_service[Service],tbl_service[Profit],""),
               IF(tbl_main[[#This Row],[Qty]]="","",_xlpm.x*tbl_main[[#This Row],[Qty]]))</f>
        <v>72</v>
      </c>
    </row>
    <row r="311" spans="1:14" x14ac:dyDescent="0.25">
      <c r="A311" t="s">
        <v>353</v>
      </c>
      <c r="B311" s="1">
        <v>45754</v>
      </c>
      <c r="C311">
        <f>IF(tbl_main[[#This Row],[Date]]="","",YEAR(B311))</f>
        <v>2025</v>
      </c>
      <c r="D311" t="str">
        <f>IF(tbl_main[[#This Row],[Date]]="","",TEXT(B311,"mmm"))</f>
        <v>Apr</v>
      </c>
      <c r="E311" t="str">
        <f>IF(tbl_main[[#This Row],[Date]]="","",TEXT(B311,"DDD"))</f>
        <v>Mon</v>
      </c>
      <c r="F311" t="s">
        <v>27</v>
      </c>
      <c r="G311" t="s">
        <v>28</v>
      </c>
      <c r="H311" s="3" t="s">
        <v>22</v>
      </c>
      <c r="I311" s="3" t="s">
        <v>38</v>
      </c>
      <c r="J311" s="3" t="s">
        <v>25</v>
      </c>
      <c r="K311" s="3">
        <f>_xlfn.XLOOKUP(tbl_main[[#This Row],[Service]],tbl_service[Service],tbl_service[Price],"")</f>
        <v>150</v>
      </c>
      <c r="L311" s="3">
        <v>1</v>
      </c>
      <c r="M311" s="3">
        <f>IF(AND(tbl_main[[#This Row],[Price]]="",tbl_main[[#This Row],[Qty]]=""),"",tbl_main[[#This Row],[Price]]*tbl_main[[#This Row],[Qty]])</f>
        <v>150</v>
      </c>
      <c r="N311" s="3">
        <f>_xlfn.LET(_xlpm.x,_xlfn.XLOOKUP(tbl_main[[#This Row],[Service]],tbl_service[Service],tbl_service[Profit],""),
               IF(tbl_main[[#This Row],[Qty]]="","",_xlpm.x*tbl_main[[#This Row],[Qty]]))</f>
        <v>67</v>
      </c>
    </row>
    <row r="312" spans="1:14" x14ac:dyDescent="0.25">
      <c r="A312" t="s">
        <v>354</v>
      </c>
      <c r="B312" s="1">
        <v>45754</v>
      </c>
      <c r="C312">
        <f>IF(tbl_main[[#This Row],[Date]]="","",YEAR(B312))</f>
        <v>2025</v>
      </c>
      <c r="D312" t="str">
        <f>IF(tbl_main[[#This Row],[Date]]="","",TEXT(B312,"mmm"))</f>
        <v>Apr</v>
      </c>
      <c r="E312" t="str">
        <f>IF(tbl_main[[#This Row],[Date]]="","",TEXT(B312,"DDD"))</f>
        <v>Mon</v>
      </c>
      <c r="F312" t="s">
        <v>20</v>
      </c>
      <c r="G312" t="s">
        <v>21</v>
      </c>
      <c r="H312" s="3" t="s">
        <v>15</v>
      </c>
      <c r="I312" s="3" t="s">
        <v>16</v>
      </c>
      <c r="J312" s="3" t="s">
        <v>32</v>
      </c>
      <c r="K312" s="3">
        <f>_xlfn.XLOOKUP(tbl_main[[#This Row],[Service]],tbl_service[Service],tbl_service[Price],"")</f>
        <v>500</v>
      </c>
      <c r="L312" s="3">
        <v>1</v>
      </c>
      <c r="M312" s="3">
        <f>IF(AND(tbl_main[[#This Row],[Price]]="",tbl_main[[#This Row],[Qty]]=""),"",tbl_main[[#This Row],[Price]]*tbl_main[[#This Row],[Qty]])</f>
        <v>500</v>
      </c>
      <c r="N312" s="3">
        <f>_xlfn.LET(_xlpm.x,_xlfn.XLOOKUP(tbl_main[[#This Row],[Service]],tbl_service[Service],tbl_service[Profit],""),
               IF(tbl_main[[#This Row],[Qty]]="","",_xlpm.x*tbl_main[[#This Row],[Qty]]))</f>
        <v>225</v>
      </c>
    </row>
    <row r="313" spans="1:14" x14ac:dyDescent="0.25">
      <c r="A313" t="s">
        <v>355</v>
      </c>
      <c r="B313" s="1">
        <v>45754</v>
      </c>
      <c r="C313">
        <f>IF(tbl_main[[#This Row],[Date]]="","",YEAR(B313))</f>
        <v>2025</v>
      </c>
      <c r="D313" t="str">
        <f>IF(tbl_main[[#This Row],[Date]]="","",TEXT(B313,"mmm"))</f>
        <v>Apr</v>
      </c>
      <c r="E313" t="str">
        <f>IF(tbl_main[[#This Row],[Date]]="","",TEXT(B313,"DDD"))</f>
        <v>Mon</v>
      </c>
      <c r="F313" t="s">
        <v>30</v>
      </c>
      <c r="G313" t="s">
        <v>31</v>
      </c>
      <c r="H313" s="3" t="s">
        <v>18</v>
      </c>
      <c r="I313" s="3" t="s">
        <v>19</v>
      </c>
      <c r="J313" s="3" t="s">
        <v>32</v>
      </c>
      <c r="K313" s="3">
        <f>_xlfn.XLOOKUP(tbl_main[[#This Row],[Service]],tbl_service[Service],tbl_service[Price],"")</f>
        <v>500</v>
      </c>
      <c r="L313" s="3">
        <v>2</v>
      </c>
      <c r="M313" s="3">
        <f>IF(AND(tbl_main[[#This Row],[Price]]="",tbl_main[[#This Row],[Qty]]=""),"",tbl_main[[#This Row],[Price]]*tbl_main[[#This Row],[Qty]])</f>
        <v>1000</v>
      </c>
      <c r="N313" s="3">
        <f>_xlfn.LET(_xlpm.x,_xlfn.XLOOKUP(tbl_main[[#This Row],[Service]],tbl_service[Service],tbl_service[Profit],""),
               IF(tbl_main[[#This Row],[Qty]]="","",_xlpm.x*tbl_main[[#This Row],[Qty]]))</f>
        <v>314</v>
      </c>
    </row>
    <row r="314" spans="1:14" x14ac:dyDescent="0.25">
      <c r="A314" t="s">
        <v>356</v>
      </c>
      <c r="B314" s="1">
        <v>45754</v>
      </c>
      <c r="C314">
        <f>IF(tbl_main[[#This Row],[Date]]="","",YEAR(B314))</f>
        <v>2025</v>
      </c>
      <c r="D314" t="str">
        <f>IF(tbl_main[[#This Row],[Date]]="","",TEXT(B314,"mmm"))</f>
        <v>Apr</v>
      </c>
      <c r="E314" t="str">
        <f>IF(tbl_main[[#This Row],[Date]]="","",TEXT(B314,"DDD"))</f>
        <v>Mon</v>
      </c>
      <c r="F314" t="s">
        <v>30</v>
      </c>
      <c r="G314" t="s">
        <v>31</v>
      </c>
      <c r="H314" s="3" t="s">
        <v>26</v>
      </c>
      <c r="I314" s="3" t="s">
        <v>42</v>
      </c>
      <c r="J314" s="3" t="s">
        <v>17</v>
      </c>
      <c r="K314" s="3">
        <f>_xlfn.XLOOKUP(tbl_main[[#This Row],[Service]],tbl_service[Service],tbl_service[Price],"")</f>
        <v>200</v>
      </c>
      <c r="L314" s="3">
        <v>1</v>
      </c>
      <c r="M314" s="3">
        <f>IF(AND(tbl_main[[#This Row],[Price]]="",tbl_main[[#This Row],[Qty]]=""),"",tbl_main[[#This Row],[Price]]*tbl_main[[#This Row],[Qty]])</f>
        <v>200</v>
      </c>
      <c r="N314" s="3">
        <f>_xlfn.LET(_xlpm.x,_xlfn.XLOOKUP(tbl_main[[#This Row],[Service]],tbl_service[Service],tbl_service[Profit],""),
               IF(tbl_main[[#This Row],[Qty]]="","",_xlpm.x*tbl_main[[#This Row],[Qty]]))</f>
        <v>90</v>
      </c>
    </row>
    <row r="315" spans="1:14" x14ac:dyDescent="0.25">
      <c r="A315" t="s">
        <v>357</v>
      </c>
      <c r="B315" s="1">
        <v>45755</v>
      </c>
      <c r="C315">
        <f>IF(tbl_main[[#This Row],[Date]]="","",YEAR(B315))</f>
        <v>2025</v>
      </c>
      <c r="D315" t="str">
        <f>IF(tbl_main[[#This Row],[Date]]="","",TEXT(B315,"mmm"))</f>
        <v>Apr</v>
      </c>
      <c r="E315" t="str">
        <f>IF(tbl_main[[#This Row],[Date]]="","",TEXT(B315,"DDD"))</f>
        <v>Tue</v>
      </c>
      <c r="F315" t="s">
        <v>13</v>
      </c>
      <c r="G315" t="s">
        <v>33</v>
      </c>
      <c r="H315" s="3" t="s">
        <v>18</v>
      </c>
      <c r="I315" s="3" t="s">
        <v>41</v>
      </c>
      <c r="J315" s="3" t="s">
        <v>32</v>
      </c>
      <c r="K315" s="3">
        <f>_xlfn.XLOOKUP(tbl_main[[#This Row],[Service]],tbl_service[Service],tbl_service[Price],"")</f>
        <v>500</v>
      </c>
      <c r="L315" s="3">
        <v>1</v>
      </c>
      <c r="M315" s="3">
        <f>IF(AND(tbl_main[[#This Row],[Price]]="",tbl_main[[#This Row],[Qty]]=""),"",tbl_main[[#This Row],[Price]]*tbl_main[[#This Row],[Qty]])</f>
        <v>500</v>
      </c>
      <c r="N315" s="3">
        <f>_xlfn.LET(_xlpm.x,_xlfn.XLOOKUP(tbl_main[[#This Row],[Service]],tbl_service[Service],tbl_service[Profit],""),
               IF(tbl_main[[#This Row],[Qty]]="","",_xlpm.x*tbl_main[[#This Row],[Qty]]))</f>
        <v>157</v>
      </c>
    </row>
    <row r="316" spans="1:14" x14ac:dyDescent="0.25">
      <c r="A316" t="s">
        <v>358</v>
      </c>
      <c r="B316" s="1">
        <v>45755</v>
      </c>
      <c r="C316">
        <f>IF(tbl_main[[#This Row],[Date]]="","",YEAR(B316))</f>
        <v>2025</v>
      </c>
      <c r="D316" t="str">
        <f>IF(tbl_main[[#This Row],[Date]]="","",TEXT(B316,"mmm"))</f>
        <v>Apr</v>
      </c>
      <c r="E316" t="str">
        <f>IF(tbl_main[[#This Row],[Date]]="","",TEXT(B316,"DDD"))</f>
        <v>Tue</v>
      </c>
      <c r="F316" t="s">
        <v>27</v>
      </c>
      <c r="G316" t="s">
        <v>40</v>
      </c>
      <c r="H316" s="3" t="s">
        <v>22</v>
      </c>
      <c r="I316" s="3" t="s">
        <v>41</v>
      </c>
      <c r="J316" s="3" t="s">
        <v>25</v>
      </c>
      <c r="K316" s="3">
        <f>_xlfn.XLOOKUP(tbl_main[[#This Row],[Service]],tbl_service[Service],tbl_service[Price],"")</f>
        <v>150</v>
      </c>
      <c r="L316" s="3">
        <v>1</v>
      </c>
      <c r="M316" s="3">
        <f>IF(AND(tbl_main[[#This Row],[Price]]="",tbl_main[[#This Row],[Qty]]=""),"",tbl_main[[#This Row],[Price]]*tbl_main[[#This Row],[Qty]])</f>
        <v>150</v>
      </c>
      <c r="N316" s="3">
        <f>_xlfn.LET(_xlpm.x,_xlfn.XLOOKUP(tbl_main[[#This Row],[Service]],tbl_service[Service],tbl_service[Profit],""),
               IF(tbl_main[[#This Row],[Qty]]="","",_xlpm.x*tbl_main[[#This Row],[Qty]]))</f>
        <v>67</v>
      </c>
    </row>
    <row r="317" spans="1:14" x14ac:dyDescent="0.25">
      <c r="A317" t="s">
        <v>359</v>
      </c>
      <c r="B317" s="1">
        <v>45756</v>
      </c>
      <c r="C317">
        <f>IF(tbl_main[[#This Row],[Date]]="","",YEAR(B317))</f>
        <v>2025</v>
      </c>
      <c r="D317" t="str">
        <f>IF(tbl_main[[#This Row],[Date]]="","",TEXT(B317,"mmm"))</f>
        <v>Apr</v>
      </c>
      <c r="E317" t="str">
        <f>IF(tbl_main[[#This Row],[Date]]="","",TEXT(B317,"DDD"))</f>
        <v>Wed</v>
      </c>
      <c r="F317" t="s">
        <v>20</v>
      </c>
      <c r="G317" t="s">
        <v>21</v>
      </c>
      <c r="H317" s="3" t="s">
        <v>18</v>
      </c>
      <c r="I317" s="3" t="s">
        <v>35</v>
      </c>
      <c r="J317" s="3" t="s">
        <v>17</v>
      </c>
      <c r="K317" s="3">
        <f>_xlfn.XLOOKUP(tbl_main[[#This Row],[Service]],tbl_service[Service],tbl_service[Price],"")</f>
        <v>500</v>
      </c>
      <c r="L317" s="3">
        <v>2</v>
      </c>
      <c r="M317" s="3">
        <f>IF(AND(tbl_main[[#This Row],[Price]]="",tbl_main[[#This Row],[Qty]]=""),"",tbl_main[[#This Row],[Price]]*tbl_main[[#This Row],[Qty]])</f>
        <v>1000</v>
      </c>
      <c r="N317" s="3">
        <f>_xlfn.LET(_xlpm.x,_xlfn.XLOOKUP(tbl_main[[#This Row],[Service]],tbl_service[Service],tbl_service[Profit],""),
               IF(tbl_main[[#This Row],[Qty]]="","",_xlpm.x*tbl_main[[#This Row],[Qty]]))</f>
        <v>314</v>
      </c>
    </row>
    <row r="318" spans="1:14" x14ac:dyDescent="0.25">
      <c r="A318" t="s">
        <v>360</v>
      </c>
      <c r="B318" s="1">
        <v>45756</v>
      </c>
      <c r="C318">
        <f>IF(tbl_main[[#This Row],[Date]]="","",YEAR(B318))</f>
        <v>2025</v>
      </c>
      <c r="D318" t="str">
        <f>IF(tbl_main[[#This Row],[Date]]="","",TEXT(B318,"mmm"))</f>
        <v>Apr</v>
      </c>
      <c r="E318" t="str">
        <f>IF(tbl_main[[#This Row],[Date]]="","",TEXT(B318,"DDD"))</f>
        <v>Wed</v>
      </c>
      <c r="F318" t="s">
        <v>27</v>
      </c>
      <c r="G318" t="s">
        <v>40</v>
      </c>
      <c r="H318" s="3" t="s">
        <v>15</v>
      </c>
      <c r="I318" s="3" t="s">
        <v>35</v>
      </c>
      <c r="J318" s="3" t="s">
        <v>25</v>
      </c>
      <c r="K318" s="3">
        <f>_xlfn.XLOOKUP(tbl_main[[#This Row],[Service]],tbl_service[Service],tbl_service[Price],"")</f>
        <v>500</v>
      </c>
      <c r="L318" s="3">
        <v>1</v>
      </c>
      <c r="M318" s="3">
        <f>IF(AND(tbl_main[[#This Row],[Price]]="",tbl_main[[#This Row],[Qty]]=""),"",tbl_main[[#This Row],[Price]]*tbl_main[[#This Row],[Qty]])</f>
        <v>500</v>
      </c>
      <c r="N318" s="3">
        <f>_xlfn.LET(_xlpm.x,_xlfn.XLOOKUP(tbl_main[[#This Row],[Service]],tbl_service[Service],tbl_service[Profit],""),
               IF(tbl_main[[#This Row],[Qty]]="","",_xlpm.x*tbl_main[[#This Row],[Qty]]))</f>
        <v>225</v>
      </c>
    </row>
    <row r="319" spans="1:14" x14ac:dyDescent="0.25">
      <c r="A319" t="s">
        <v>361</v>
      </c>
      <c r="B319" s="1">
        <v>45756</v>
      </c>
      <c r="C319">
        <f>IF(tbl_main[[#This Row],[Date]]="","",YEAR(B319))</f>
        <v>2025</v>
      </c>
      <c r="D319" t="str">
        <f>IF(tbl_main[[#This Row],[Date]]="","",TEXT(B319,"mmm"))</f>
        <v>Apr</v>
      </c>
      <c r="E319" t="str">
        <f>IF(tbl_main[[#This Row],[Date]]="","",TEXT(B319,"DDD"))</f>
        <v>Wed</v>
      </c>
      <c r="F319" t="s">
        <v>13</v>
      </c>
      <c r="G319" t="s">
        <v>33</v>
      </c>
      <c r="H319" s="3" t="s">
        <v>15</v>
      </c>
      <c r="I319" s="3" t="s">
        <v>23</v>
      </c>
      <c r="J319" s="3" t="s">
        <v>25</v>
      </c>
      <c r="K319" s="3">
        <f>_xlfn.XLOOKUP(tbl_main[[#This Row],[Service]],tbl_service[Service],tbl_service[Price],"")</f>
        <v>500</v>
      </c>
      <c r="L319" s="3">
        <v>2</v>
      </c>
      <c r="M319" s="3">
        <f>IF(AND(tbl_main[[#This Row],[Price]]="",tbl_main[[#This Row],[Qty]]=""),"",tbl_main[[#This Row],[Price]]*tbl_main[[#This Row],[Qty]])</f>
        <v>1000</v>
      </c>
      <c r="N319" s="3">
        <f>_xlfn.LET(_xlpm.x,_xlfn.XLOOKUP(tbl_main[[#This Row],[Service]],tbl_service[Service],tbl_service[Profit],""),
               IF(tbl_main[[#This Row],[Qty]]="","",_xlpm.x*tbl_main[[#This Row],[Qty]]))</f>
        <v>450</v>
      </c>
    </row>
    <row r="320" spans="1:14" x14ac:dyDescent="0.25">
      <c r="A320" t="s">
        <v>362</v>
      </c>
      <c r="B320" s="1">
        <v>45757</v>
      </c>
      <c r="C320">
        <f>IF(tbl_main[[#This Row],[Date]]="","",YEAR(B320))</f>
        <v>2025</v>
      </c>
      <c r="D320" t="str">
        <f>IF(tbl_main[[#This Row],[Date]]="","",TEXT(B320,"mmm"))</f>
        <v>Apr</v>
      </c>
      <c r="E320" t="str">
        <f>IF(tbl_main[[#This Row],[Date]]="","",TEXT(B320,"DDD"))</f>
        <v>Thu</v>
      </c>
      <c r="F320" t="s">
        <v>27</v>
      </c>
      <c r="G320" t="s">
        <v>28</v>
      </c>
      <c r="H320" s="3" t="s">
        <v>18</v>
      </c>
      <c r="I320" s="3" t="s">
        <v>37</v>
      </c>
      <c r="J320" s="3" t="s">
        <v>32</v>
      </c>
      <c r="K320" s="3">
        <f>_xlfn.XLOOKUP(tbl_main[[#This Row],[Service]],tbl_service[Service],tbl_service[Price],"")</f>
        <v>500</v>
      </c>
      <c r="L320" s="3">
        <v>2</v>
      </c>
      <c r="M320" s="3">
        <f>IF(AND(tbl_main[[#This Row],[Price]]="",tbl_main[[#This Row],[Qty]]=""),"",tbl_main[[#This Row],[Price]]*tbl_main[[#This Row],[Qty]])</f>
        <v>1000</v>
      </c>
      <c r="N320" s="3">
        <f>_xlfn.LET(_xlpm.x,_xlfn.XLOOKUP(tbl_main[[#This Row],[Service]],tbl_service[Service],tbl_service[Profit],""),
               IF(tbl_main[[#This Row],[Qty]]="","",_xlpm.x*tbl_main[[#This Row],[Qty]]))</f>
        <v>314</v>
      </c>
    </row>
    <row r="321" spans="1:14" x14ac:dyDescent="0.25">
      <c r="A321" t="s">
        <v>363</v>
      </c>
      <c r="B321" s="1">
        <v>45757</v>
      </c>
      <c r="C321">
        <f>IF(tbl_main[[#This Row],[Date]]="","",YEAR(B321))</f>
        <v>2025</v>
      </c>
      <c r="D321" t="str">
        <f>IF(tbl_main[[#This Row],[Date]]="","",TEXT(B321,"mmm"))</f>
        <v>Apr</v>
      </c>
      <c r="E321" t="str">
        <f>IF(tbl_main[[#This Row],[Date]]="","",TEXT(B321,"DDD"))</f>
        <v>Thu</v>
      </c>
      <c r="F321" t="s">
        <v>27</v>
      </c>
      <c r="G321" t="s">
        <v>40</v>
      </c>
      <c r="H321" s="3" t="s">
        <v>15</v>
      </c>
      <c r="I321" s="3" t="s">
        <v>38</v>
      </c>
      <c r="J321" s="3" t="s">
        <v>25</v>
      </c>
      <c r="K321" s="3">
        <f>_xlfn.XLOOKUP(tbl_main[[#This Row],[Service]],tbl_service[Service],tbl_service[Price],"")</f>
        <v>500</v>
      </c>
      <c r="L321" s="3">
        <v>1</v>
      </c>
      <c r="M321" s="3">
        <f>IF(AND(tbl_main[[#This Row],[Price]]="",tbl_main[[#This Row],[Qty]]=""),"",tbl_main[[#This Row],[Price]]*tbl_main[[#This Row],[Qty]])</f>
        <v>500</v>
      </c>
      <c r="N321" s="3">
        <f>_xlfn.LET(_xlpm.x,_xlfn.XLOOKUP(tbl_main[[#This Row],[Service]],tbl_service[Service],tbl_service[Profit],""),
               IF(tbl_main[[#This Row],[Qty]]="","",_xlpm.x*tbl_main[[#This Row],[Qty]]))</f>
        <v>225</v>
      </c>
    </row>
    <row r="322" spans="1:14" x14ac:dyDescent="0.25">
      <c r="A322" t="s">
        <v>364</v>
      </c>
      <c r="B322" s="1">
        <v>45757</v>
      </c>
      <c r="C322">
        <f>IF(tbl_main[[#This Row],[Date]]="","",YEAR(B322))</f>
        <v>2025</v>
      </c>
      <c r="D322" t="str">
        <f>IF(tbl_main[[#This Row],[Date]]="","",TEXT(B322,"mmm"))</f>
        <v>Apr</v>
      </c>
      <c r="E322" t="str">
        <f>IF(tbl_main[[#This Row],[Date]]="","",TEXT(B322,"DDD"))</f>
        <v>Thu</v>
      </c>
      <c r="F322" t="s">
        <v>20</v>
      </c>
      <c r="G322" t="s">
        <v>39</v>
      </c>
      <c r="H322" s="3" t="s">
        <v>18</v>
      </c>
      <c r="I322" s="3" t="s">
        <v>16</v>
      </c>
      <c r="J322" s="3" t="s">
        <v>32</v>
      </c>
      <c r="K322" s="3">
        <f>_xlfn.XLOOKUP(tbl_main[[#This Row],[Service]],tbl_service[Service],tbl_service[Price],"")</f>
        <v>500</v>
      </c>
      <c r="L322" s="3">
        <v>1</v>
      </c>
      <c r="M322" s="3">
        <f>IF(AND(tbl_main[[#This Row],[Price]]="",tbl_main[[#This Row],[Qty]]=""),"",tbl_main[[#This Row],[Price]]*tbl_main[[#This Row],[Qty]])</f>
        <v>500</v>
      </c>
      <c r="N322" s="3">
        <f>_xlfn.LET(_xlpm.x,_xlfn.XLOOKUP(tbl_main[[#This Row],[Service]],tbl_service[Service],tbl_service[Profit],""),
               IF(tbl_main[[#This Row],[Qty]]="","",_xlpm.x*tbl_main[[#This Row],[Qty]]))</f>
        <v>157</v>
      </c>
    </row>
    <row r="323" spans="1:14" x14ac:dyDescent="0.25">
      <c r="A323" t="s">
        <v>365</v>
      </c>
      <c r="B323" s="1">
        <v>45757</v>
      </c>
      <c r="C323">
        <f>IF(tbl_main[[#This Row],[Date]]="","",YEAR(B323))</f>
        <v>2025</v>
      </c>
      <c r="D323" t="str">
        <f>IF(tbl_main[[#This Row],[Date]]="","",TEXT(B323,"mmm"))</f>
        <v>Apr</v>
      </c>
      <c r="E323" t="str">
        <f>IF(tbl_main[[#This Row],[Date]]="","",TEXT(B323,"DDD"))</f>
        <v>Thu</v>
      </c>
      <c r="F323" t="s">
        <v>27</v>
      </c>
      <c r="G323" t="s">
        <v>40</v>
      </c>
      <c r="H323" s="3" t="s">
        <v>34</v>
      </c>
      <c r="I323" s="3" t="s">
        <v>19</v>
      </c>
      <c r="J323" s="3" t="s">
        <v>25</v>
      </c>
      <c r="K323" s="3">
        <f>_xlfn.XLOOKUP(tbl_main[[#This Row],[Service]],tbl_service[Service],tbl_service[Price],"")</f>
        <v>100</v>
      </c>
      <c r="L323" s="3">
        <v>1</v>
      </c>
      <c r="M323" s="3">
        <f>IF(AND(tbl_main[[#This Row],[Price]]="",tbl_main[[#This Row],[Qty]]=""),"",tbl_main[[#This Row],[Price]]*tbl_main[[#This Row],[Qty]])</f>
        <v>100</v>
      </c>
      <c r="N323" s="3">
        <f>_xlfn.LET(_xlpm.x,_xlfn.XLOOKUP(tbl_main[[#This Row],[Service]],tbl_service[Service],tbl_service[Profit],""),
               IF(tbl_main[[#This Row],[Qty]]="","",_xlpm.x*tbl_main[[#This Row],[Qty]]))</f>
        <v>45</v>
      </c>
    </row>
    <row r="324" spans="1:14" x14ac:dyDescent="0.25">
      <c r="A324" t="s">
        <v>366</v>
      </c>
      <c r="B324" s="1">
        <v>45758</v>
      </c>
      <c r="C324">
        <f>IF(tbl_main[[#This Row],[Date]]="","",YEAR(B324))</f>
        <v>2025</v>
      </c>
      <c r="D324" t="str">
        <f>IF(tbl_main[[#This Row],[Date]]="","",TEXT(B324,"mmm"))</f>
        <v>Apr</v>
      </c>
      <c r="E324" t="str">
        <f>IF(tbl_main[[#This Row],[Date]]="","",TEXT(B324,"DDD"))</f>
        <v>Fri</v>
      </c>
      <c r="F324" t="s">
        <v>20</v>
      </c>
      <c r="G324" t="s">
        <v>21</v>
      </c>
      <c r="H324" s="3" t="s">
        <v>26</v>
      </c>
      <c r="I324" s="3" t="s">
        <v>42</v>
      </c>
      <c r="J324" s="3" t="s">
        <v>25</v>
      </c>
      <c r="K324" s="3">
        <f>_xlfn.XLOOKUP(tbl_main[[#This Row],[Service]],tbl_service[Service],tbl_service[Price],"")</f>
        <v>200</v>
      </c>
      <c r="L324" s="3">
        <v>1</v>
      </c>
      <c r="M324" s="3">
        <f>IF(AND(tbl_main[[#This Row],[Price]]="",tbl_main[[#This Row],[Qty]]=""),"",tbl_main[[#This Row],[Price]]*tbl_main[[#This Row],[Qty]])</f>
        <v>200</v>
      </c>
      <c r="N324" s="3">
        <f>_xlfn.LET(_xlpm.x,_xlfn.XLOOKUP(tbl_main[[#This Row],[Service]],tbl_service[Service],tbl_service[Profit],""),
               IF(tbl_main[[#This Row],[Qty]]="","",_xlpm.x*tbl_main[[#This Row],[Qty]]))</f>
        <v>90</v>
      </c>
    </row>
    <row r="325" spans="1:14" x14ac:dyDescent="0.25">
      <c r="A325" t="s">
        <v>367</v>
      </c>
      <c r="B325" s="1">
        <v>45758</v>
      </c>
      <c r="C325">
        <f>IF(tbl_main[[#This Row],[Date]]="","",YEAR(B325))</f>
        <v>2025</v>
      </c>
      <c r="D325" t="str">
        <f>IF(tbl_main[[#This Row],[Date]]="","",TEXT(B325,"mmm"))</f>
        <v>Apr</v>
      </c>
      <c r="E325" t="str">
        <f>IF(tbl_main[[#This Row],[Date]]="","",TEXT(B325,"DDD"))</f>
        <v>Fri</v>
      </c>
      <c r="F325" t="s">
        <v>13</v>
      </c>
      <c r="G325" t="s">
        <v>14</v>
      </c>
      <c r="H325" s="3" t="s">
        <v>18</v>
      </c>
      <c r="I325" s="3" t="s">
        <v>41</v>
      </c>
      <c r="J325" s="3" t="s">
        <v>32</v>
      </c>
      <c r="K325" s="3">
        <f>_xlfn.XLOOKUP(tbl_main[[#This Row],[Service]],tbl_service[Service],tbl_service[Price],"")</f>
        <v>500</v>
      </c>
      <c r="L325" s="3">
        <v>1</v>
      </c>
      <c r="M325" s="3">
        <f>IF(AND(tbl_main[[#This Row],[Price]]="",tbl_main[[#This Row],[Qty]]=""),"",tbl_main[[#This Row],[Price]]*tbl_main[[#This Row],[Qty]])</f>
        <v>500</v>
      </c>
      <c r="N325" s="3">
        <f>_xlfn.LET(_xlpm.x,_xlfn.XLOOKUP(tbl_main[[#This Row],[Service]],tbl_service[Service],tbl_service[Profit],""),
               IF(tbl_main[[#This Row],[Qty]]="","",_xlpm.x*tbl_main[[#This Row],[Qty]]))</f>
        <v>157</v>
      </c>
    </row>
    <row r="326" spans="1:14" x14ac:dyDescent="0.25">
      <c r="A326" t="s">
        <v>368</v>
      </c>
      <c r="B326" s="1">
        <v>45758</v>
      </c>
      <c r="C326">
        <f>IF(tbl_main[[#This Row],[Date]]="","",YEAR(B326))</f>
        <v>2025</v>
      </c>
      <c r="D326" t="str">
        <f>IF(tbl_main[[#This Row],[Date]]="","",TEXT(B326,"mmm"))</f>
        <v>Apr</v>
      </c>
      <c r="E326" t="str">
        <f>IF(tbl_main[[#This Row],[Date]]="","",TEXT(B326,"DDD"))</f>
        <v>Fri</v>
      </c>
      <c r="F326" t="s">
        <v>27</v>
      </c>
      <c r="G326" t="s">
        <v>40</v>
      </c>
      <c r="H326" s="3" t="s">
        <v>24</v>
      </c>
      <c r="I326" s="3" t="s">
        <v>41</v>
      </c>
      <c r="J326" s="3" t="s">
        <v>25</v>
      </c>
      <c r="K326" s="3">
        <f>_xlfn.XLOOKUP(tbl_main[[#This Row],[Service]],tbl_service[Service],tbl_service[Price],"")</f>
        <v>80</v>
      </c>
      <c r="L326" s="3">
        <v>1</v>
      </c>
      <c r="M326" s="3">
        <f>IF(AND(tbl_main[[#This Row],[Price]]="",tbl_main[[#This Row],[Qty]]=""),"",tbl_main[[#This Row],[Price]]*tbl_main[[#This Row],[Qty]])</f>
        <v>80</v>
      </c>
      <c r="N326" s="3">
        <f>_xlfn.LET(_xlpm.x,_xlfn.XLOOKUP(tbl_main[[#This Row],[Service]],tbl_service[Service],tbl_service[Profit],""),
               IF(tbl_main[[#This Row],[Qty]]="","",_xlpm.x*tbl_main[[#This Row],[Qty]]))</f>
        <v>36</v>
      </c>
    </row>
    <row r="327" spans="1:14" x14ac:dyDescent="0.25">
      <c r="A327" t="s">
        <v>369</v>
      </c>
      <c r="B327" s="1">
        <v>45759</v>
      </c>
      <c r="C327">
        <f>IF(tbl_main[[#This Row],[Date]]="","",YEAR(B327))</f>
        <v>2025</v>
      </c>
      <c r="D327" t="str">
        <f>IF(tbl_main[[#This Row],[Date]]="","",TEXT(B327,"mmm"))</f>
        <v>Apr</v>
      </c>
      <c r="E327" t="str">
        <f>IF(tbl_main[[#This Row],[Date]]="","",TEXT(B327,"DDD"))</f>
        <v>Sat</v>
      </c>
      <c r="F327" t="s">
        <v>20</v>
      </c>
      <c r="G327" t="s">
        <v>21</v>
      </c>
      <c r="H327" s="3" t="s">
        <v>34</v>
      </c>
      <c r="I327" s="3" t="s">
        <v>35</v>
      </c>
      <c r="J327" s="3" t="s">
        <v>17</v>
      </c>
      <c r="K327" s="3">
        <f>_xlfn.XLOOKUP(tbl_main[[#This Row],[Service]],tbl_service[Service],tbl_service[Price],"")</f>
        <v>100</v>
      </c>
      <c r="L327" s="3">
        <v>2</v>
      </c>
      <c r="M327" s="3">
        <f>IF(AND(tbl_main[[#This Row],[Price]]="",tbl_main[[#This Row],[Qty]]=""),"",tbl_main[[#This Row],[Price]]*tbl_main[[#This Row],[Qty]])</f>
        <v>200</v>
      </c>
      <c r="N327" s="3">
        <f>_xlfn.LET(_xlpm.x,_xlfn.XLOOKUP(tbl_main[[#This Row],[Service]],tbl_service[Service],tbl_service[Profit],""),
               IF(tbl_main[[#This Row],[Qty]]="","",_xlpm.x*tbl_main[[#This Row],[Qty]]))</f>
        <v>90</v>
      </c>
    </row>
    <row r="328" spans="1:14" x14ac:dyDescent="0.25">
      <c r="A328" t="s">
        <v>370</v>
      </c>
      <c r="B328" s="1">
        <v>45759</v>
      </c>
      <c r="C328">
        <f>IF(tbl_main[[#This Row],[Date]]="","",YEAR(B328))</f>
        <v>2025</v>
      </c>
      <c r="D328" t="str">
        <f>IF(tbl_main[[#This Row],[Date]]="","",TEXT(B328,"mmm"))</f>
        <v>Apr</v>
      </c>
      <c r="E328" t="str">
        <f>IF(tbl_main[[#This Row],[Date]]="","",TEXT(B328,"DDD"))</f>
        <v>Sat</v>
      </c>
      <c r="F328" t="s">
        <v>27</v>
      </c>
      <c r="G328" t="s">
        <v>40</v>
      </c>
      <c r="H328" s="3" t="s">
        <v>18</v>
      </c>
      <c r="I328" s="3" t="s">
        <v>35</v>
      </c>
      <c r="J328" s="3" t="s">
        <v>32</v>
      </c>
      <c r="K328" s="3">
        <f>_xlfn.XLOOKUP(tbl_main[[#This Row],[Service]],tbl_service[Service],tbl_service[Price],"")</f>
        <v>500</v>
      </c>
      <c r="L328" s="3">
        <v>2</v>
      </c>
      <c r="M328" s="3">
        <f>IF(AND(tbl_main[[#This Row],[Price]]="",tbl_main[[#This Row],[Qty]]=""),"",tbl_main[[#This Row],[Price]]*tbl_main[[#This Row],[Qty]])</f>
        <v>1000</v>
      </c>
      <c r="N328" s="3">
        <f>_xlfn.LET(_xlpm.x,_xlfn.XLOOKUP(tbl_main[[#This Row],[Service]],tbl_service[Service],tbl_service[Profit],""),
               IF(tbl_main[[#This Row],[Qty]]="","",_xlpm.x*tbl_main[[#This Row],[Qty]]))</f>
        <v>314</v>
      </c>
    </row>
    <row r="329" spans="1:14" x14ac:dyDescent="0.25">
      <c r="A329" t="s">
        <v>371</v>
      </c>
      <c r="B329" s="1">
        <v>45760</v>
      </c>
      <c r="C329">
        <f>IF(tbl_main[[#This Row],[Date]]="","",YEAR(B329))</f>
        <v>2025</v>
      </c>
      <c r="D329" t="str">
        <f>IF(tbl_main[[#This Row],[Date]]="","",TEXT(B329,"mmm"))</f>
        <v>Apr</v>
      </c>
      <c r="E329" t="str">
        <f>IF(tbl_main[[#This Row],[Date]]="","",TEXT(B329,"DDD"))</f>
        <v>Sun</v>
      </c>
      <c r="F329" t="s">
        <v>20</v>
      </c>
      <c r="G329" t="s">
        <v>29</v>
      </c>
      <c r="H329" s="3" t="s">
        <v>24</v>
      </c>
      <c r="I329" s="3" t="s">
        <v>23</v>
      </c>
      <c r="J329" s="3" t="s">
        <v>17</v>
      </c>
      <c r="K329" s="3">
        <f>_xlfn.XLOOKUP(tbl_main[[#This Row],[Service]],tbl_service[Service],tbl_service[Price],"")</f>
        <v>80</v>
      </c>
      <c r="L329" s="3">
        <v>2</v>
      </c>
      <c r="M329" s="3">
        <f>IF(AND(tbl_main[[#This Row],[Price]]="",tbl_main[[#This Row],[Qty]]=""),"",tbl_main[[#This Row],[Price]]*tbl_main[[#This Row],[Qty]])</f>
        <v>160</v>
      </c>
      <c r="N329" s="3">
        <f>_xlfn.LET(_xlpm.x,_xlfn.XLOOKUP(tbl_main[[#This Row],[Service]],tbl_service[Service],tbl_service[Profit],""),
               IF(tbl_main[[#This Row],[Qty]]="","",_xlpm.x*tbl_main[[#This Row],[Qty]]))</f>
        <v>72</v>
      </c>
    </row>
    <row r="330" spans="1:14" x14ac:dyDescent="0.25">
      <c r="A330" t="s">
        <v>372</v>
      </c>
      <c r="B330" s="1">
        <v>45760</v>
      </c>
      <c r="C330">
        <f>IF(tbl_main[[#This Row],[Date]]="","",YEAR(B330))</f>
        <v>2025</v>
      </c>
      <c r="D330" t="str">
        <f>IF(tbl_main[[#This Row],[Date]]="","",TEXT(B330,"mmm"))</f>
        <v>Apr</v>
      </c>
      <c r="E330" t="str">
        <f>IF(tbl_main[[#This Row],[Date]]="","",TEXT(B330,"DDD"))</f>
        <v>Sun</v>
      </c>
      <c r="F330" t="s">
        <v>27</v>
      </c>
      <c r="G330" t="s">
        <v>28</v>
      </c>
      <c r="H330" s="3" t="s">
        <v>22</v>
      </c>
      <c r="I330" s="3" t="s">
        <v>37</v>
      </c>
      <c r="J330" s="3" t="s">
        <v>17</v>
      </c>
      <c r="K330" s="3">
        <f>_xlfn.XLOOKUP(tbl_main[[#This Row],[Service]],tbl_service[Service],tbl_service[Price],"")</f>
        <v>150</v>
      </c>
      <c r="L330" s="3">
        <v>1</v>
      </c>
      <c r="M330" s="3">
        <f>IF(AND(tbl_main[[#This Row],[Price]]="",tbl_main[[#This Row],[Qty]]=""),"",tbl_main[[#This Row],[Price]]*tbl_main[[#This Row],[Qty]])</f>
        <v>150</v>
      </c>
      <c r="N330" s="3">
        <f>_xlfn.LET(_xlpm.x,_xlfn.XLOOKUP(tbl_main[[#This Row],[Service]],tbl_service[Service],tbl_service[Profit],""),
               IF(tbl_main[[#This Row],[Qty]]="","",_xlpm.x*tbl_main[[#This Row],[Qty]]))</f>
        <v>67</v>
      </c>
    </row>
    <row r="331" spans="1:14" x14ac:dyDescent="0.25">
      <c r="A331" t="s">
        <v>373</v>
      </c>
      <c r="B331" s="1">
        <v>45760</v>
      </c>
      <c r="C331">
        <f>IF(tbl_main[[#This Row],[Date]]="","",YEAR(B331))</f>
        <v>2025</v>
      </c>
      <c r="D331" t="str">
        <f>IF(tbl_main[[#This Row],[Date]]="","",TEXT(B331,"mmm"))</f>
        <v>Apr</v>
      </c>
      <c r="E331" t="str">
        <f>IF(tbl_main[[#This Row],[Date]]="","",TEXT(B331,"DDD"))</f>
        <v>Sun</v>
      </c>
      <c r="F331" t="s">
        <v>13</v>
      </c>
      <c r="G331" t="s">
        <v>33</v>
      </c>
      <c r="H331" s="3" t="s">
        <v>24</v>
      </c>
      <c r="I331" s="3" t="s">
        <v>38</v>
      </c>
      <c r="J331" s="3" t="s">
        <v>25</v>
      </c>
      <c r="K331" s="3">
        <f>_xlfn.XLOOKUP(tbl_main[[#This Row],[Service]],tbl_service[Service],tbl_service[Price],"")</f>
        <v>80</v>
      </c>
      <c r="L331" s="3">
        <v>2</v>
      </c>
      <c r="M331" s="3">
        <f>IF(AND(tbl_main[[#This Row],[Price]]="",tbl_main[[#This Row],[Qty]]=""),"",tbl_main[[#This Row],[Price]]*tbl_main[[#This Row],[Qty]])</f>
        <v>160</v>
      </c>
      <c r="N331" s="3">
        <f>_xlfn.LET(_xlpm.x,_xlfn.XLOOKUP(tbl_main[[#This Row],[Service]],tbl_service[Service],tbl_service[Profit],""),
               IF(tbl_main[[#This Row],[Qty]]="","",_xlpm.x*tbl_main[[#This Row],[Qty]]))</f>
        <v>72</v>
      </c>
    </row>
    <row r="332" spans="1:14" x14ac:dyDescent="0.25">
      <c r="A332" t="s">
        <v>374</v>
      </c>
      <c r="B332" s="1">
        <v>45760</v>
      </c>
      <c r="C332">
        <f>IF(tbl_main[[#This Row],[Date]]="","",YEAR(B332))</f>
        <v>2025</v>
      </c>
      <c r="D332" t="str">
        <f>IF(tbl_main[[#This Row],[Date]]="","",TEXT(B332,"mmm"))</f>
        <v>Apr</v>
      </c>
      <c r="E332" t="str">
        <f>IF(tbl_main[[#This Row],[Date]]="","",TEXT(B332,"DDD"))</f>
        <v>Sun</v>
      </c>
      <c r="F332" t="s">
        <v>27</v>
      </c>
      <c r="G332" t="s">
        <v>28</v>
      </c>
      <c r="H332" s="3" t="s">
        <v>24</v>
      </c>
      <c r="I332" s="3" t="s">
        <v>16</v>
      </c>
      <c r="J332" s="3" t="s">
        <v>17</v>
      </c>
      <c r="K332" s="3">
        <f>_xlfn.XLOOKUP(tbl_main[[#This Row],[Service]],tbl_service[Service],tbl_service[Price],"")</f>
        <v>80</v>
      </c>
      <c r="L332" s="3">
        <v>1</v>
      </c>
      <c r="M332" s="3">
        <f>IF(AND(tbl_main[[#This Row],[Price]]="",tbl_main[[#This Row],[Qty]]=""),"",tbl_main[[#This Row],[Price]]*tbl_main[[#This Row],[Qty]])</f>
        <v>80</v>
      </c>
      <c r="N332" s="3">
        <f>_xlfn.LET(_xlpm.x,_xlfn.XLOOKUP(tbl_main[[#This Row],[Service]],tbl_service[Service],tbl_service[Profit],""),
               IF(tbl_main[[#This Row],[Qty]]="","",_xlpm.x*tbl_main[[#This Row],[Qty]]))</f>
        <v>36</v>
      </c>
    </row>
    <row r="333" spans="1:14" x14ac:dyDescent="0.25">
      <c r="A333" t="s">
        <v>375</v>
      </c>
      <c r="B333" s="1">
        <v>45761</v>
      </c>
      <c r="C333">
        <f>IF(tbl_main[[#This Row],[Date]]="","",YEAR(B333))</f>
        <v>2025</v>
      </c>
      <c r="D333" t="str">
        <f>IF(tbl_main[[#This Row],[Date]]="","",TEXT(B333,"mmm"))</f>
        <v>Apr</v>
      </c>
      <c r="E333" t="str">
        <f>IF(tbl_main[[#This Row],[Date]]="","",TEXT(B333,"DDD"))</f>
        <v>Mon</v>
      </c>
      <c r="F333" t="s">
        <v>13</v>
      </c>
      <c r="G333" t="s">
        <v>33</v>
      </c>
      <c r="H333" s="3" t="s">
        <v>26</v>
      </c>
      <c r="I333" s="3" t="s">
        <v>19</v>
      </c>
      <c r="J333" s="3" t="s">
        <v>32</v>
      </c>
      <c r="K333" s="3">
        <f>_xlfn.XLOOKUP(tbl_main[[#This Row],[Service]],tbl_service[Service],tbl_service[Price],"")</f>
        <v>200</v>
      </c>
      <c r="L333" s="3">
        <v>2</v>
      </c>
      <c r="M333" s="3">
        <f>IF(AND(tbl_main[[#This Row],[Price]]="",tbl_main[[#This Row],[Qty]]=""),"",tbl_main[[#This Row],[Price]]*tbl_main[[#This Row],[Qty]])</f>
        <v>400</v>
      </c>
      <c r="N333" s="3">
        <f>_xlfn.LET(_xlpm.x,_xlfn.XLOOKUP(tbl_main[[#This Row],[Service]],tbl_service[Service],tbl_service[Profit],""),
               IF(tbl_main[[#This Row],[Qty]]="","",_xlpm.x*tbl_main[[#This Row],[Qty]]))</f>
        <v>180</v>
      </c>
    </row>
    <row r="334" spans="1:14" x14ac:dyDescent="0.25">
      <c r="A334" t="s">
        <v>376</v>
      </c>
      <c r="B334" s="1">
        <v>45761</v>
      </c>
      <c r="C334">
        <f>IF(tbl_main[[#This Row],[Date]]="","",YEAR(B334))</f>
        <v>2025</v>
      </c>
      <c r="D334" t="str">
        <f>IF(tbl_main[[#This Row],[Date]]="","",TEXT(B334,"mmm"))</f>
        <v>Apr</v>
      </c>
      <c r="E334" t="str">
        <f>IF(tbl_main[[#This Row],[Date]]="","",TEXT(B334,"DDD"))</f>
        <v>Mon</v>
      </c>
      <c r="F334" t="s">
        <v>20</v>
      </c>
      <c r="G334" t="s">
        <v>29</v>
      </c>
      <c r="H334" s="3" t="s">
        <v>34</v>
      </c>
      <c r="I334" s="3" t="s">
        <v>42</v>
      </c>
      <c r="J334" s="3" t="s">
        <v>17</v>
      </c>
      <c r="K334" s="3">
        <f>_xlfn.XLOOKUP(tbl_main[[#This Row],[Service]],tbl_service[Service],tbl_service[Price],"")</f>
        <v>100</v>
      </c>
      <c r="L334" s="3">
        <v>2</v>
      </c>
      <c r="M334" s="3">
        <f>IF(AND(tbl_main[[#This Row],[Price]]="",tbl_main[[#This Row],[Qty]]=""),"",tbl_main[[#This Row],[Price]]*tbl_main[[#This Row],[Qty]])</f>
        <v>200</v>
      </c>
      <c r="N334" s="3">
        <f>_xlfn.LET(_xlpm.x,_xlfn.XLOOKUP(tbl_main[[#This Row],[Service]],tbl_service[Service],tbl_service[Profit],""),
               IF(tbl_main[[#This Row],[Qty]]="","",_xlpm.x*tbl_main[[#This Row],[Qty]]))</f>
        <v>90</v>
      </c>
    </row>
    <row r="335" spans="1:14" x14ac:dyDescent="0.25">
      <c r="A335" t="s">
        <v>377</v>
      </c>
      <c r="B335" s="1">
        <v>45761</v>
      </c>
      <c r="C335">
        <f>IF(tbl_main[[#This Row],[Date]]="","",YEAR(B335))</f>
        <v>2025</v>
      </c>
      <c r="D335" t="str">
        <f>IF(tbl_main[[#This Row],[Date]]="","",TEXT(B335,"mmm"))</f>
        <v>Apr</v>
      </c>
      <c r="E335" t="str">
        <f>IF(tbl_main[[#This Row],[Date]]="","",TEXT(B335,"DDD"))</f>
        <v>Mon</v>
      </c>
      <c r="F335" t="s">
        <v>30</v>
      </c>
      <c r="G335" t="s">
        <v>36</v>
      </c>
      <c r="H335" s="3" t="s">
        <v>15</v>
      </c>
      <c r="I335" s="3" t="s">
        <v>41</v>
      </c>
      <c r="J335" s="3" t="s">
        <v>25</v>
      </c>
      <c r="K335" s="3">
        <f>_xlfn.XLOOKUP(tbl_main[[#This Row],[Service]],tbl_service[Service],tbl_service[Price],"")</f>
        <v>500</v>
      </c>
      <c r="L335" s="3">
        <v>2</v>
      </c>
      <c r="M335" s="3">
        <f>IF(AND(tbl_main[[#This Row],[Price]]="",tbl_main[[#This Row],[Qty]]=""),"",tbl_main[[#This Row],[Price]]*tbl_main[[#This Row],[Qty]])</f>
        <v>1000</v>
      </c>
      <c r="N335" s="3">
        <f>_xlfn.LET(_xlpm.x,_xlfn.XLOOKUP(tbl_main[[#This Row],[Service]],tbl_service[Service],tbl_service[Profit],""),
               IF(tbl_main[[#This Row],[Qty]]="","",_xlpm.x*tbl_main[[#This Row],[Qty]]))</f>
        <v>450</v>
      </c>
    </row>
    <row r="336" spans="1:14" x14ac:dyDescent="0.25">
      <c r="A336" t="s">
        <v>378</v>
      </c>
      <c r="B336" s="1">
        <v>45761</v>
      </c>
      <c r="C336">
        <f>IF(tbl_main[[#This Row],[Date]]="","",YEAR(B336))</f>
        <v>2025</v>
      </c>
      <c r="D336" t="str">
        <f>IF(tbl_main[[#This Row],[Date]]="","",TEXT(B336,"mmm"))</f>
        <v>Apr</v>
      </c>
      <c r="E336" t="str">
        <f>IF(tbl_main[[#This Row],[Date]]="","",TEXT(B336,"DDD"))</f>
        <v>Mon</v>
      </c>
      <c r="F336" t="s">
        <v>20</v>
      </c>
      <c r="G336" t="s">
        <v>39</v>
      </c>
      <c r="H336" s="3" t="s">
        <v>34</v>
      </c>
      <c r="I336" s="3" t="s">
        <v>41</v>
      </c>
      <c r="J336" s="3" t="s">
        <v>25</v>
      </c>
      <c r="K336" s="3">
        <f>_xlfn.XLOOKUP(tbl_main[[#This Row],[Service]],tbl_service[Service],tbl_service[Price],"")</f>
        <v>100</v>
      </c>
      <c r="L336" s="3">
        <v>2</v>
      </c>
      <c r="M336" s="3">
        <f>IF(AND(tbl_main[[#This Row],[Price]]="",tbl_main[[#This Row],[Qty]]=""),"",tbl_main[[#This Row],[Price]]*tbl_main[[#This Row],[Qty]])</f>
        <v>200</v>
      </c>
      <c r="N336" s="3">
        <f>_xlfn.LET(_xlpm.x,_xlfn.XLOOKUP(tbl_main[[#This Row],[Service]],tbl_service[Service],tbl_service[Profit],""),
               IF(tbl_main[[#This Row],[Qty]]="","",_xlpm.x*tbl_main[[#This Row],[Qty]]))</f>
        <v>90</v>
      </c>
    </row>
    <row r="337" spans="1:14" x14ac:dyDescent="0.25">
      <c r="A337" t="s">
        <v>379</v>
      </c>
      <c r="B337" s="1">
        <v>45762</v>
      </c>
      <c r="C337">
        <f>IF(tbl_main[[#This Row],[Date]]="","",YEAR(B337))</f>
        <v>2025</v>
      </c>
      <c r="D337" t="str">
        <f>IF(tbl_main[[#This Row],[Date]]="","",TEXT(B337,"mmm"))</f>
        <v>Apr</v>
      </c>
      <c r="E337" t="str">
        <f>IF(tbl_main[[#This Row],[Date]]="","",TEXT(B337,"DDD"))</f>
        <v>Tue</v>
      </c>
      <c r="F337" t="s">
        <v>20</v>
      </c>
      <c r="G337" t="s">
        <v>29</v>
      </c>
      <c r="H337" s="3" t="s">
        <v>18</v>
      </c>
      <c r="I337" s="3" t="s">
        <v>35</v>
      </c>
      <c r="J337" s="3" t="s">
        <v>32</v>
      </c>
      <c r="K337" s="3">
        <f>_xlfn.XLOOKUP(tbl_main[[#This Row],[Service]],tbl_service[Service],tbl_service[Price],"")</f>
        <v>500</v>
      </c>
      <c r="L337" s="3">
        <v>2</v>
      </c>
      <c r="M337" s="3">
        <f>IF(AND(tbl_main[[#This Row],[Price]]="",tbl_main[[#This Row],[Qty]]=""),"",tbl_main[[#This Row],[Price]]*tbl_main[[#This Row],[Qty]])</f>
        <v>1000</v>
      </c>
      <c r="N337" s="3">
        <f>_xlfn.LET(_xlpm.x,_xlfn.XLOOKUP(tbl_main[[#This Row],[Service]],tbl_service[Service],tbl_service[Profit],""),
               IF(tbl_main[[#This Row],[Qty]]="","",_xlpm.x*tbl_main[[#This Row],[Qty]]))</f>
        <v>314</v>
      </c>
    </row>
    <row r="338" spans="1:14" x14ac:dyDescent="0.25">
      <c r="A338" t="s">
        <v>380</v>
      </c>
      <c r="B338" s="1">
        <v>45762</v>
      </c>
      <c r="C338">
        <f>IF(tbl_main[[#This Row],[Date]]="","",YEAR(B338))</f>
        <v>2025</v>
      </c>
      <c r="D338" t="str">
        <f>IF(tbl_main[[#This Row],[Date]]="","",TEXT(B338,"mmm"))</f>
        <v>Apr</v>
      </c>
      <c r="E338" t="str">
        <f>IF(tbl_main[[#This Row],[Date]]="","",TEXT(B338,"DDD"))</f>
        <v>Tue</v>
      </c>
      <c r="F338" t="s">
        <v>30</v>
      </c>
      <c r="G338" t="s">
        <v>36</v>
      </c>
      <c r="H338" s="3" t="s">
        <v>22</v>
      </c>
      <c r="I338" s="3" t="s">
        <v>35</v>
      </c>
      <c r="J338" s="3" t="s">
        <v>25</v>
      </c>
      <c r="K338" s="3">
        <f>_xlfn.XLOOKUP(tbl_main[[#This Row],[Service]],tbl_service[Service],tbl_service[Price],"")</f>
        <v>150</v>
      </c>
      <c r="L338" s="3">
        <v>1</v>
      </c>
      <c r="M338" s="3">
        <f>IF(AND(tbl_main[[#This Row],[Price]]="",tbl_main[[#This Row],[Qty]]=""),"",tbl_main[[#This Row],[Price]]*tbl_main[[#This Row],[Qty]])</f>
        <v>150</v>
      </c>
      <c r="N338" s="3">
        <f>_xlfn.LET(_xlpm.x,_xlfn.XLOOKUP(tbl_main[[#This Row],[Service]],tbl_service[Service],tbl_service[Profit],""),
               IF(tbl_main[[#This Row],[Qty]]="","",_xlpm.x*tbl_main[[#This Row],[Qty]]))</f>
        <v>67</v>
      </c>
    </row>
    <row r="339" spans="1:14" x14ac:dyDescent="0.25">
      <c r="A339" t="s">
        <v>381</v>
      </c>
      <c r="B339" s="1">
        <v>45763</v>
      </c>
      <c r="C339">
        <f>IF(tbl_main[[#This Row],[Date]]="","",YEAR(B339))</f>
        <v>2025</v>
      </c>
      <c r="D339" t="str">
        <f>IF(tbl_main[[#This Row],[Date]]="","",TEXT(B339,"mmm"))</f>
        <v>Apr</v>
      </c>
      <c r="E339" t="str">
        <f>IF(tbl_main[[#This Row],[Date]]="","",TEXT(B339,"DDD"))</f>
        <v>Wed</v>
      </c>
      <c r="F339" t="s">
        <v>20</v>
      </c>
      <c r="G339" t="s">
        <v>29</v>
      </c>
      <c r="H339" s="3" t="s">
        <v>34</v>
      </c>
      <c r="I339" s="3" t="s">
        <v>23</v>
      </c>
      <c r="J339" s="3" t="s">
        <v>32</v>
      </c>
      <c r="K339" s="3">
        <f>_xlfn.XLOOKUP(tbl_main[[#This Row],[Service]],tbl_service[Service],tbl_service[Price],"")</f>
        <v>100</v>
      </c>
      <c r="L339" s="3">
        <v>2</v>
      </c>
      <c r="M339" s="3">
        <f>IF(AND(tbl_main[[#This Row],[Price]]="",tbl_main[[#This Row],[Qty]]=""),"",tbl_main[[#This Row],[Price]]*tbl_main[[#This Row],[Qty]])</f>
        <v>200</v>
      </c>
      <c r="N339" s="3">
        <f>_xlfn.LET(_xlpm.x,_xlfn.XLOOKUP(tbl_main[[#This Row],[Service]],tbl_service[Service],tbl_service[Profit],""),
               IF(tbl_main[[#This Row],[Qty]]="","",_xlpm.x*tbl_main[[#This Row],[Qty]]))</f>
        <v>90</v>
      </c>
    </row>
    <row r="340" spans="1:14" x14ac:dyDescent="0.25">
      <c r="A340" t="s">
        <v>382</v>
      </c>
      <c r="B340" s="1">
        <v>45763</v>
      </c>
      <c r="C340">
        <f>IF(tbl_main[[#This Row],[Date]]="","",YEAR(B340))</f>
        <v>2025</v>
      </c>
      <c r="D340" t="str">
        <f>IF(tbl_main[[#This Row],[Date]]="","",TEXT(B340,"mmm"))</f>
        <v>Apr</v>
      </c>
      <c r="E340" t="str">
        <f>IF(tbl_main[[#This Row],[Date]]="","",TEXT(B340,"DDD"))</f>
        <v>Wed</v>
      </c>
      <c r="F340" t="s">
        <v>20</v>
      </c>
      <c r="G340" t="s">
        <v>21</v>
      </c>
      <c r="H340" s="3" t="s">
        <v>15</v>
      </c>
      <c r="I340" s="3" t="s">
        <v>37</v>
      </c>
      <c r="J340" s="3" t="s">
        <v>25</v>
      </c>
      <c r="K340" s="3">
        <f>_xlfn.XLOOKUP(tbl_main[[#This Row],[Service]],tbl_service[Service],tbl_service[Price],"")</f>
        <v>500</v>
      </c>
      <c r="L340" s="3">
        <v>2</v>
      </c>
      <c r="M340" s="3">
        <f>IF(AND(tbl_main[[#This Row],[Price]]="",tbl_main[[#This Row],[Qty]]=""),"",tbl_main[[#This Row],[Price]]*tbl_main[[#This Row],[Qty]])</f>
        <v>1000</v>
      </c>
      <c r="N340" s="3">
        <f>_xlfn.LET(_xlpm.x,_xlfn.XLOOKUP(tbl_main[[#This Row],[Service]],tbl_service[Service],tbl_service[Profit],""),
               IF(tbl_main[[#This Row],[Qty]]="","",_xlpm.x*tbl_main[[#This Row],[Qty]]))</f>
        <v>450</v>
      </c>
    </row>
    <row r="341" spans="1:14" x14ac:dyDescent="0.25">
      <c r="A341" t="s">
        <v>383</v>
      </c>
      <c r="B341" s="1">
        <v>45763</v>
      </c>
      <c r="C341">
        <f>IF(tbl_main[[#This Row],[Date]]="","",YEAR(B341))</f>
        <v>2025</v>
      </c>
      <c r="D341" t="str">
        <f>IF(tbl_main[[#This Row],[Date]]="","",TEXT(B341,"mmm"))</f>
        <v>Apr</v>
      </c>
      <c r="E341" t="str">
        <f>IF(tbl_main[[#This Row],[Date]]="","",TEXT(B341,"DDD"))</f>
        <v>Wed</v>
      </c>
      <c r="F341" t="s">
        <v>27</v>
      </c>
      <c r="G341" t="s">
        <v>28</v>
      </c>
      <c r="H341" s="3" t="s">
        <v>26</v>
      </c>
      <c r="I341" s="3" t="s">
        <v>38</v>
      </c>
      <c r="J341" s="3" t="s">
        <v>32</v>
      </c>
      <c r="K341" s="3">
        <f>_xlfn.XLOOKUP(tbl_main[[#This Row],[Service]],tbl_service[Service],tbl_service[Price],"")</f>
        <v>200</v>
      </c>
      <c r="L341" s="3">
        <v>1</v>
      </c>
      <c r="M341" s="3">
        <f>IF(AND(tbl_main[[#This Row],[Price]]="",tbl_main[[#This Row],[Qty]]=""),"",tbl_main[[#This Row],[Price]]*tbl_main[[#This Row],[Qty]])</f>
        <v>200</v>
      </c>
      <c r="N341" s="3">
        <f>_xlfn.LET(_xlpm.x,_xlfn.XLOOKUP(tbl_main[[#This Row],[Service]],tbl_service[Service],tbl_service[Profit],""),
               IF(tbl_main[[#This Row],[Qty]]="","",_xlpm.x*tbl_main[[#This Row],[Qty]]))</f>
        <v>90</v>
      </c>
    </row>
    <row r="342" spans="1:14" x14ac:dyDescent="0.25">
      <c r="A342" t="s">
        <v>384</v>
      </c>
      <c r="B342" s="1">
        <v>45763</v>
      </c>
      <c r="C342">
        <f>IF(tbl_main[[#This Row],[Date]]="","",YEAR(B342))</f>
        <v>2025</v>
      </c>
      <c r="D342" t="str">
        <f>IF(tbl_main[[#This Row],[Date]]="","",TEXT(B342,"mmm"))</f>
        <v>Apr</v>
      </c>
      <c r="E342" t="str">
        <f>IF(tbl_main[[#This Row],[Date]]="","",TEXT(B342,"DDD"))</f>
        <v>Wed</v>
      </c>
      <c r="F342" t="s">
        <v>13</v>
      </c>
      <c r="G342" t="s">
        <v>33</v>
      </c>
      <c r="H342" s="3" t="s">
        <v>24</v>
      </c>
      <c r="I342" s="3" t="s">
        <v>16</v>
      </c>
      <c r="J342" s="3" t="s">
        <v>25</v>
      </c>
      <c r="K342" s="3">
        <f>_xlfn.XLOOKUP(tbl_main[[#This Row],[Service]],tbl_service[Service],tbl_service[Price],"")</f>
        <v>80</v>
      </c>
      <c r="L342" s="3">
        <v>2</v>
      </c>
      <c r="M342" s="3">
        <f>IF(AND(tbl_main[[#This Row],[Price]]="",tbl_main[[#This Row],[Qty]]=""),"",tbl_main[[#This Row],[Price]]*tbl_main[[#This Row],[Qty]])</f>
        <v>160</v>
      </c>
      <c r="N342" s="3">
        <f>_xlfn.LET(_xlpm.x,_xlfn.XLOOKUP(tbl_main[[#This Row],[Service]],tbl_service[Service],tbl_service[Profit],""),
               IF(tbl_main[[#This Row],[Qty]]="","",_xlpm.x*tbl_main[[#This Row],[Qty]]))</f>
        <v>72</v>
      </c>
    </row>
    <row r="343" spans="1:14" x14ac:dyDescent="0.25">
      <c r="A343" t="s">
        <v>385</v>
      </c>
      <c r="B343" s="1">
        <v>45764</v>
      </c>
      <c r="C343">
        <f>IF(tbl_main[[#This Row],[Date]]="","",YEAR(B343))</f>
        <v>2025</v>
      </c>
      <c r="D343" t="str">
        <f>IF(tbl_main[[#This Row],[Date]]="","",TEXT(B343,"mmm"))</f>
        <v>Apr</v>
      </c>
      <c r="E343" t="str">
        <f>IF(tbl_main[[#This Row],[Date]]="","",TEXT(B343,"DDD"))</f>
        <v>Thu</v>
      </c>
      <c r="F343" t="s">
        <v>20</v>
      </c>
      <c r="G343" t="s">
        <v>39</v>
      </c>
      <c r="H343" s="3" t="s">
        <v>22</v>
      </c>
      <c r="I343" s="3" t="s">
        <v>19</v>
      </c>
      <c r="J343" s="3" t="s">
        <v>32</v>
      </c>
      <c r="K343" s="3">
        <f>_xlfn.XLOOKUP(tbl_main[[#This Row],[Service]],tbl_service[Service],tbl_service[Price],"")</f>
        <v>150</v>
      </c>
      <c r="L343" s="3">
        <v>1</v>
      </c>
      <c r="M343" s="3">
        <f>IF(AND(tbl_main[[#This Row],[Price]]="",tbl_main[[#This Row],[Qty]]=""),"",tbl_main[[#This Row],[Price]]*tbl_main[[#This Row],[Qty]])</f>
        <v>150</v>
      </c>
      <c r="N343" s="3">
        <f>_xlfn.LET(_xlpm.x,_xlfn.XLOOKUP(tbl_main[[#This Row],[Service]],tbl_service[Service],tbl_service[Profit],""),
               IF(tbl_main[[#This Row],[Qty]]="","",_xlpm.x*tbl_main[[#This Row],[Qty]]))</f>
        <v>67</v>
      </c>
    </row>
    <row r="344" spans="1:14" x14ac:dyDescent="0.25">
      <c r="A344" t="s">
        <v>386</v>
      </c>
      <c r="B344" s="1">
        <v>45764</v>
      </c>
      <c r="C344">
        <f>IF(tbl_main[[#This Row],[Date]]="","",YEAR(B344))</f>
        <v>2025</v>
      </c>
      <c r="D344" t="str">
        <f>IF(tbl_main[[#This Row],[Date]]="","",TEXT(B344,"mmm"))</f>
        <v>Apr</v>
      </c>
      <c r="E344" t="str">
        <f>IF(tbl_main[[#This Row],[Date]]="","",TEXT(B344,"DDD"))</f>
        <v>Thu</v>
      </c>
      <c r="F344" t="s">
        <v>30</v>
      </c>
      <c r="G344" t="s">
        <v>36</v>
      </c>
      <c r="H344" s="3" t="s">
        <v>15</v>
      </c>
      <c r="I344" s="3" t="s">
        <v>42</v>
      </c>
      <c r="J344" s="3" t="s">
        <v>32</v>
      </c>
      <c r="K344" s="3">
        <f>_xlfn.XLOOKUP(tbl_main[[#This Row],[Service]],tbl_service[Service],tbl_service[Price],"")</f>
        <v>500</v>
      </c>
      <c r="L344" s="3">
        <v>2</v>
      </c>
      <c r="M344" s="3">
        <f>IF(AND(tbl_main[[#This Row],[Price]]="",tbl_main[[#This Row],[Qty]]=""),"",tbl_main[[#This Row],[Price]]*tbl_main[[#This Row],[Qty]])</f>
        <v>1000</v>
      </c>
      <c r="N344" s="3">
        <f>_xlfn.LET(_xlpm.x,_xlfn.XLOOKUP(tbl_main[[#This Row],[Service]],tbl_service[Service],tbl_service[Profit],""),
               IF(tbl_main[[#This Row],[Qty]]="","",_xlpm.x*tbl_main[[#This Row],[Qty]]))</f>
        <v>450</v>
      </c>
    </row>
    <row r="345" spans="1:14" x14ac:dyDescent="0.25">
      <c r="A345" t="s">
        <v>387</v>
      </c>
      <c r="B345" s="1">
        <v>45765</v>
      </c>
      <c r="C345">
        <f>IF(tbl_main[[#This Row],[Date]]="","",YEAR(B345))</f>
        <v>2025</v>
      </c>
      <c r="D345" t="str">
        <f>IF(tbl_main[[#This Row],[Date]]="","",TEXT(B345,"mmm"))</f>
        <v>Apr</v>
      </c>
      <c r="E345" t="str">
        <f>IF(tbl_main[[#This Row],[Date]]="","",TEXT(B345,"DDD"))</f>
        <v>Fri</v>
      </c>
      <c r="F345" t="s">
        <v>27</v>
      </c>
      <c r="G345" t="s">
        <v>40</v>
      </c>
      <c r="H345" s="3" t="s">
        <v>15</v>
      </c>
      <c r="I345" s="3" t="s">
        <v>41</v>
      </c>
      <c r="J345" s="3" t="s">
        <v>32</v>
      </c>
      <c r="K345" s="3">
        <f>_xlfn.XLOOKUP(tbl_main[[#This Row],[Service]],tbl_service[Service],tbl_service[Price],"")</f>
        <v>500</v>
      </c>
      <c r="L345" s="3">
        <v>1</v>
      </c>
      <c r="M345" s="3">
        <f>IF(AND(tbl_main[[#This Row],[Price]]="",tbl_main[[#This Row],[Qty]]=""),"",tbl_main[[#This Row],[Price]]*tbl_main[[#This Row],[Qty]])</f>
        <v>500</v>
      </c>
      <c r="N345" s="3">
        <f>_xlfn.LET(_xlpm.x,_xlfn.XLOOKUP(tbl_main[[#This Row],[Service]],tbl_service[Service],tbl_service[Profit],""),
               IF(tbl_main[[#This Row],[Qty]]="","",_xlpm.x*tbl_main[[#This Row],[Qty]]))</f>
        <v>225</v>
      </c>
    </row>
    <row r="346" spans="1:14" x14ac:dyDescent="0.25">
      <c r="A346" t="s">
        <v>388</v>
      </c>
      <c r="B346" s="1">
        <v>45765</v>
      </c>
      <c r="C346">
        <f>IF(tbl_main[[#This Row],[Date]]="","",YEAR(B346))</f>
        <v>2025</v>
      </c>
      <c r="D346" t="str">
        <f>IF(tbl_main[[#This Row],[Date]]="","",TEXT(B346,"mmm"))</f>
        <v>Apr</v>
      </c>
      <c r="E346" t="str">
        <f>IF(tbl_main[[#This Row],[Date]]="","",TEXT(B346,"DDD"))</f>
        <v>Fri</v>
      </c>
      <c r="F346" t="s">
        <v>30</v>
      </c>
      <c r="G346" t="s">
        <v>36</v>
      </c>
      <c r="H346" s="3" t="s">
        <v>26</v>
      </c>
      <c r="I346" s="3" t="s">
        <v>41</v>
      </c>
      <c r="J346" s="3" t="s">
        <v>25</v>
      </c>
      <c r="K346" s="3">
        <f>_xlfn.XLOOKUP(tbl_main[[#This Row],[Service]],tbl_service[Service],tbl_service[Price],"")</f>
        <v>200</v>
      </c>
      <c r="L346" s="3">
        <v>2</v>
      </c>
      <c r="M346" s="3">
        <f>IF(AND(tbl_main[[#This Row],[Price]]="",tbl_main[[#This Row],[Qty]]=""),"",tbl_main[[#This Row],[Price]]*tbl_main[[#This Row],[Qty]])</f>
        <v>400</v>
      </c>
      <c r="N346" s="3">
        <f>_xlfn.LET(_xlpm.x,_xlfn.XLOOKUP(tbl_main[[#This Row],[Service]],tbl_service[Service],tbl_service[Profit],""),
               IF(tbl_main[[#This Row],[Qty]]="","",_xlpm.x*tbl_main[[#This Row],[Qty]]))</f>
        <v>180</v>
      </c>
    </row>
    <row r="347" spans="1:14" x14ac:dyDescent="0.25">
      <c r="A347" t="s">
        <v>389</v>
      </c>
      <c r="B347" s="1">
        <v>45765</v>
      </c>
      <c r="C347">
        <f>IF(tbl_main[[#This Row],[Date]]="","",YEAR(B347))</f>
        <v>2025</v>
      </c>
      <c r="D347" t="str">
        <f>IF(tbl_main[[#This Row],[Date]]="","",TEXT(B347,"mmm"))</f>
        <v>Apr</v>
      </c>
      <c r="E347" t="str">
        <f>IF(tbl_main[[#This Row],[Date]]="","",TEXT(B347,"DDD"))</f>
        <v>Fri</v>
      </c>
      <c r="F347" t="s">
        <v>13</v>
      </c>
      <c r="G347" t="s">
        <v>14</v>
      </c>
      <c r="H347" s="3" t="s">
        <v>34</v>
      </c>
      <c r="I347" s="3" t="s">
        <v>35</v>
      </c>
      <c r="J347" s="3" t="s">
        <v>17</v>
      </c>
      <c r="K347" s="3">
        <f>_xlfn.XLOOKUP(tbl_main[[#This Row],[Service]],tbl_service[Service],tbl_service[Price],"")</f>
        <v>100</v>
      </c>
      <c r="L347" s="3">
        <v>1</v>
      </c>
      <c r="M347" s="3">
        <f>IF(AND(tbl_main[[#This Row],[Price]]="",tbl_main[[#This Row],[Qty]]=""),"",tbl_main[[#This Row],[Price]]*tbl_main[[#This Row],[Qty]])</f>
        <v>100</v>
      </c>
      <c r="N347" s="3">
        <f>_xlfn.LET(_xlpm.x,_xlfn.XLOOKUP(tbl_main[[#This Row],[Service]],tbl_service[Service],tbl_service[Profit],""),
               IF(tbl_main[[#This Row],[Qty]]="","",_xlpm.x*tbl_main[[#This Row],[Qty]]))</f>
        <v>45</v>
      </c>
    </row>
    <row r="348" spans="1:14" x14ac:dyDescent="0.25">
      <c r="A348" t="s">
        <v>390</v>
      </c>
      <c r="B348" s="1">
        <v>45766</v>
      </c>
      <c r="C348">
        <f>IF(tbl_main[[#This Row],[Date]]="","",YEAR(B348))</f>
        <v>2025</v>
      </c>
      <c r="D348" t="str">
        <f>IF(tbl_main[[#This Row],[Date]]="","",TEXT(B348,"mmm"))</f>
        <v>Apr</v>
      </c>
      <c r="E348" t="str">
        <f>IF(tbl_main[[#This Row],[Date]]="","",TEXT(B348,"DDD"))</f>
        <v>Sat</v>
      </c>
      <c r="F348" t="s">
        <v>20</v>
      </c>
      <c r="G348" t="s">
        <v>29</v>
      </c>
      <c r="H348" s="3" t="s">
        <v>26</v>
      </c>
      <c r="I348" s="3" t="s">
        <v>35</v>
      </c>
      <c r="J348" s="3" t="s">
        <v>25</v>
      </c>
      <c r="K348" s="3">
        <f>_xlfn.XLOOKUP(tbl_main[[#This Row],[Service]],tbl_service[Service],tbl_service[Price],"")</f>
        <v>200</v>
      </c>
      <c r="L348" s="3">
        <v>2</v>
      </c>
      <c r="M348" s="3">
        <f>IF(AND(tbl_main[[#This Row],[Price]]="",tbl_main[[#This Row],[Qty]]=""),"",tbl_main[[#This Row],[Price]]*tbl_main[[#This Row],[Qty]])</f>
        <v>400</v>
      </c>
      <c r="N348" s="3">
        <f>_xlfn.LET(_xlpm.x,_xlfn.XLOOKUP(tbl_main[[#This Row],[Service]],tbl_service[Service],tbl_service[Profit],""),
               IF(tbl_main[[#This Row],[Qty]]="","",_xlpm.x*tbl_main[[#This Row],[Qty]]))</f>
        <v>180</v>
      </c>
    </row>
    <row r="349" spans="1:14" x14ac:dyDescent="0.25">
      <c r="A349" t="s">
        <v>391</v>
      </c>
      <c r="B349" s="1">
        <v>45766</v>
      </c>
      <c r="C349">
        <f>IF(tbl_main[[#This Row],[Date]]="","",YEAR(B349))</f>
        <v>2025</v>
      </c>
      <c r="D349" t="str">
        <f>IF(tbl_main[[#This Row],[Date]]="","",TEXT(B349,"mmm"))</f>
        <v>Apr</v>
      </c>
      <c r="E349" t="str">
        <f>IF(tbl_main[[#This Row],[Date]]="","",TEXT(B349,"DDD"))</f>
        <v>Sat</v>
      </c>
      <c r="F349" t="s">
        <v>27</v>
      </c>
      <c r="G349" t="s">
        <v>40</v>
      </c>
      <c r="H349" s="3" t="s">
        <v>22</v>
      </c>
      <c r="I349" s="3" t="s">
        <v>23</v>
      </c>
      <c r="J349" s="3" t="s">
        <v>32</v>
      </c>
      <c r="K349" s="3">
        <f>_xlfn.XLOOKUP(tbl_main[[#This Row],[Service]],tbl_service[Service],tbl_service[Price],"")</f>
        <v>150</v>
      </c>
      <c r="L349" s="3">
        <v>2</v>
      </c>
      <c r="M349" s="3">
        <f>IF(AND(tbl_main[[#This Row],[Price]]="",tbl_main[[#This Row],[Qty]]=""),"",tbl_main[[#This Row],[Price]]*tbl_main[[#This Row],[Qty]])</f>
        <v>300</v>
      </c>
      <c r="N349" s="3">
        <f>_xlfn.LET(_xlpm.x,_xlfn.XLOOKUP(tbl_main[[#This Row],[Service]],tbl_service[Service],tbl_service[Profit],""),
               IF(tbl_main[[#This Row],[Qty]]="","",_xlpm.x*tbl_main[[#This Row],[Qty]]))</f>
        <v>134</v>
      </c>
    </row>
    <row r="350" spans="1:14" x14ac:dyDescent="0.25">
      <c r="A350" t="s">
        <v>392</v>
      </c>
      <c r="B350" s="1">
        <v>45767</v>
      </c>
      <c r="C350">
        <f>IF(tbl_main[[#This Row],[Date]]="","",YEAR(B350))</f>
        <v>2025</v>
      </c>
      <c r="D350" t="str">
        <f>IF(tbl_main[[#This Row],[Date]]="","",TEXT(B350,"mmm"))</f>
        <v>Apr</v>
      </c>
      <c r="E350" t="str">
        <f>IF(tbl_main[[#This Row],[Date]]="","",TEXT(B350,"DDD"))</f>
        <v>Sun</v>
      </c>
      <c r="F350" t="s">
        <v>13</v>
      </c>
      <c r="G350" t="s">
        <v>14</v>
      </c>
      <c r="H350" s="3" t="s">
        <v>18</v>
      </c>
      <c r="I350" s="3" t="s">
        <v>37</v>
      </c>
      <c r="J350" s="3" t="s">
        <v>25</v>
      </c>
      <c r="K350" s="3">
        <f>_xlfn.XLOOKUP(tbl_main[[#This Row],[Service]],tbl_service[Service],tbl_service[Price],"")</f>
        <v>500</v>
      </c>
      <c r="L350" s="3">
        <v>2</v>
      </c>
      <c r="M350" s="3">
        <f>IF(AND(tbl_main[[#This Row],[Price]]="",tbl_main[[#This Row],[Qty]]=""),"",tbl_main[[#This Row],[Price]]*tbl_main[[#This Row],[Qty]])</f>
        <v>1000</v>
      </c>
      <c r="N350" s="3">
        <f>_xlfn.LET(_xlpm.x,_xlfn.XLOOKUP(tbl_main[[#This Row],[Service]],tbl_service[Service],tbl_service[Profit],""),
               IF(tbl_main[[#This Row],[Qty]]="","",_xlpm.x*tbl_main[[#This Row],[Qty]]))</f>
        <v>314</v>
      </c>
    </row>
    <row r="351" spans="1:14" x14ac:dyDescent="0.25">
      <c r="A351" t="s">
        <v>393</v>
      </c>
      <c r="B351" s="1">
        <v>45767</v>
      </c>
      <c r="C351">
        <f>IF(tbl_main[[#This Row],[Date]]="","",YEAR(B351))</f>
        <v>2025</v>
      </c>
      <c r="D351" t="str">
        <f>IF(tbl_main[[#This Row],[Date]]="","",TEXT(B351,"mmm"))</f>
        <v>Apr</v>
      </c>
      <c r="E351" t="str">
        <f>IF(tbl_main[[#This Row],[Date]]="","",TEXT(B351,"DDD"))</f>
        <v>Sun</v>
      </c>
      <c r="F351" t="s">
        <v>13</v>
      </c>
      <c r="G351" t="s">
        <v>33</v>
      </c>
      <c r="H351" s="3" t="s">
        <v>34</v>
      </c>
      <c r="I351" s="3" t="s">
        <v>38</v>
      </c>
      <c r="J351" s="3" t="s">
        <v>25</v>
      </c>
      <c r="K351" s="3">
        <f>_xlfn.XLOOKUP(tbl_main[[#This Row],[Service]],tbl_service[Service],tbl_service[Price],"")</f>
        <v>100</v>
      </c>
      <c r="L351" s="3">
        <v>2</v>
      </c>
      <c r="M351" s="3">
        <f>IF(AND(tbl_main[[#This Row],[Price]]="",tbl_main[[#This Row],[Qty]]=""),"",tbl_main[[#This Row],[Price]]*tbl_main[[#This Row],[Qty]])</f>
        <v>200</v>
      </c>
      <c r="N351" s="3">
        <f>_xlfn.LET(_xlpm.x,_xlfn.XLOOKUP(tbl_main[[#This Row],[Service]],tbl_service[Service],tbl_service[Profit],""),
               IF(tbl_main[[#This Row],[Qty]]="","",_xlpm.x*tbl_main[[#This Row],[Qty]]))</f>
        <v>90</v>
      </c>
    </row>
    <row r="352" spans="1:14" x14ac:dyDescent="0.25">
      <c r="A352" t="s">
        <v>394</v>
      </c>
      <c r="B352" s="1">
        <v>45767</v>
      </c>
      <c r="C352">
        <f>IF(tbl_main[[#This Row],[Date]]="","",YEAR(B352))</f>
        <v>2025</v>
      </c>
      <c r="D352" t="str">
        <f>IF(tbl_main[[#This Row],[Date]]="","",TEXT(B352,"mmm"))</f>
        <v>Apr</v>
      </c>
      <c r="E352" t="str">
        <f>IF(tbl_main[[#This Row],[Date]]="","",TEXT(B352,"DDD"))</f>
        <v>Sun</v>
      </c>
      <c r="F352" t="s">
        <v>13</v>
      </c>
      <c r="G352" t="s">
        <v>14</v>
      </c>
      <c r="H352" s="3" t="s">
        <v>34</v>
      </c>
      <c r="I352" s="3" t="s">
        <v>16</v>
      </c>
      <c r="J352" s="3" t="s">
        <v>32</v>
      </c>
      <c r="K352" s="3">
        <f>_xlfn.XLOOKUP(tbl_main[[#This Row],[Service]],tbl_service[Service],tbl_service[Price],"")</f>
        <v>100</v>
      </c>
      <c r="L352" s="3">
        <v>2</v>
      </c>
      <c r="M352" s="3">
        <f>IF(AND(tbl_main[[#This Row],[Price]]="",tbl_main[[#This Row],[Qty]]=""),"",tbl_main[[#This Row],[Price]]*tbl_main[[#This Row],[Qty]])</f>
        <v>200</v>
      </c>
      <c r="N352" s="3">
        <f>_xlfn.LET(_xlpm.x,_xlfn.XLOOKUP(tbl_main[[#This Row],[Service]],tbl_service[Service],tbl_service[Profit],""),
               IF(tbl_main[[#This Row],[Qty]]="","",_xlpm.x*tbl_main[[#This Row],[Qty]]))</f>
        <v>90</v>
      </c>
    </row>
    <row r="353" spans="1:14" x14ac:dyDescent="0.25">
      <c r="A353" t="s">
        <v>395</v>
      </c>
      <c r="B353" s="1">
        <v>45767</v>
      </c>
      <c r="C353">
        <f>IF(tbl_main[[#This Row],[Date]]="","",YEAR(B353))</f>
        <v>2025</v>
      </c>
      <c r="D353" t="str">
        <f>IF(tbl_main[[#This Row],[Date]]="","",TEXT(B353,"mmm"))</f>
        <v>Apr</v>
      </c>
      <c r="E353" t="str">
        <f>IF(tbl_main[[#This Row],[Date]]="","",TEXT(B353,"DDD"))</f>
        <v>Sun</v>
      </c>
      <c r="F353" t="s">
        <v>20</v>
      </c>
      <c r="G353" t="s">
        <v>21</v>
      </c>
      <c r="H353" s="3" t="s">
        <v>15</v>
      </c>
      <c r="I353" s="3" t="s">
        <v>19</v>
      </c>
      <c r="J353" s="3" t="s">
        <v>32</v>
      </c>
      <c r="K353" s="3">
        <f>_xlfn.XLOOKUP(tbl_main[[#This Row],[Service]],tbl_service[Service],tbl_service[Price],"")</f>
        <v>500</v>
      </c>
      <c r="L353" s="3">
        <v>2</v>
      </c>
      <c r="M353" s="3">
        <f>IF(AND(tbl_main[[#This Row],[Price]]="",tbl_main[[#This Row],[Qty]]=""),"",tbl_main[[#This Row],[Price]]*tbl_main[[#This Row],[Qty]])</f>
        <v>1000</v>
      </c>
      <c r="N353" s="3">
        <f>_xlfn.LET(_xlpm.x,_xlfn.XLOOKUP(tbl_main[[#This Row],[Service]],tbl_service[Service],tbl_service[Profit],""),
               IF(tbl_main[[#This Row],[Qty]]="","",_xlpm.x*tbl_main[[#This Row],[Qty]]))</f>
        <v>450</v>
      </c>
    </row>
    <row r="354" spans="1:14" x14ac:dyDescent="0.25">
      <c r="A354" t="s">
        <v>396</v>
      </c>
      <c r="B354" s="1">
        <v>45768</v>
      </c>
      <c r="C354">
        <f>IF(tbl_main[[#This Row],[Date]]="","",YEAR(B354))</f>
        <v>2025</v>
      </c>
      <c r="D354" t="str">
        <f>IF(tbl_main[[#This Row],[Date]]="","",TEXT(B354,"mmm"))</f>
        <v>Apr</v>
      </c>
      <c r="E354" t="str">
        <f>IF(tbl_main[[#This Row],[Date]]="","",TEXT(B354,"DDD"))</f>
        <v>Mon</v>
      </c>
      <c r="F354" t="s">
        <v>13</v>
      </c>
      <c r="G354" t="s">
        <v>33</v>
      </c>
      <c r="H354" s="3" t="s">
        <v>26</v>
      </c>
      <c r="I354" s="3" t="s">
        <v>42</v>
      </c>
      <c r="J354" s="3" t="s">
        <v>17</v>
      </c>
      <c r="K354" s="3">
        <f>_xlfn.XLOOKUP(tbl_main[[#This Row],[Service]],tbl_service[Service],tbl_service[Price],"")</f>
        <v>200</v>
      </c>
      <c r="L354" s="3">
        <v>2</v>
      </c>
      <c r="M354" s="3">
        <f>IF(AND(tbl_main[[#This Row],[Price]]="",tbl_main[[#This Row],[Qty]]=""),"",tbl_main[[#This Row],[Price]]*tbl_main[[#This Row],[Qty]])</f>
        <v>400</v>
      </c>
      <c r="N354" s="3">
        <f>_xlfn.LET(_xlpm.x,_xlfn.XLOOKUP(tbl_main[[#This Row],[Service]],tbl_service[Service],tbl_service[Profit],""),
               IF(tbl_main[[#This Row],[Qty]]="","",_xlpm.x*tbl_main[[#This Row],[Qty]]))</f>
        <v>180</v>
      </c>
    </row>
    <row r="355" spans="1:14" x14ac:dyDescent="0.25">
      <c r="A355" t="s">
        <v>397</v>
      </c>
      <c r="B355" s="1">
        <v>45768</v>
      </c>
      <c r="C355">
        <f>IF(tbl_main[[#This Row],[Date]]="","",YEAR(B355))</f>
        <v>2025</v>
      </c>
      <c r="D355" t="str">
        <f>IF(tbl_main[[#This Row],[Date]]="","",TEXT(B355,"mmm"))</f>
        <v>Apr</v>
      </c>
      <c r="E355" t="str">
        <f>IF(tbl_main[[#This Row],[Date]]="","",TEXT(B355,"DDD"))</f>
        <v>Mon</v>
      </c>
      <c r="F355" t="s">
        <v>30</v>
      </c>
      <c r="G355" t="s">
        <v>31</v>
      </c>
      <c r="H355" s="3" t="s">
        <v>15</v>
      </c>
      <c r="I355" s="3" t="s">
        <v>41</v>
      </c>
      <c r="J355" s="3" t="s">
        <v>25</v>
      </c>
      <c r="K355" s="3">
        <f>_xlfn.XLOOKUP(tbl_main[[#This Row],[Service]],tbl_service[Service],tbl_service[Price],"")</f>
        <v>500</v>
      </c>
      <c r="L355" s="3">
        <v>1</v>
      </c>
      <c r="M355" s="3">
        <f>IF(AND(tbl_main[[#This Row],[Price]]="",tbl_main[[#This Row],[Qty]]=""),"",tbl_main[[#This Row],[Price]]*tbl_main[[#This Row],[Qty]])</f>
        <v>500</v>
      </c>
      <c r="N355" s="3">
        <f>_xlfn.LET(_xlpm.x,_xlfn.XLOOKUP(tbl_main[[#This Row],[Service]],tbl_service[Service],tbl_service[Profit],""),
               IF(tbl_main[[#This Row],[Qty]]="","",_xlpm.x*tbl_main[[#This Row],[Qty]]))</f>
        <v>225</v>
      </c>
    </row>
    <row r="356" spans="1:14" x14ac:dyDescent="0.25">
      <c r="A356" t="s">
        <v>398</v>
      </c>
      <c r="B356" s="1">
        <v>45768</v>
      </c>
      <c r="C356">
        <f>IF(tbl_main[[#This Row],[Date]]="","",YEAR(B356))</f>
        <v>2025</v>
      </c>
      <c r="D356" t="str">
        <f>IF(tbl_main[[#This Row],[Date]]="","",TEXT(B356,"mmm"))</f>
        <v>Apr</v>
      </c>
      <c r="E356" t="str">
        <f>IF(tbl_main[[#This Row],[Date]]="","",TEXT(B356,"DDD"))</f>
        <v>Mon</v>
      </c>
      <c r="F356" t="s">
        <v>20</v>
      </c>
      <c r="G356" t="s">
        <v>21</v>
      </c>
      <c r="H356" s="3" t="s">
        <v>22</v>
      </c>
      <c r="I356" s="3" t="s">
        <v>41</v>
      </c>
      <c r="J356" s="3" t="s">
        <v>25</v>
      </c>
      <c r="K356" s="3">
        <f>_xlfn.XLOOKUP(tbl_main[[#This Row],[Service]],tbl_service[Service],tbl_service[Price],"")</f>
        <v>150</v>
      </c>
      <c r="L356" s="3">
        <v>2</v>
      </c>
      <c r="M356" s="3">
        <f>IF(AND(tbl_main[[#This Row],[Price]]="",tbl_main[[#This Row],[Qty]]=""),"",tbl_main[[#This Row],[Price]]*tbl_main[[#This Row],[Qty]])</f>
        <v>300</v>
      </c>
      <c r="N356" s="3">
        <f>_xlfn.LET(_xlpm.x,_xlfn.XLOOKUP(tbl_main[[#This Row],[Service]],tbl_service[Service],tbl_service[Profit],""),
               IF(tbl_main[[#This Row],[Qty]]="","",_xlpm.x*tbl_main[[#This Row],[Qty]]))</f>
        <v>134</v>
      </c>
    </row>
    <row r="357" spans="1:14" x14ac:dyDescent="0.25">
      <c r="A357" t="s">
        <v>399</v>
      </c>
      <c r="B357" s="1">
        <v>45768</v>
      </c>
      <c r="C357">
        <f>IF(tbl_main[[#This Row],[Date]]="","",YEAR(B357))</f>
        <v>2025</v>
      </c>
      <c r="D357" t="str">
        <f>IF(tbl_main[[#This Row],[Date]]="","",TEXT(B357,"mmm"))</f>
        <v>Apr</v>
      </c>
      <c r="E357" t="str">
        <f>IF(tbl_main[[#This Row],[Date]]="","",TEXT(B357,"DDD"))</f>
        <v>Mon</v>
      </c>
      <c r="F357" t="s">
        <v>20</v>
      </c>
      <c r="G357" t="s">
        <v>21</v>
      </c>
      <c r="H357" s="3" t="s">
        <v>15</v>
      </c>
      <c r="I357" s="3" t="s">
        <v>35</v>
      </c>
      <c r="J357" s="3" t="s">
        <v>17</v>
      </c>
      <c r="K357" s="3">
        <f>_xlfn.XLOOKUP(tbl_main[[#This Row],[Service]],tbl_service[Service],tbl_service[Price],"")</f>
        <v>500</v>
      </c>
      <c r="L357" s="3">
        <v>1</v>
      </c>
      <c r="M357" s="3">
        <f>IF(AND(tbl_main[[#This Row],[Price]]="",tbl_main[[#This Row],[Qty]]=""),"",tbl_main[[#This Row],[Price]]*tbl_main[[#This Row],[Qty]])</f>
        <v>500</v>
      </c>
      <c r="N357" s="3">
        <f>_xlfn.LET(_xlpm.x,_xlfn.XLOOKUP(tbl_main[[#This Row],[Service]],tbl_service[Service],tbl_service[Profit],""),
               IF(tbl_main[[#This Row],[Qty]]="","",_xlpm.x*tbl_main[[#This Row],[Qty]]))</f>
        <v>225</v>
      </c>
    </row>
    <row r="358" spans="1:14" x14ac:dyDescent="0.25">
      <c r="A358" t="s">
        <v>400</v>
      </c>
      <c r="B358" s="1">
        <v>45769</v>
      </c>
      <c r="C358">
        <f>IF(tbl_main[[#This Row],[Date]]="","",YEAR(B358))</f>
        <v>2025</v>
      </c>
      <c r="D358" t="str">
        <f>IF(tbl_main[[#This Row],[Date]]="","",TEXT(B358,"mmm"))</f>
        <v>Apr</v>
      </c>
      <c r="E358" t="str">
        <f>IF(tbl_main[[#This Row],[Date]]="","",TEXT(B358,"DDD"))</f>
        <v>Tue</v>
      </c>
      <c r="F358" t="s">
        <v>27</v>
      </c>
      <c r="G358" t="s">
        <v>28</v>
      </c>
      <c r="H358" s="3" t="s">
        <v>24</v>
      </c>
      <c r="I358" s="3" t="s">
        <v>35</v>
      </c>
      <c r="J358" s="3" t="s">
        <v>17</v>
      </c>
      <c r="K358" s="3">
        <f>_xlfn.XLOOKUP(tbl_main[[#This Row],[Service]],tbl_service[Service],tbl_service[Price],"")</f>
        <v>80</v>
      </c>
      <c r="L358" s="3">
        <v>1</v>
      </c>
      <c r="M358" s="3">
        <f>IF(AND(tbl_main[[#This Row],[Price]]="",tbl_main[[#This Row],[Qty]]=""),"",tbl_main[[#This Row],[Price]]*tbl_main[[#This Row],[Qty]])</f>
        <v>80</v>
      </c>
      <c r="N358" s="3">
        <f>_xlfn.LET(_xlpm.x,_xlfn.XLOOKUP(tbl_main[[#This Row],[Service]],tbl_service[Service],tbl_service[Profit],""),
               IF(tbl_main[[#This Row],[Qty]]="","",_xlpm.x*tbl_main[[#This Row],[Qty]]))</f>
        <v>36</v>
      </c>
    </row>
    <row r="359" spans="1:14" x14ac:dyDescent="0.25">
      <c r="A359" t="s">
        <v>401</v>
      </c>
      <c r="B359" s="1">
        <v>45769</v>
      </c>
      <c r="C359">
        <f>IF(tbl_main[[#This Row],[Date]]="","",YEAR(B359))</f>
        <v>2025</v>
      </c>
      <c r="D359" t="str">
        <f>IF(tbl_main[[#This Row],[Date]]="","",TEXT(B359,"mmm"))</f>
        <v>Apr</v>
      </c>
      <c r="E359" t="str">
        <f>IF(tbl_main[[#This Row],[Date]]="","",TEXT(B359,"DDD"))</f>
        <v>Tue</v>
      </c>
      <c r="F359" t="s">
        <v>20</v>
      </c>
      <c r="G359" t="s">
        <v>29</v>
      </c>
      <c r="H359" s="3" t="s">
        <v>26</v>
      </c>
      <c r="I359" s="3" t="s">
        <v>23</v>
      </c>
      <c r="J359" s="3" t="s">
        <v>32</v>
      </c>
      <c r="K359" s="3">
        <f>_xlfn.XLOOKUP(tbl_main[[#This Row],[Service]],tbl_service[Service],tbl_service[Price],"")</f>
        <v>200</v>
      </c>
      <c r="L359" s="3">
        <v>1</v>
      </c>
      <c r="M359" s="3">
        <f>IF(AND(tbl_main[[#This Row],[Price]]="",tbl_main[[#This Row],[Qty]]=""),"",tbl_main[[#This Row],[Price]]*tbl_main[[#This Row],[Qty]])</f>
        <v>200</v>
      </c>
      <c r="N359" s="3">
        <f>_xlfn.LET(_xlpm.x,_xlfn.XLOOKUP(tbl_main[[#This Row],[Service]],tbl_service[Service],tbl_service[Profit],""),
               IF(tbl_main[[#This Row],[Qty]]="","",_xlpm.x*tbl_main[[#This Row],[Qty]]))</f>
        <v>90</v>
      </c>
    </row>
    <row r="360" spans="1:14" x14ac:dyDescent="0.25">
      <c r="A360" t="s">
        <v>402</v>
      </c>
      <c r="B360" s="1">
        <v>45769</v>
      </c>
      <c r="C360">
        <f>IF(tbl_main[[#This Row],[Date]]="","",YEAR(B360))</f>
        <v>2025</v>
      </c>
      <c r="D360" t="str">
        <f>IF(tbl_main[[#This Row],[Date]]="","",TEXT(B360,"mmm"))</f>
        <v>Apr</v>
      </c>
      <c r="E360" t="str">
        <f>IF(tbl_main[[#This Row],[Date]]="","",TEXT(B360,"DDD"))</f>
        <v>Tue</v>
      </c>
      <c r="F360" t="s">
        <v>27</v>
      </c>
      <c r="G360" t="s">
        <v>40</v>
      </c>
      <c r="H360" s="3" t="s">
        <v>18</v>
      </c>
      <c r="I360" s="3" t="s">
        <v>37</v>
      </c>
      <c r="J360" s="3" t="s">
        <v>32</v>
      </c>
      <c r="K360" s="3">
        <f>_xlfn.XLOOKUP(tbl_main[[#This Row],[Service]],tbl_service[Service],tbl_service[Price],"")</f>
        <v>500</v>
      </c>
      <c r="L360" s="3">
        <v>2</v>
      </c>
      <c r="M360" s="3">
        <f>IF(AND(tbl_main[[#This Row],[Price]]="",tbl_main[[#This Row],[Qty]]=""),"",tbl_main[[#This Row],[Price]]*tbl_main[[#This Row],[Qty]])</f>
        <v>1000</v>
      </c>
      <c r="N360" s="3">
        <f>_xlfn.LET(_xlpm.x,_xlfn.XLOOKUP(tbl_main[[#This Row],[Service]],tbl_service[Service],tbl_service[Profit],""),
               IF(tbl_main[[#This Row],[Qty]]="","",_xlpm.x*tbl_main[[#This Row],[Qty]]))</f>
        <v>314</v>
      </c>
    </row>
    <row r="361" spans="1:14" x14ac:dyDescent="0.25">
      <c r="A361" t="s">
        <v>403</v>
      </c>
      <c r="B361" s="1">
        <v>45770</v>
      </c>
      <c r="C361">
        <f>IF(tbl_main[[#This Row],[Date]]="","",YEAR(B361))</f>
        <v>2025</v>
      </c>
      <c r="D361" t="str">
        <f>IF(tbl_main[[#This Row],[Date]]="","",TEXT(B361,"mmm"))</f>
        <v>Apr</v>
      </c>
      <c r="E361" t="str">
        <f>IF(tbl_main[[#This Row],[Date]]="","",TEXT(B361,"DDD"))</f>
        <v>Wed</v>
      </c>
      <c r="F361" t="s">
        <v>30</v>
      </c>
      <c r="G361" t="s">
        <v>31</v>
      </c>
      <c r="H361" s="3" t="s">
        <v>34</v>
      </c>
      <c r="I361" s="3" t="s">
        <v>38</v>
      </c>
      <c r="J361" s="3" t="s">
        <v>17</v>
      </c>
      <c r="K361" s="3">
        <f>_xlfn.XLOOKUP(tbl_main[[#This Row],[Service]],tbl_service[Service],tbl_service[Price],"")</f>
        <v>100</v>
      </c>
      <c r="L361" s="3">
        <v>2</v>
      </c>
      <c r="M361" s="3">
        <f>IF(AND(tbl_main[[#This Row],[Price]]="",tbl_main[[#This Row],[Qty]]=""),"",tbl_main[[#This Row],[Price]]*tbl_main[[#This Row],[Qty]])</f>
        <v>200</v>
      </c>
      <c r="N361" s="3">
        <f>_xlfn.LET(_xlpm.x,_xlfn.XLOOKUP(tbl_main[[#This Row],[Service]],tbl_service[Service],tbl_service[Profit],""),
               IF(tbl_main[[#This Row],[Qty]]="","",_xlpm.x*tbl_main[[#This Row],[Qty]]))</f>
        <v>90</v>
      </c>
    </row>
    <row r="362" spans="1:14" x14ac:dyDescent="0.25">
      <c r="A362" t="s">
        <v>404</v>
      </c>
      <c r="B362" s="1">
        <v>45770</v>
      </c>
      <c r="C362">
        <f>IF(tbl_main[[#This Row],[Date]]="","",YEAR(B362))</f>
        <v>2025</v>
      </c>
      <c r="D362" t="str">
        <f>IF(tbl_main[[#This Row],[Date]]="","",TEXT(B362,"mmm"))</f>
        <v>Apr</v>
      </c>
      <c r="E362" t="str">
        <f>IF(tbl_main[[#This Row],[Date]]="","",TEXT(B362,"DDD"))</f>
        <v>Wed</v>
      </c>
      <c r="F362" t="s">
        <v>13</v>
      </c>
      <c r="G362" t="s">
        <v>14</v>
      </c>
      <c r="H362" s="3" t="s">
        <v>22</v>
      </c>
      <c r="I362" s="3" t="s">
        <v>16</v>
      </c>
      <c r="J362" s="3" t="s">
        <v>17</v>
      </c>
      <c r="K362" s="3">
        <f>_xlfn.XLOOKUP(tbl_main[[#This Row],[Service]],tbl_service[Service],tbl_service[Price],"")</f>
        <v>150</v>
      </c>
      <c r="L362" s="3">
        <v>1</v>
      </c>
      <c r="M362" s="3">
        <f>IF(AND(tbl_main[[#This Row],[Price]]="",tbl_main[[#This Row],[Qty]]=""),"",tbl_main[[#This Row],[Price]]*tbl_main[[#This Row],[Qty]])</f>
        <v>150</v>
      </c>
      <c r="N362" s="3">
        <f>_xlfn.LET(_xlpm.x,_xlfn.XLOOKUP(tbl_main[[#This Row],[Service]],tbl_service[Service],tbl_service[Profit],""),
               IF(tbl_main[[#This Row],[Qty]]="","",_xlpm.x*tbl_main[[#This Row],[Qty]]))</f>
        <v>67</v>
      </c>
    </row>
    <row r="363" spans="1:14" x14ac:dyDescent="0.25">
      <c r="A363" t="s">
        <v>405</v>
      </c>
      <c r="B363" s="1">
        <v>45771</v>
      </c>
      <c r="C363">
        <f>IF(tbl_main[[#This Row],[Date]]="","",YEAR(B363))</f>
        <v>2025</v>
      </c>
      <c r="D363" t="str">
        <f>IF(tbl_main[[#This Row],[Date]]="","",TEXT(B363,"mmm"))</f>
        <v>Apr</v>
      </c>
      <c r="E363" t="str">
        <f>IF(tbl_main[[#This Row],[Date]]="","",TEXT(B363,"DDD"))</f>
        <v>Thu</v>
      </c>
      <c r="F363" t="s">
        <v>20</v>
      </c>
      <c r="G363" t="s">
        <v>29</v>
      </c>
      <c r="H363" s="3" t="s">
        <v>24</v>
      </c>
      <c r="I363" s="3" t="s">
        <v>19</v>
      </c>
      <c r="J363" s="3" t="s">
        <v>32</v>
      </c>
      <c r="K363" s="3">
        <f>_xlfn.XLOOKUP(tbl_main[[#This Row],[Service]],tbl_service[Service],tbl_service[Price],"")</f>
        <v>80</v>
      </c>
      <c r="L363" s="3">
        <v>1</v>
      </c>
      <c r="M363" s="3">
        <f>IF(AND(tbl_main[[#This Row],[Price]]="",tbl_main[[#This Row],[Qty]]=""),"",tbl_main[[#This Row],[Price]]*tbl_main[[#This Row],[Qty]])</f>
        <v>80</v>
      </c>
      <c r="N363" s="3">
        <f>_xlfn.LET(_xlpm.x,_xlfn.XLOOKUP(tbl_main[[#This Row],[Service]],tbl_service[Service],tbl_service[Profit],""),
               IF(tbl_main[[#This Row],[Qty]]="","",_xlpm.x*tbl_main[[#This Row],[Qty]]))</f>
        <v>36</v>
      </c>
    </row>
    <row r="364" spans="1:14" x14ac:dyDescent="0.25">
      <c r="A364" t="s">
        <v>406</v>
      </c>
      <c r="B364" s="1">
        <v>45771</v>
      </c>
      <c r="C364">
        <f>IF(tbl_main[[#This Row],[Date]]="","",YEAR(B364))</f>
        <v>2025</v>
      </c>
      <c r="D364" t="str">
        <f>IF(tbl_main[[#This Row],[Date]]="","",TEXT(B364,"mmm"))</f>
        <v>Apr</v>
      </c>
      <c r="E364" t="str">
        <f>IF(tbl_main[[#This Row],[Date]]="","",TEXT(B364,"DDD"))</f>
        <v>Thu</v>
      </c>
      <c r="F364" t="s">
        <v>13</v>
      </c>
      <c r="G364" t="s">
        <v>14</v>
      </c>
      <c r="H364" s="3" t="s">
        <v>24</v>
      </c>
      <c r="I364" s="3" t="s">
        <v>42</v>
      </c>
      <c r="J364" s="3" t="s">
        <v>25</v>
      </c>
      <c r="K364" s="3">
        <f>_xlfn.XLOOKUP(tbl_main[[#This Row],[Service]],tbl_service[Service],tbl_service[Price],"")</f>
        <v>80</v>
      </c>
      <c r="L364" s="3">
        <v>1</v>
      </c>
      <c r="M364" s="3">
        <f>IF(AND(tbl_main[[#This Row],[Price]]="",tbl_main[[#This Row],[Qty]]=""),"",tbl_main[[#This Row],[Price]]*tbl_main[[#This Row],[Qty]])</f>
        <v>80</v>
      </c>
      <c r="N364" s="3">
        <f>_xlfn.LET(_xlpm.x,_xlfn.XLOOKUP(tbl_main[[#This Row],[Service]],tbl_service[Service],tbl_service[Profit],""),
               IF(tbl_main[[#This Row],[Qty]]="","",_xlpm.x*tbl_main[[#This Row],[Qty]]))</f>
        <v>36</v>
      </c>
    </row>
    <row r="365" spans="1:14" x14ac:dyDescent="0.25">
      <c r="A365" t="s">
        <v>407</v>
      </c>
      <c r="B365" s="1">
        <v>45772</v>
      </c>
      <c r="C365">
        <f>IF(tbl_main[[#This Row],[Date]]="","",YEAR(B365))</f>
        <v>2025</v>
      </c>
      <c r="D365" t="str">
        <f>IF(tbl_main[[#This Row],[Date]]="","",TEXT(B365,"mmm"))</f>
        <v>Apr</v>
      </c>
      <c r="E365" t="str">
        <f>IF(tbl_main[[#This Row],[Date]]="","",TEXT(B365,"DDD"))</f>
        <v>Fri</v>
      </c>
      <c r="F365" t="s">
        <v>27</v>
      </c>
      <c r="G365" t="s">
        <v>28</v>
      </c>
      <c r="H365" s="3" t="s">
        <v>26</v>
      </c>
      <c r="I365" s="3" t="s">
        <v>41</v>
      </c>
      <c r="J365" s="3" t="s">
        <v>17</v>
      </c>
      <c r="K365" s="3">
        <f>_xlfn.XLOOKUP(tbl_main[[#This Row],[Service]],tbl_service[Service],tbl_service[Price],"")</f>
        <v>200</v>
      </c>
      <c r="L365" s="3">
        <v>2</v>
      </c>
      <c r="M365" s="3">
        <f>IF(AND(tbl_main[[#This Row],[Price]]="",tbl_main[[#This Row],[Qty]]=""),"",tbl_main[[#This Row],[Price]]*tbl_main[[#This Row],[Qty]])</f>
        <v>400</v>
      </c>
      <c r="N365" s="3">
        <f>_xlfn.LET(_xlpm.x,_xlfn.XLOOKUP(tbl_main[[#This Row],[Service]],tbl_service[Service],tbl_service[Profit],""),
               IF(tbl_main[[#This Row],[Qty]]="","",_xlpm.x*tbl_main[[#This Row],[Qty]]))</f>
        <v>180</v>
      </c>
    </row>
    <row r="366" spans="1:14" x14ac:dyDescent="0.25">
      <c r="A366" t="s">
        <v>408</v>
      </c>
      <c r="B366" s="1">
        <v>45772</v>
      </c>
      <c r="C366">
        <f>IF(tbl_main[[#This Row],[Date]]="","",YEAR(B366))</f>
        <v>2025</v>
      </c>
      <c r="D366" t="str">
        <f>IF(tbl_main[[#This Row],[Date]]="","",TEXT(B366,"mmm"))</f>
        <v>Apr</v>
      </c>
      <c r="E366" t="str">
        <f>IF(tbl_main[[#This Row],[Date]]="","",TEXT(B366,"DDD"))</f>
        <v>Fri</v>
      </c>
      <c r="F366" t="s">
        <v>13</v>
      </c>
      <c r="G366" t="s">
        <v>33</v>
      </c>
      <c r="H366" s="3" t="s">
        <v>26</v>
      </c>
      <c r="I366" s="3" t="s">
        <v>41</v>
      </c>
      <c r="J366" s="3" t="s">
        <v>32</v>
      </c>
      <c r="K366" s="3">
        <f>_xlfn.XLOOKUP(tbl_main[[#This Row],[Service]],tbl_service[Service],tbl_service[Price],"")</f>
        <v>200</v>
      </c>
      <c r="L366" s="3">
        <v>1</v>
      </c>
      <c r="M366" s="3">
        <f>IF(AND(tbl_main[[#This Row],[Price]]="",tbl_main[[#This Row],[Qty]]=""),"",tbl_main[[#This Row],[Price]]*tbl_main[[#This Row],[Qty]])</f>
        <v>200</v>
      </c>
      <c r="N366" s="3">
        <f>_xlfn.LET(_xlpm.x,_xlfn.XLOOKUP(tbl_main[[#This Row],[Service]],tbl_service[Service],tbl_service[Profit],""),
               IF(tbl_main[[#This Row],[Qty]]="","",_xlpm.x*tbl_main[[#This Row],[Qty]]))</f>
        <v>90</v>
      </c>
    </row>
    <row r="367" spans="1:14" x14ac:dyDescent="0.25">
      <c r="A367" t="s">
        <v>409</v>
      </c>
      <c r="B367" s="1">
        <v>45772</v>
      </c>
      <c r="C367">
        <f>IF(tbl_main[[#This Row],[Date]]="","",YEAR(B367))</f>
        <v>2025</v>
      </c>
      <c r="D367" t="str">
        <f>IF(tbl_main[[#This Row],[Date]]="","",TEXT(B367,"mmm"))</f>
        <v>Apr</v>
      </c>
      <c r="E367" t="str">
        <f>IF(tbl_main[[#This Row],[Date]]="","",TEXT(B367,"DDD"))</f>
        <v>Fri</v>
      </c>
      <c r="F367" t="s">
        <v>27</v>
      </c>
      <c r="G367" t="s">
        <v>40</v>
      </c>
      <c r="H367" s="3" t="s">
        <v>18</v>
      </c>
      <c r="I367" s="3" t="s">
        <v>35</v>
      </c>
      <c r="J367" s="3" t="s">
        <v>25</v>
      </c>
      <c r="K367" s="3">
        <f>_xlfn.XLOOKUP(tbl_main[[#This Row],[Service]],tbl_service[Service],tbl_service[Price],"")</f>
        <v>500</v>
      </c>
      <c r="L367" s="3">
        <v>2</v>
      </c>
      <c r="M367" s="3">
        <f>IF(AND(tbl_main[[#This Row],[Price]]="",tbl_main[[#This Row],[Qty]]=""),"",tbl_main[[#This Row],[Price]]*tbl_main[[#This Row],[Qty]])</f>
        <v>1000</v>
      </c>
      <c r="N367" s="3">
        <f>_xlfn.LET(_xlpm.x,_xlfn.XLOOKUP(tbl_main[[#This Row],[Service]],tbl_service[Service],tbl_service[Profit],""),
               IF(tbl_main[[#This Row],[Qty]]="","",_xlpm.x*tbl_main[[#This Row],[Qty]]))</f>
        <v>314</v>
      </c>
    </row>
    <row r="368" spans="1:14" x14ac:dyDescent="0.25">
      <c r="A368" t="s">
        <v>410</v>
      </c>
      <c r="B368" s="1">
        <v>45773</v>
      </c>
      <c r="C368">
        <f>IF(tbl_main[[#This Row],[Date]]="","",YEAR(B368))</f>
        <v>2025</v>
      </c>
      <c r="D368" t="str">
        <f>IF(tbl_main[[#This Row],[Date]]="","",TEXT(B368,"mmm"))</f>
        <v>Apr</v>
      </c>
      <c r="E368" t="str">
        <f>IF(tbl_main[[#This Row],[Date]]="","",TEXT(B368,"DDD"))</f>
        <v>Sat</v>
      </c>
      <c r="F368" t="s">
        <v>27</v>
      </c>
      <c r="G368" t="s">
        <v>28</v>
      </c>
      <c r="H368" s="3" t="s">
        <v>18</v>
      </c>
      <c r="I368" s="3" t="s">
        <v>35</v>
      </c>
      <c r="J368" s="3" t="s">
        <v>25</v>
      </c>
      <c r="K368" s="3">
        <f>_xlfn.XLOOKUP(tbl_main[[#This Row],[Service]],tbl_service[Service],tbl_service[Price],"")</f>
        <v>500</v>
      </c>
      <c r="L368" s="3">
        <v>2</v>
      </c>
      <c r="M368" s="3">
        <f>IF(AND(tbl_main[[#This Row],[Price]]="",tbl_main[[#This Row],[Qty]]=""),"",tbl_main[[#This Row],[Price]]*tbl_main[[#This Row],[Qty]])</f>
        <v>1000</v>
      </c>
      <c r="N368" s="3">
        <f>_xlfn.LET(_xlpm.x,_xlfn.XLOOKUP(tbl_main[[#This Row],[Service]],tbl_service[Service],tbl_service[Profit],""),
               IF(tbl_main[[#This Row],[Qty]]="","",_xlpm.x*tbl_main[[#This Row],[Qty]]))</f>
        <v>314</v>
      </c>
    </row>
    <row r="369" spans="1:14" x14ac:dyDescent="0.25">
      <c r="A369" t="s">
        <v>411</v>
      </c>
      <c r="B369" s="1">
        <v>45773</v>
      </c>
      <c r="C369">
        <f>IF(tbl_main[[#This Row],[Date]]="","",YEAR(B369))</f>
        <v>2025</v>
      </c>
      <c r="D369" t="str">
        <f>IF(tbl_main[[#This Row],[Date]]="","",TEXT(B369,"mmm"))</f>
        <v>Apr</v>
      </c>
      <c r="E369" t="str">
        <f>IF(tbl_main[[#This Row],[Date]]="","",TEXT(B369,"DDD"))</f>
        <v>Sat</v>
      </c>
      <c r="F369" t="s">
        <v>27</v>
      </c>
      <c r="G369" t="s">
        <v>40</v>
      </c>
      <c r="H369" s="3" t="s">
        <v>22</v>
      </c>
      <c r="I369" s="3" t="s">
        <v>23</v>
      </c>
      <c r="J369" s="3" t="s">
        <v>32</v>
      </c>
      <c r="K369" s="3">
        <f>_xlfn.XLOOKUP(tbl_main[[#This Row],[Service]],tbl_service[Service],tbl_service[Price],"")</f>
        <v>150</v>
      </c>
      <c r="L369" s="3">
        <v>2</v>
      </c>
      <c r="M369" s="3">
        <f>IF(AND(tbl_main[[#This Row],[Price]]="",tbl_main[[#This Row],[Qty]]=""),"",tbl_main[[#This Row],[Price]]*tbl_main[[#This Row],[Qty]])</f>
        <v>300</v>
      </c>
      <c r="N369" s="3">
        <f>_xlfn.LET(_xlpm.x,_xlfn.XLOOKUP(tbl_main[[#This Row],[Service]],tbl_service[Service],tbl_service[Profit],""),
               IF(tbl_main[[#This Row],[Qty]]="","",_xlpm.x*tbl_main[[#This Row],[Qty]]))</f>
        <v>134</v>
      </c>
    </row>
    <row r="370" spans="1:14" x14ac:dyDescent="0.25">
      <c r="A370" t="s">
        <v>412</v>
      </c>
      <c r="B370" s="1">
        <v>45773</v>
      </c>
      <c r="C370">
        <f>IF(tbl_main[[#This Row],[Date]]="","",YEAR(B370))</f>
        <v>2025</v>
      </c>
      <c r="D370" t="str">
        <f>IF(tbl_main[[#This Row],[Date]]="","",TEXT(B370,"mmm"))</f>
        <v>Apr</v>
      </c>
      <c r="E370" t="str">
        <f>IF(tbl_main[[#This Row],[Date]]="","",TEXT(B370,"DDD"))</f>
        <v>Sat</v>
      </c>
      <c r="F370" t="s">
        <v>13</v>
      </c>
      <c r="G370" t="s">
        <v>33</v>
      </c>
      <c r="H370" s="3" t="s">
        <v>18</v>
      </c>
      <c r="I370" s="3" t="s">
        <v>37</v>
      </c>
      <c r="J370" s="3" t="s">
        <v>25</v>
      </c>
      <c r="K370" s="3">
        <f>_xlfn.XLOOKUP(tbl_main[[#This Row],[Service]],tbl_service[Service],tbl_service[Price],"")</f>
        <v>500</v>
      </c>
      <c r="L370" s="3">
        <v>1</v>
      </c>
      <c r="M370" s="3">
        <f>IF(AND(tbl_main[[#This Row],[Price]]="",tbl_main[[#This Row],[Qty]]=""),"",tbl_main[[#This Row],[Price]]*tbl_main[[#This Row],[Qty]])</f>
        <v>500</v>
      </c>
      <c r="N370" s="3">
        <f>_xlfn.LET(_xlpm.x,_xlfn.XLOOKUP(tbl_main[[#This Row],[Service]],tbl_service[Service],tbl_service[Profit],""),
               IF(tbl_main[[#This Row],[Qty]]="","",_xlpm.x*tbl_main[[#This Row],[Qty]]))</f>
        <v>157</v>
      </c>
    </row>
    <row r="371" spans="1:14" x14ac:dyDescent="0.25">
      <c r="A371" t="s">
        <v>413</v>
      </c>
      <c r="B371" s="1">
        <v>45774</v>
      </c>
      <c r="C371">
        <f>IF(tbl_main[[#This Row],[Date]]="","",YEAR(B371))</f>
        <v>2025</v>
      </c>
      <c r="D371" t="str">
        <f>IF(tbl_main[[#This Row],[Date]]="","",TEXT(B371,"mmm"))</f>
        <v>Apr</v>
      </c>
      <c r="E371" t="str">
        <f>IF(tbl_main[[#This Row],[Date]]="","",TEXT(B371,"DDD"))</f>
        <v>Sun</v>
      </c>
      <c r="F371" t="s">
        <v>27</v>
      </c>
      <c r="G371" t="s">
        <v>40</v>
      </c>
      <c r="H371" s="3" t="s">
        <v>34</v>
      </c>
      <c r="I371" s="3" t="s">
        <v>38</v>
      </c>
      <c r="J371" s="3" t="s">
        <v>32</v>
      </c>
      <c r="K371" s="3">
        <f>_xlfn.XLOOKUP(tbl_main[[#This Row],[Service]],tbl_service[Service],tbl_service[Price],"")</f>
        <v>100</v>
      </c>
      <c r="L371" s="3">
        <v>1</v>
      </c>
      <c r="M371" s="3">
        <f>IF(AND(tbl_main[[#This Row],[Price]]="",tbl_main[[#This Row],[Qty]]=""),"",tbl_main[[#This Row],[Price]]*tbl_main[[#This Row],[Qty]])</f>
        <v>100</v>
      </c>
      <c r="N371" s="3">
        <f>_xlfn.LET(_xlpm.x,_xlfn.XLOOKUP(tbl_main[[#This Row],[Service]],tbl_service[Service],tbl_service[Profit],""),
               IF(tbl_main[[#This Row],[Qty]]="","",_xlpm.x*tbl_main[[#This Row],[Qty]]))</f>
        <v>45</v>
      </c>
    </row>
    <row r="372" spans="1:14" x14ac:dyDescent="0.25">
      <c r="A372" t="s">
        <v>414</v>
      </c>
      <c r="B372" s="1">
        <v>45774</v>
      </c>
      <c r="C372">
        <f>IF(tbl_main[[#This Row],[Date]]="","",YEAR(B372))</f>
        <v>2025</v>
      </c>
      <c r="D372" t="str">
        <f>IF(tbl_main[[#This Row],[Date]]="","",TEXT(B372,"mmm"))</f>
        <v>Apr</v>
      </c>
      <c r="E372" t="str">
        <f>IF(tbl_main[[#This Row],[Date]]="","",TEXT(B372,"DDD"))</f>
        <v>Sun</v>
      </c>
      <c r="F372" t="s">
        <v>20</v>
      </c>
      <c r="G372" t="s">
        <v>29</v>
      </c>
      <c r="H372" s="3" t="s">
        <v>18</v>
      </c>
      <c r="I372" s="3" t="s">
        <v>16</v>
      </c>
      <c r="J372" s="3" t="s">
        <v>32</v>
      </c>
      <c r="K372" s="3">
        <f>_xlfn.XLOOKUP(tbl_main[[#This Row],[Service]],tbl_service[Service],tbl_service[Price],"")</f>
        <v>500</v>
      </c>
      <c r="L372" s="3">
        <v>1</v>
      </c>
      <c r="M372" s="3">
        <f>IF(AND(tbl_main[[#This Row],[Price]]="",tbl_main[[#This Row],[Qty]]=""),"",tbl_main[[#This Row],[Price]]*tbl_main[[#This Row],[Qty]])</f>
        <v>500</v>
      </c>
      <c r="N372" s="3">
        <f>_xlfn.LET(_xlpm.x,_xlfn.XLOOKUP(tbl_main[[#This Row],[Service]],tbl_service[Service],tbl_service[Profit],""),
               IF(tbl_main[[#This Row],[Qty]]="","",_xlpm.x*tbl_main[[#This Row],[Qty]]))</f>
        <v>157</v>
      </c>
    </row>
    <row r="373" spans="1:14" x14ac:dyDescent="0.25">
      <c r="A373" t="s">
        <v>415</v>
      </c>
      <c r="B373" s="1">
        <v>45774</v>
      </c>
      <c r="C373">
        <f>IF(tbl_main[[#This Row],[Date]]="","",YEAR(B373))</f>
        <v>2025</v>
      </c>
      <c r="D373" t="str">
        <f>IF(tbl_main[[#This Row],[Date]]="","",TEXT(B373,"mmm"))</f>
        <v>Apr</v>
      </c>
      <c r="E373" t="str">
        <f>IF(tbl_main[[#This Row],[Date]]="","",TEXT(B373,"DDD"))</f>
        <v>Sun</v>
      </c>
      <c r="F373" t="s">
        <v>27</v>
      </c>
      <c r="G373" t="s">
        <v>28</v>
      </c>
      <c r="H373" s="3" t="s">
        <v>22</v>
      </c>
      <c r="I373" s="3" t="s">
        <v>19</v>
      </c>
      <c r="J373" s="3" t="s">
        <v>32</v>
      </c>
      <c r="K373" s="3">
        <f>_xlfn.XLOOKUP(tbl_main[[#This Row],[Service]],tbl_service[Service],tbl_service[Price],"")</f>
        <v>150</v>
      </c>
      <c r="L373" s="3">
        <v>1</v>
      </c>
      <c r="M373" s="3">
        <f>IF(AND(tbl_main[[#This Row],[Price]]="",tbl_main[[#This Row],[Qty]]=""),"",tbl_main[[#This Row],[Price]]*tbl_main[[#This Row],[Qty]])</f>
        <v>150</v>
      </c>
      <c r="N373" s="3">
        <f>_xlfn.LET(_xlpm.x,_xlfn.XLOOKUP(tbl_main[[#This Row],[Service]],tbl_service[Service],tbl_service[Profit],""),
               IF(tbl_main[[#This Row],[Qty]]="","",_xlpm.x*tbl_main[[#This Row],[Qty]]))</f>
        <v>67</v>
      </c>
    </row>
    <row r="374" spans="1:14" x14ac:dyDescent="0.25">
      <c r="A374" t="s">
        <v>416</v>
      </c>
      <c r="B374" s="1">
        <v>45774</v>
      </c>
      <c r="C374">
        <f>IF(tbl_main[[#This Row],[Date]]="","",YEAR(B374))</f>
        <v>2025</v>
      </c>
      <c r="D374" t="str">
        <f>IF(tbl_main[[#This Row],[Date]]="","",TEXT(B374,"mmm"))</f>
        <v>Apr</v>
      </c>
      <c r="E374" t="str">
        <f>IF(tbl_main[[#This Row],[Date]]="","",TEXT(B374,"DDD"))</f>
        <v>Sun</v>
      </c>
      <c r="F374" t="s">
        <v>20</v>
      </c>
      <c r="G374" t="s">
        <v>21</v>
      </c>
      <c r="H374" s="3" t="s">
        <v>26</v>
      </c>
      <c r="I374" s="3" t="s">
        <v>42</v>
      </c>
      <c r="J374" s="3" t="s">
        <v>32</v>
      </c>
      <c r="K374" s="3">
        <f>_xlfn.XLOOKUP(tbl_main[[#This Row],[Service]],tbl_service[Service],tbl_service[Price],"")</f>
        <v>200</v>
      </c>
      <c r="L374" s="3">
        <v>1</v>
      </c>
      <c r="M374" s="3">
        <f>IF(AND(tbl_main[[#This Row],[Price]]="",tbl_main[[#This Row],[Qty]]=""),"",tbl_main[[#This Row],[Price]]*tbl_main[[#This Row],[Qty]])</f>
        <v>200</v>
      </c>
      <c r="N374" s="3">
        <f>_xlfn.LET(_xlpm.x,_xlfn.XLOOKUP(tbl_main[[#This Row],[Service]],tbl_service[Service],tbl_service[Profit],""),
               IF(tbl_main[[#This Row],[Qty]]="","",_xlpm.x*tbl_main[[#This Row],[Qty]]))</f>
        <v>90</v>
      </c>
    </row>
    <row r="375" spans="1:14" x14ac:dyDescent="0.25">
      <c r="A375" t="s">
        <v>417</v>
      </c>
      <c r="B375" s="1">
        <v>45775</v>
      </c>
      <c r="C375">
        <f>IF(tbl_main[[#This Row],[Date]]="","",YEAR(B375))</f>
        <v>2025</v>
      </c>
      <c r="D375" t="str">
        <f>IF(tbl_main[[#This Row],[Date]]="","",TEXT(B375,"mmm"))</f>
        <v>Apr</v>
      </c>
      <c r="E375" t="str">
        <f>IF(tbl_main[[#This Row],[Date]]="","",TEXT(B375,"DDD"))</f>
        <v>Mon</v>
      </c>
      <c r="F375" t="s">
        <v>20</v>
      </c>
      <c r="G375" t="s">
        <v>39</v>
      </c>
      <c r="H375" s="3" t="s">
        <v>18</v>
      </c>
      <c r="I375" s="3" t="s">
        <v>41</v>
      </c>
      <c r="J375" s="3" t="s">
        <v>17</v>
      </c>
      <c r="K375" s="3">
        <f>_xlfn.XLOOKUP(tbl_main[[#This Row],[Service]],tbl_service[Service],tbl_service[Price],"")</f>
        <v>500</v>
      </c>
      <c r="L375" s="3">
        <v>2</v>
      </c>
      <c r="M375" s="3">
        <f>IF(AND(tbl_main[[#This Row],[Price]]="",tbl_main[[#This Row],[Qty]]=""),"",tbl_main[[#This Row],[Price]]*tbl_main[[#This Row],[Qty]])</f>
        <v>1000</v>
      </c>
      <c r="N375" s="3">
        <f>_xlfn.LET(_xlpm.x,_xlfn.XLOOKUP(tbl_main[[#This Row],[Service]],tbl_service[Service],tbl_service[Profit],""),
               IF(tbl_main[[#This Row],[Qty]]="","",_xlpm.x*tbl_main[[#This Row],[Qty]]))</f>
        <v>314</v>
      </c>
    </row>
    <row r="376" spans="1:14" x14ac:dyDescent="0.25">
      <c r="A376" t="s">
        <v>418</v>
      </c>
      <c r="B376" s="1">
        <v>45775</v>
      </c>
      <c r="C376">
        <f>IF(tbl_main[[#This Row],[Date]]="","",YEAR(B376))</f>
        <v>2025</v>
      </c>
      <c r="D376" t="str">
        <f>IF(tbl_main[[#This Row],[Date]]="","",TEXT(B376,"mmm"))</f>
        <v>Apr</v>
      </c>
      <c r="E376" t="str">
        <f>IF(tbl_main[[#This Row],[Date]]="","",TEXT(B376,"DDD"))</f>
        <v>Mon</v>
      </c>
      <c r="F376" t="s">
        <v>20</v>
      </c>
      <c r="G376" t="s">
        <v>29</v>
      </c>
      <c r="H376" s="3" t="s">
        <v>22</v>
      </c>
      <c r="I376" s="3" t="s">
        <v>41</v>
      </c>
      <c r="J376" s="3" t="s">
        <v>17</v>
      </c>
      <c r="K376" s="3">
        <f>_xlfn.XLOOKUP(tbl_main[[#This Row],[Service]],tbl_service[Service],tbl_service[Price],"")</f>
        <v>150</v>
      </c>
      <c r="L376" s="3">
        <v>1</v>
      </c>
      <c r="M376" s="3">
        <f>IF(AND(tbl_main[[#This Row],[Price]]="",tbl_main[[#This Row],[Qty]]=""),"",tbl_main[[#This Row],[Price]]*tbl_main[[#This Row],[Qty]])</f>
        <v>150</v>
      </c>
      <c r="N376" s="3">
        <f>_xlfn.LET(_xlpm.x,_xlfn.XLOOKUP(tbl_main[[#This Row],[Service]],tbl_service[Service],tbl_service[Profit],""),
               IF(tbl_main[[#This Row],[Qty]]="","",_xlpm.x*tbl_main[[#This Row],[Qty]]))</f>
        <v>67</v>
      </c>
    </row>
    <row r="377" spans="1:14" x14ac:dyDescent="0.25">
      <c r="A377" t="s">
        <v>419</v>
      </c>
      <c r="B377" s="1">
        <v>45776</v>
      </c>
      <c r="C377">
        <f>IF(tbl_main[[#This Row],[Date]]="","",YEAR(B377))</f>
        <v>2025</v>
      </c>
      <c r="D377" t="str">
        <f>IF(tbl_main[[#This Row],[Date]]="","",TEXT(B377,"mmm"))</f>
        <v>Apr</v>
      </c>
      <c r="E377" t="str">
        <f>IF(tbl_main[[#This Row],[Date]]="","",TEXT(B377,"DDD"))</f>
        <v>Tue</v>
      </c>
      <c r="F377" t="s">
        <v>27</v>
      </c>
      <c r="G377" t="s">
        <v>40</v>
      </c>
      <c r="H377" s="3" t="s">
        <v>18</v>
      </c>
      <c r="I377" s="3" t="s">
        <v>35</v>
      </c>
      <c r="J377" s="3" t="s">
        <v>32</v>
      </c>
      <c r="K377" s="3">
        <f>_xlfn.XLOOKUP(tbl_main[[#This Row],[Service]],tbl_service[Service],tbl_service[Price],"")</f>
        <v>500</v>
      </c>
      <c r="L377" s="3">
        <v>2</v>
      </c>
      <c r="M377" s="3">
        <f>IF(AND(tbl_main[[#This Row],[Price]]="",tbl_main[[#This Row],[Qty]]=""),"",tbl_main[[#This Row],[Price]]*tbl_main[[#This Row],[Qty]])</f>
        <v>1000</v>
      </c>
      <c r="N377" s="3">
        <f>_xlfn.LET(_xlpm.x,_xlfn.XLOOKUP(tbl_main[[#This Row],[Service]],tbl_service[Service],tbl_service[Profit],""),
               IF(tbl_main[[#This Row],[Qty]]="","",_xlpm.x*tbl_main[[#This Row],[Qty]]))</f>
        <v>314</v>
      </c>
    </row>
    <row r="378" spans="1:14" x14ac:dyDescent="0.25">
      <c r="A378" t="s">
        <v>420</v>
      </c>
      <c r="B378" s="1">
        <v>45776</v>
      </c>
      <c r="C378">
        <f>IF(tbl_main[[#This Row],[Date]]="","",YEAR(B378))</f>
        <v>2025</v>
      </c>
      <c r="D378" t="str">
        <f>IF(tbl_main[[#This Row],[Date]]="","",TEXT(B378,"mmm"))</f>
        <v>Apr</v>
      </c>
      <c r="E378" t="str">
        <f>IF(tbl_main[[#This Row],[Date]]="","",TEXT(B378,"DDD"))</f>
        <v>Tue</v>
      </c>
      <c r="F378" t="s">
        <v>30</v>
      </c>
      <c r="G378" t="s">
        <v>36</v>
      </c>
      <c r="H378" s="3" t="s">
        <v>15</v>
      </c>
      <c r="I378" s="3" t="s">
        <v>35</v>
      </c>
      <c r="J378" s="3" t="s">
        <v>32</v>
      </c>
      <c r="K378" s="3">
        <f>_xlfn.XLOOKUP(tbl_main[[#This Row],[Service]],tbl_service[Service],tbl_service[Price],"")</f>
        <v>500</v>
      </c>
      <c r="L378" s="3">
        <v>1</v>
      </c>
      <c r="M378" s="3">
        <f>IF(AND(tbl_main[[#This Row],[Price]]="",tbl_main[[#This Row],[Qty]]=""),"",tbl_main[[#This Row],[Price]]*tbl_main[[#This Row],[Qty]])</f>
        <v>500</v>
      </c>
      <c r="N378" s="3">
        <f>_xlfn.LET(_xlpm.x,_xlfn.XLOOKUP(tbl_main[[#This Row],[Service]],tbl_service[Service],tbl_service[Profit],""),
               IF(tbl_main[[#This Row],[Qty]]="","",_xlpm.x*tbl_main[[#This Row],[Qty]]))</f>
        <v>225</v>
      </c>
    </row>
    <row r="379" spans="1:14" x14ac:dyDescent="0.25">
      <c r="A379" t="s">
        <v>421</v>
      </c>
      <c r="B379" s="1">
        <v>45777</v>
      </c>
      <c r="C379">
        <f>IF(tbl_main[[#This Row],[Date]]="","",YEAR(B379))</f>
        <v>2025</v>
      </c>
      <c r="D379" t="str">
        <f>IF(tbl_main[[#This Row],[Date]]="","",TEXT(B379,"mmm"))</f>
        <v>Apr</v>
      </c>
      <c r="E379" t="str">
        <f>IF(tbl_main[[#This Row],[Date]]="","",TEXT(B379,"DDD"))</f>
        <v>Wed</v>
      </c>
      <c r="F379" t="s">
        <v>13</v>
      </c>
      <c r="G379" t="s">
        <v>33</v>
      </c>
      <c r="H379" s="3" t="s">
        <v>34</v>
      </c>
      <c r="I379" s="3" t="s">
        <v>23</v>
      </c>
      <c r="J379" s="3" t="s">
        <v>17</v>
      </c>
      <c r="K379" s="3">
        <f>_xlfn.XLOOKUP(tbl_main[[#This Row],[Service]],tbl_service[Service],tbl_service[Price],"")</f>
        <v>100</v>
      </c>
      <c r="L379" s="3">
        <v>2</v>
      </c>
      <c r="M379" s="3">
        <f>IF(AND(tbl_main[[#This Row],[Price]]="",tbl_main[[#This Row],[Qty]]=""),"",tbl_main[[#This Row],[Price]]*tbl_main[[#This Row],[Qty]])</f>
        <v>200</v>
      </c>
      <c r="N379" s="3">
        <f>_xlfn.LET(_xlpm.x,_xlfn.XLOOKUP(tbl_main[[#This Row],[Service]],tbl_service[Service],tbl_service[Profit],""),
               IF(tbl_main[[#This Row],[Qty]]="","",_xlpm.x*tbl_main[[#This Row],[Qty]]))</f>
        <v>90</v>
      </c>
    </row>
    <row r="380" spans="1:14" x14ac:dyDescent="0.25">
      <c r="A380" t="s">
        <v>422</v>
      </c>
      <c r="B380" s="1">
        <v>45777</v>
      </c>
      <c r="C380">
        <f>IF(tbl_main[[#This Row],[Date]]="","",YEAR(B380))</f>
        <v>2025</v>
      </c>
      <c r="D380" t="str">
        <f>IF(tbl_main[[#This Row],[Date]]="","",TEXT(B380,"mmm"))</f>
        <v>Apr</v>
      </c>
      <c r="E380" t="str">
        <f>IF(tbl_main[[#This Row],[Date]]="","",TEXT(B380,"DDD"))</f>
        <v>Wed</v>
      </c>
      <c r="F380" t="s">
        <v>20</v>
      </c>
      <c r="G380" t="s">
        <v>39</v>
      </c>
      <c r="H380" s="3" t="s">
        <v>18</v>
      </c>
      <c r="I380" s="3" t="s">
        <v>37</v>
      </c>
      <c r="J380" s="3" t="s">
        <v>25</v>
      </c>
      <c r="K380" s="3">
        <f>_xlfn.XLOOKUP(tbl_main[[#This Row],[Service]],tbl_service[Service],tbl_service[Price],"")</f>
        <v>500</v>
      </c>
      <c r="L380" s="3">
        <v>1</v>
      </c>
      <c r="M380" s="3">
        <f>IF(AND(tbl_main[[#This Row],[Price]]="",tbl_main[[#This Row],[Qty]]=""),"",tbl_main[[#This Row],[Price]]*tbl_main[[#This Row],[Qty]])</f>
        <v>500</v>
      </c>
      <c r="N380" s="3">
        <f>_xlfn.LET(_xlpm.x,_xlfn.XLOOKUP(tbl_main[[#This Row],[Service]],tbl_service[Service],tbl_service[Profit],""),
               IF(tbl_main[[#This Row],[Qty]]="","",_xlpm.x*tbl_main[[#This Row],[Qty]]))</f>
        <v>157</v>
      </c>
    </row>
    <row r="381" spans="1:14" x14ac:dyDescent="0.25">
      <c r="A381" t="s">
        <v>423</v>
      </c>
      <c r="B381" s="1">
        <v>45777</v>
      </c>
      <c r="C381">
        <f>IF(tbl_main[[#This Row],[Date]]="","",YEAR(B381))</f>
        <v>2025</v>
      </c>
      <c r="D381" t="str">
        <f>IF(tbl_main[[#This Row],[Date]]="","",TEXT(B381,"mmm"))</f>
        <v>Apr</v>
      </c>
      <c r="E381" t="str">
        <f>IF(tbl_main[[#This Row],[Date]]="","",TEXT(B381,"DDD"))</f>
        <v>Wed</v>
      </c>
      <c r="F381" t="s">
        <v>20</v>
      </c>
      <c r="G381" t="s">
        <v>39</v>
      </c>
      <c r="H381" s="3" t="s">
        <v>24</v>
      </c>
      <c r="I381" s="3" t="s">
        <v>38</v>
      </c>
      <c r="J381" s="3" t="s">
        <v>32</v>
      </c>
      <c r="K381" s="3">
        <f>_xlfn.XLOOKUP(tbl_main[[#This Row],[Service]],tbl_service[Service],tbl_service[Price],"")</f>
        <v>80</v>
      </c>
      <c r="L381" s="3">
        <v>1</v>
      </c>
      <c r="M381" s="3">
        <f>IF(AND(tbl_main[[#This Row],[Price]]="",tbl_main[[#This Row],[Qty]]=""),"",tbl_main[[#This Row],[Price]]*tbl_main[[#This Row],[Qty]])</f>
        <v>80</v>
      </c>
      <c r="N381" s="3">
        <f>_xlfn.LET(_xlpm.x,_xlfn.XLOOKUP(tbl_main[[#This Row],[Service]],tbl_service[Service],tbl_service[Profit],""),
               IF(tbl_main[[#This Row],[Qty]]="","",_xlpm.x*tbl_main[[#This Row],[Qty]]))</f>
        <v>36</v>
      </c>
    </row>
    <row r="382" spans="1:14" x14ac:dyDescent="0.25">
      <c r="A382" t="s">
        <v>424</v>
      </c>
      <c r="B382" s="1">
        <v>45777</v>
      </c>
      <c r="C382">
        <f>IF(tbl_main[[#This Row],[Date]]="","",YEAR(B382))</f>
        <v>2025</v>
      </c>
      <c r="D382" t="str">
        <f>IF(tbl_main[[#This Row],[Date]]="","",TEXT(B382,"mmm"))</f>
        <v>Apr</v>
      </c>
      <c r="E382" t="str">
        <f>IF(tbl_main[[#This Row],[Date]]="","",TEXT(B382,"DDD"))</f>
        <v>Wed</v>
      </c>
      <c r="F382" t="s">
        <v>27</v>
      </c>
      <c r="G382" t="s">
        <v>28</v>
      </c>
      <c r="H382" s="3" t="s">
        <v>22</v>
      </c>
      <c r="I382" s="3" t="s">
        <v>16</v>
      </c>
      <c r="J382" s="3" t="s">
        <v>25</v>
      </c>
      <c r="K382" s="3">
        <f>_xlfn.XLOOKUP(tbl_main[[#This Row],[Service]],tbl_service[Service],tbl_service[Price],"")</f>
        <v>150</v>
      </c>
      <c r="L382" s="3">
        <v>2</v>
      </c>
      <c r="M382" s="3">
        <f>IF(AND(tbl_main[[#This Row],[Price]]="",tbl_main[[#This Row],[Qty]]=""),"",tbl_main[[#This Row],[Price]]*tbl_main[[#This Row],[Qty]])</f>
        <v>300</v>
      </c>
      <c r="N382" s="3">
        <f>_xlfn.LET(_xlpm.x,_xlfn.XLOOKUP(tbl_main[[#This Row],[Service]],tbl_service[Service],tbl_service[Profit],""),
               IF(tbl_main[[#This Row],[Qty]]="","",_xlpm.x*tbl_main[[#This Row],[Qty]]))</f>
        <v>134</v>
      </c>
    </row>
    <row r="383" spans="1:14" x14ac:dyDescent="0.25">
      <c r="A383" t="s">
        <v>425</v>
      </c>
      <c r="B383" s="1">
        <v>45778</v>
      </c>
      <c r="C383">
        <f>IF(tbl_main[[#This Row],[Date]]="","",YEAR(B383))</f>
        <v>2025</v>
      </c>
      <c r="D383" t="str">
        <f>IF(tbl_main[[#This Row],[Date]]="","",TEXT(B383,"mmm"))</f>
        <v>May</v>
      </c>
      <c r="E383" t="str">
        <f>IF(tbl_main[[#This Row],[Date]]="","",TEXT(B383,"DDD"))</f>
        <v>Thu</v>
      </c>
      <c r="F383" t="s">
        <v>20</v>
      </c>
      <c r="G383" t="s">
        <v>21</v>
      </c>
      <c r="H383" s="3" t="s">
        <v>24</v>
      </c>
      <c r="I383" s="3" t="s">
        <v>19</v>
      </c>
      <c r="J383" s="3" t="s">
        <v>32</v>
      </c>
      <c r="K383" s="3">
        <f>_xlfn.XLOOKUP(tbl_main[[#This Row],[Service]],tbl_service[Service],tbl_service[Price],"")</f>
        <v>80</v>
      </c>
      <c r="L383" s="3">
        <v>1</v>
      </c>
      <c r="M383" s="3">
        <f>IF(AND(tbl_main[[#This Row],[Price]]="",tbl_main[[#This Row],[Qty]]=""),"",tbl_main[[#This Row],[Price]]*tbl_main[[#This Row],[Qty]])</f>
        <v>80</v>
      </c>
      <c r="N383" s="3">
        <f>_xlfn.LET(_xlpm.x,_xlfn.XLOOKUP(tbl_main[[#This Row],[Service]],tbl_service[Service],tbl_service[Profit],""),
               IF(tbl_main[[#This Row],[Qty]]="","",_xlpm.x*tbl_main[[#This Row],[Qty]]))</f>
        <v>36</v>
      </c>
    </row>
    <row r="384" spans="1:14" x14ac:dyDescent="0.25">
      <c r="A384" t="s">
        <v>426</v>
      </c>
      <c r="B384" s="1">
        <v>45778</v>
      </c>
      <c r="C384">
        <f>IF(tbl_main[[#This Row],[Date]]="","",YEAR(B384))</f>
        <v>2025</v>
      </c>
      <c r="D384" t="str">
        <f>IF(tbl_main[[#This Row],[Date]]="","",TEXT(B384,"mmm"))</f>
        <v>May</v>
      </c>
      <c r="E384" t="str">
        <f>IF(tbl_main[[#This Row],[Date]]="","",TEXT(B384,"DDD"))</f>
        <v>Thu</v>
      </c>
      <c r="F384" t="s">
        <v>27</v>
      </c>
      <c r="G384" t="s">
        <v>40</v>
      </c>
      <c r="H384" s="3" t="s">
        <v>22</v>
      </c>
      <c r="I384" s="3" t="s">
        <v>42</v>
      </c>
      <c r="J384" s="3" t="s">
        <v>17</v>
      </c>
      <c r="K384" s="3">
        <f>_xlfn.XLOOKUP(tbl_main[[#This Row],[Service]],tbl_service[Service],tbl_service[Price],"")</f>
        <v>150</v>
      </c>
      <c r="L384" s="3">
        <v>1</v>
      </c>
      <c r="M384" s="3">
        <f>IF(AND(tbl_main[[#This Row],[Price]]="",tbl_main[[#This Row],[Qty]]=""),"",tbl_main[[#This Row],[Price]]*tbl_main[[#This Row],[Qty]])</f>
        <v>150</v>
      </c>
      <c r="N384" s="3">
        <f>_xlfn.LET(_xlpm.x,_xlfn.XLOOKUP(tbl_main[[#This Row],[Service]],tbl_service[Service],tbl_service[Profit],""),
               IF(tbl_main[[#This Row],[Qty]]="","",_xlpm.x*tbl_main[[#This Row],[Qty]]))</f>
        <v>67</v>
      </c>
    </row>
    <row r="385" spans="1:14" x14ac:dyDescent="0.25">
      <c r="A385" t="s">
        <v>427</v>
      </c>
      <c r="B385" s="1">
        <v>45779</v>
      </c>
      <c r="C385">
        <f>IF(tbl_main[[#This Row],[Date]]="","",YEAR(B385))</f>
        <v>2025</v>
      </c>
      <c r="D385" t="str">
        <f>IF(tbl_main[[#This Row],[Date]]="","",TEXT(B385,"mmm"))</f>
        <v>May</v>
      </c>
      <c r="E385" t="str">
        <f>IF(tbl_main[[#This Row],[Date]]="","",TEXT(B385,"DDD"))</f>
        <v>Fri</v>
      </c>
      <c r="F385" t="s">
        <v>30</v>
      </c>
      <c r="G385" t="s">
        <v>36</v>
      </c>
      <c r="H385" s="3" t="s">
        <v>22</v>
      </c>
      <c r="I385" s="3" t="s">
        <v>41</v>
      </c>
      <c r="J385" s="3" t="s">
        <v>32</v>
      </c>
      <c r="K385" s="3">
        <f>_xlfn.XLOOKUP(tbl_main[[#This Row],[Service]],tbl_service[Service],tbl_service[Price],"")</f>
        <v>150</v>
      </c>
      <c r="L385" s="3">
        <v>1</v>
      </c>
      <c r="M385" s="3">
        <f>IF(AND(tbl_main[[#This Row],[Price]]="",tbl_main[[#This Row],[Qty]]=""),"",tbl_main[[#This Row],[Price]]*tbl_main[[#This Row],[Qty]])</f>
        <v>150</v>
      </c>
      <c r="N385" s="3">
        <f>_xlfn.LET(_xlpm.x,_xlfn.XLOOKUP(tbl_main[[#This Row],[Service]],tbl_service[Service],tbl_service[Profit],""),
               IF(tbl_main[[#This Row],[Qty]]="","",_xlpm.x*tbl_main[[#This Row],[Qty]]))</f>
        <v>67</v>
      </c>
    </row>
    <row r="386" spans="1:14" x14ac:dyDescent="0.25">
      <c r="A386" t="s">
        <v>428</v>
      </c>
      <c r="B386" s="1">
        <v>45779</v>
      </c>
      <c r="C386">
        <f>IF(tbl_main[[#This Row],[Date]]="","",YEAR(B386))</f>
        <v>2025</v>
      </c>
      <c r="D386" t="str">
        <f>IF(tbl_main[[#This Row],[Date]]="","",TEXT(B386,"mmm"))</f>
        <v>May</v>
      </c>
      <c r="E386" t="str">
        <f>IF(tbl_main[[#This Row],[Date]]="","",TEXT(B386,"DDD"))</f>
        <v>Fri</v>
      </c>
      <c r="F386" t="s">
        <v>20</v>
      </c>
      <c r="G386" t="s">
        <v>29</v>
      </c>
      <c r="H386" s="3" t="s">
        <v>26</v>
      </c>
      <c r="I386" s="3" t="s">
        <v>41</v>
      </c>
      <c r="J386" s="3" t="s">
        <v>32</v>
      </c>
      <c r="K386" s="3">
        <f>_xlfn.XLOOKUP(tbl_main[[#This Row],[Service]],tbl_service[Service],tbl_service[Price],"")</f>
        <v>200</v>
      </c>
      <c r="L386" s="3">
        <v>1</v>
      </c>
      <c r="M386" s="3">
        <f>IF(AND(tbl_main[[#This Row],[Price]]="",tbl_main[[#This Row],[Qty]]=""),"",tbl_main[[#This Row],[Price]]*tbl_main[[#This Row],[Qty]])</f>
        <v>200</v>
      </c>
      <c r="N386" s="3">
        <f>_xlfn.LET(_xlpm.x,_xlfn.XLOOKUP(tbl_main[[#This Row],[Service]],tbl_service[Service],tbl_service[Profit],""),
               IF(tbl_main[[#This Row],[Qty]]="","",_xlpm.x*tbl_main[[#This Row],[Qty]]))</f>
        <v>90</v>
      </c>
    </row>
    <row r="387" spans="1:14" x14ac:dyDescent="0.25">
      <c r="A387" t="s">
        <v>429</v>
      </c>
      <c r="B387" s="1">
        <v>45780</v>
      </c>
      <c r="C387">
        <f>IF(tbl_main[[#This Row],[Date]]="","",YEAR(B387))</f>
        <v>2025</v>
      </c>
      <c r="D387" t="str">
        <f>IF(tbl_main[[#This Row],[Date]]="","",TEXT(B387,"mmm"))</f>
        <v>May</v>
      </c>
      <c r="E387" t="str">
        <f>IF(tbl_main[[#This Row],[Date]]="","",TEXT(B387,"DDD"))</f>
        <v>Sat</v>
      </c>
      <c r="F387" t="s">
        <v>30</v>
      </c>
      <c r="G387" t="s">
        <v>31</v>
      </c>
      <c r="H387" s="3" t="s">
        <v>26</v>
      </c>
      <c r="I387" s="3" t="s">
        <v>35</v>
      </c>
      <c r="J387" s="3" t="s">
        <v>25</v>
      </c>
      <c r="K387" s="3">
        <f>_xlfn.XLOOKUP(tbl_main[[#This Row],[Service]],tbl_service[Service],tbl_service[Price],"")</f>
        <v>200</v>
      </c>
      <c r="L387" s="3">
        <v>2</v>
      </c>
      <c r="M387" s="3">
        <f>IF(AND(tbl_main[[#This Row],[Price]]="",tbl_main[[#This Row],[Qty]]=""),"",tbl_main[[#This Row],[Price]]*tbl_main[[#This Row],[Qty]])</f>
        <v>400</v>
      </c>
      <c r="N387" s="3">
        <f>_xlfn.LET(_xlpm.x,_xlfn.XLOOKUP(tbl_main[[#This Row],[Service]],tbl_service[Service],tbl_service[Profit],""),
               IF(tbl_main[[#This Row],[Qty]]="","",_xlpm.x*tbl_main[[#This Row],[Qty]]))</f>
        <v>180</v>
      </c>
    </row>
    <row r="388" spans="1:14" x14ac:dyDescent="0.25">
      <c r="A388" t="s">
        <v>430</v>
      </c>
      <c r="B388" s="1">
        <v>45780</v>
      </c>
      <c r="C388">
        <f>IF(tbl_main[[#This Row],[Date]]="","",YEAR(B388))</f>
        <v>2025</v>
      </c>
      <c r="D388" t="str">
        <f>IF(tbl_main[[#This Row],[Date]]="","",TEXT(B388,"mmm"))</f>
        <v>May</v>
      </c>
      <c r="E388" t="str">
        <f>IF(tbl_main[[#This Row],[Date]]="","",TEXT(B388,"DDD"))</f>
        <v>Sat</v>
      </c>
      <c r="F388" t="s">
        <v>13</v>
      </c>
      <c r="G388" t="s">
        <v>33</v>
      </c>
      <c r="H388" s="3" t="s">
        <v>26</v>
      </c>
      <c r="I388" s="3" t="s">
        <v>35</v>
      </c>
      <c r="J388" s="3" t="s">
        <v>25</v>
      </c>
      <c r="K388" s="3">
        <f>_xlfn.XLOOKUP(tbl_main[[#This Row],[Service]],tbl_service[Service],tbl_service[Price],"")</f>
        <v>200</v>
      </c>
      <c r="L388" s="3">
        <v>1</v>
      </c>
      <c r="M388" s="3">
        <f>IF(AND(tbl_main[[#This Row],[Price]]="",tbl_main[[#This Row],[Qty]]=""),"",tbl_main[[#This Row],[Price]]*tbl_main[[#This Row],[Qty]])</f>
        <v>200</v>
      </c>
      <c r="N388" s="3">
        <f>_xlfn.LET(_xlpm.x,_xlfn.XLOOKUP(tbl_main[[#This Row],[Service]],tbl_service[Service],tbl_service[Profit],""),
               IF(tbl_main[[#This Row],[Qty]]="","",_xlpm.x*tbl_main[[#This Row],[Qty]]))</f>
        <v>90</v>
      </c>
    </row>
    <row r="389" spans="1:14" x14ac:dyDescent="0.25">
      <c r="A389" t="s">
        <v>431</v>
      </c>
      <c r="B389" s="1">
        <v>45780</v>
      </c>
      <c r="C389">
        <f>IF(tbl_main[[#This Row],[Date]]="","",YEAR(B389))</f>
        <v>2025</v>
      </c>
      <c r="D389" t="str">
        <f>IF(tbl_main[[#This Row],[Date]]="","",TEXT(B389,"mmm"))</f>
        <v>May</v>
      </c>
      <c r="E389" t="str">
        <f>IF(tbl_main[[#This Row],[Date]]="","",TEXT(B389,"DDD"))</f>
        <v>Sat</v>
      </c>
      <c r="F389" t="s">
        <v>27</v>
      </c>
      <c r="G389" t="s">
        <v>28</v>
      </c>
      <c r="H389" s="3" t="s">
        <v>34</v>
      </c>
      <c r="I389" s="3" t="s">
        <v>23</v>
      </c>
      <c r="J389" s="3" t="s">
        <v>17</v>
      </c>
      <c r="K389" s="3">
        <f>_xlfn.XLOOKUP(tbl_main[[#This Row],[Service]],tbl_service[Service],tbl_service[Price],"")</f>
        <v>100</v>
      </c>
      <c r="L389" s="3">
        <v>2</v>
      </c>
      <c r="M389" s="3">
        <f>IF(AND(tbl_main[[#This Row],[Price]]="",tbl_main[[#This Row],[Qty]]=""),"",tbl_main[[#This Row],[Price]]*tbl_main[[#This Row],[Qty]])</f>
        <v>200</v>
      </c>
      <c r="N389" s="3">
        <f>_xlfn.LET(_xlpm.x,_xlfn.XLOOKUP(tbl_main[[#This Row],[Service]],tbl_service[Service],tbl_service[Profit],""),
               IF(tbl_main[[#This Row],[Qty]]="","",_xlpm.x*tbl_main[[#This Row],[Qty]]))</f>
        <v>90</v>
      </c>
    </row>
    <row r="390" spans="1:14" x14ac:dyDescent="0.25">
      <c r="A390" t="s">
        <v>432</v>
      </c>
      <c r="B390" s="1">
        <v>45780</v>
      </c>
      <c r="C390">
        <f>IF(tbl_main[[#This Row],[Date]]="","",YEAR(B390))</f>
        <v>2025</v>
      </c>
      <c r="D390" t="str">
        <f>IF(tbl_main[[#This Row],[Date]]="","",TEXT(B390,"mmm"))</f>
        <v>May</v>
      </c>
      <c r="E390" t="str">
        <f>IF(tbl_main[[#This Row],[Date]]="","",TEXT(B390,"DDD"))</f>
        <v>Sat</v>
      </c>
      <c r="F390" t="s">
        <v>13</v>
      </c>
      <c r="G390" t="s">
        <v>14</v>
      </c>
      <c r="H390" s="3" t="s">
        <v>26</v>
      </c>
      <c r="I390" s="3" t="s">
        <v>37</v>
      </c>
      <c r="J390" s="3" t="s">
        <v>32</v>
      </c>
      <c r="K390" s="3">
        <f>_xlfn.XLOOKUP(tbl_main[[#This Row],[Service]],tbl_service[Service],tbl_service[Price],"")</f>
        <v>200</v>
      </c>
      <c r="L390" s="3">
        <v>2</v>
      </c>
      <c r="M390" s="3">
        <f>IF(AND(tbl_main[[#This Row],[Price]]="",tbl_main[[#This Row],[Qty]]=""),"",tbl_main[[#This Row],[Price]]*tbl_main[[#This Row],[Qty]])</f>
        <v>400</v>
      </c>
      <c r="N390" s="3">
        <f>_xlfn.LET(_xlpm.x,_xlfn.XLOOKUP(tbl_main[[#This Row],[Service]],tbl_service[Service],tbl_service[Profit],""),
               IF(tbl_main[[#This Row],[Qty]]="","",_xlpm.x*tbl_main[[#This Row],[Qty]]))</f>
        <v>180</v>
      </c>
    </row>
    <row r="391" spans="1:14" x14ac:dyDescent="0.25">
      <c r="A391" t="s">
        <v>433</v>
      </c>
      <c r="B391" s="1">
        <v>45781</v>
      </c>
      <c r="C391">
        <f>IF(tbl_main[[#This Row],[Date]]="","",YEAR(B391))</f>
        <v>2025</v>
      </c>
      <c r="D391" t="str">
        <f>IF(tbl_main[[#This Row],[Date]]="","",TEXT(B391,"mmm"))</f>
        <v>May</v>
      </c>
      <c r="E391" t="str">
        <f>IF(tbl_main[[#This Row],[Date]]="","",TEXT(B391,"DDD"))</f>
        <v>Sun</v>
      </c>
      <c r="F391" t="s">
        <v>30</v>
      </c>
      <c r="G391" t="s">
        <v>31</v>
      </c>
      <c r="H391" s="3" t="s">
        <v>34</v>
      </c>
      <c r="I391" s="3" t="s">
        <v>38</v>
      </c>
      <c r="J391" s="3" t="s">
        <v>25</v>
      </c>
      <c r="K391" s="3">
        <f>_xlfn.XLOOKUP(tbl_main[[#This Row],[Service]],tbl_service[Service],tbl_service[Price],"")</f>
        <v>100</v>
      </c>
      <c r="L391" s="3">
        <v>1</v>
      </c>
      <c r="M391" s="3">
        <f>IF(AND(tbl_main[[#This Row],[Price]]="",tbl_main[[#This Row],[Qty]]=""),"",tbl_main[[#This Row],[Price]]*tbl_main[[#This Row],[Qty]])</f>
        <v>100</v>
      </c>
      <c r="N391" s="3">
        <f>_xlfn.LET(_xlpm.x,_xlfn.XLOOKUP(tbl_main[[#This Row],[Service]],tbl_service[Service],tbl_service[Profit],""),
               IF(tbl_main[[#This Row],[Qty]]="","",_xlpm.x*tbl_main[[#This Row],[Qty]]))</f>
        <v>45</v>
      </c>
    </row>
    <row r="392" spans="1:14" x14ac:dyDescent="0.25">
      <c r="A392" t="s">
        <v>434</v>
      </c>
      <c r="B392" s="1">
        <v>45781</v>
      </c>
      <c r="C392">
        <f>IF(tbl_main[[#This Row],[Date]]="","",YEAR(B392))</f>
        <v>2025</v>
      </c>
      <c r="D392" t="str">
        <f>IF(tbl_main[[#This Row],[Date]]="","",TEXT(B392,"mmm"))</f>
        <v>May</v>
      </c>
      <c r="E392" t="str">
        <f>IF(tbl_main[[#This Row],[Date]]="","",TEXT(B392,"DDD"))</f>
        <v>Sun</v>
      </c>
      <c r="F392" t="s">
        <v>20</v>
      </c>
      <c r="G392" t="s">
        <v>39</v>
      </c>
      <c r="H392" s="3" t="s">
        <v>22</v>
      </c>
      <c r="I392" s="3" t="s">
        <v>16</v>
      </c>
      <c r="J392" s="3" t="s">
        <v>17</v>
      </c>
      <c r="K392" s="3">
        <f>_xlfn.XLOOKUP(tbl_main[[#This Row],[Service]],tbl_service[Service],tbl_service[Price],"")</f>
        <v>150</v>
      </c>
      <c r="L392" s="3">
        <v>2</v>
      </c>
      <c r="M392" s="3">
        <f>IF(AND(tbl_main[[#This Row],[Price]]="",tbl_main[[#This Row],[Qty]]=""),"",tbl_main[[#This Row],[Price]]*tbl_main[[#This Row],[Qty]])</f>
        <v>300</v>
      </c>
      <c r="N392" s="3">
        <f>_xlfn.LET(_xlpm.x,_xlfn.XLOOKUP(tbl_main[[#This Row],[Service]],tbl_service[Service],tbl_service[Profit],""),
               IF(tbl_main[[#This Row],[Qty]]="","",_xlpm.x*tbl_main[[#This Row],[Qty]]))</f>
        <v>134</v>
      </c>
    </row>
    <row r="393" spans="1:14" x14ac:dyDescent="0.25">
      <c r="A393" t="s">
        <v>435</v>
      </c>
      <c r="B393" s="1">
        <v>45781</v>
      </c>
      <c r="C393">
        <f>IF(tbl_main[[#This Row],[Date]]="","",YEAR(B393))</f>
        <v>2025</v>
      </c>
      <c r="D393" t="str">
        <f>IF(tbl_main[[#This Row],[Date]]="","",TEXT(B393,"mmm"))</f>
        <v>May</v>
      </c>
      <c r="E393" t="str">
        <f>IF(tbl_main[[#This Row],[Date]]="","",TEXT(B393,"DDD"))</f>
        <v>Sun</v>
      </c>
      <c r="F393" t="s">
        <v>27</v>
      </c>
      <c r="G393" t="s">
        <v>40</v>
      </c>
      <c r="H393" s="3" t="s">
        <v>34</v>
      </c>
      <c r="I393" s="3" t="s">
        <v>19</v>
      </c>
      <c r="J393" s="3" t="s">
        <v>17</v>
      </c>
      <c r="K393" s="3">
        <f>_xlfn.XLOOKUP(tbl_main[[#This Row],[Service]],tbl_service[Service],tbl_service[Price],"")</f>
        <v>100</v>
      </c>
      <c r="L393" s="3">
        <v>2</v>
      </c>
      <c r="M393" s="3">
        <f>IF(AND(tbl_main[[#This Row],[Price]]="",tbl_main[[#This Row],[Qty]]=""),"",tbl_main[[#This Row],[Price]]*tbl_main[[#This Row],[Qty]])</f>
        <v>200</v>
      </c>
      <c r="N393" s="3">
        <f>_xlfn.LET(_xlpm.x,_xlfn.XLOOKUP(tbl_main[[#This Row],[Service]],tbl_service[Service],tbl_service[Profit],""),
               IF(tbl_main[[#This Row],[Qty]]="","",_xlpm.x*tbl_main[[#This Row],[Qty]]))</f>
        <v>90</v>
      </c>
    </row>
    <row r="394" spans="1:14" x14ac:dyDescent="0.25">
      <c r="A394" t="s">
        <v>436</v>
      </c>
      <c r="B394" s="1">
        <v>45782</v>
      </c>
      <c r="C394">
        <f>IF(tbl_main[[#This Row],[Date]]="","",YEAR(B394))</f>
        <v>2025</v>
      </c>
      <c r="D394" t="str">
        <f>IF(tbl_main[[#This Row],[Date]]="","",TEXT(B394,"mmm"))</f>
        <v>May</v>
      </c>
      <c r="E394" t="str">
        <f>IF(tbl_main[[#This Row],[Date]]="","",TEXT(B394,"DDD"))</f>
        <v>Mon</v>
      </c>
      <c r="F394" t="s">
        <v>27</v>
      </c>
      <c r="G394" t="s">
        <v>40</v>
      </c>
      <c r="H394" s="3" t="s">
        <v>15</v>
      </c>
      <c r="I394" s="3" t="s">
        <v>42</v>
      </c>
      <c r="J394" s="3" t="s">
        <v>25</v>
      </c>
      <c r="K394" s="3">
        <f>_xlfn.XLOOKUP(tbl_main[[#This Row],[Service]],tbl_service[Service],tbl_service[Price],"")</f>
        <v>500</v>
      </c>
      <c r="L394" s="3">
        <v>2</v>
      </c>
      <c r="M394" s="3">
        <f>IF(AND(tbl_main[[#This Row],[Price]]="",tbl_main[[#This Row],[Qty]]=""),"",tbl_main[[#This Row],[Price]]*tbl_main[[#This Row],[Qty]])</f>
        <v>1000</v>
      </c>
      <c r="N394" s="3">
        <f>_xlfn.LET(_xlpm.x,_xlfn.XLOOKUP(tbl_main[[#This Row],[Service]],tbl_service[Service],tbl_service[Profit],""),
               IF(tbl_main[[#This Row],[Qty]]="","",_xlpm.x*tbl_main[[#This Row],[Qty]]))</f>
        <v>450</v>
      </c>
    </row>
    <row r="395" spans="1:14" x14ac:dyDescent="0.25">
      <c r="A395" t="s">
        <v>437</v>
      </c>
      <c r="B395" s="1">
        <v>45782</v>
      </c>
      <c r="C395">
        <f>IF(tbl_main[[#This Row],[Date]]="","",YEAR(B395))</f>
        <v>2025</v>
      </c>
      <c r="D395" t="str">
        <f>IF(tbl_main[[#This Row],[Date]]="","",TEXT(B395,"mmm"))</f>
        <v>May</v>
      </c>
      <c r="E395" t="str">
        <f>IF(tbl_main[[#This Row],[Date]]="","",TEXT(B395,"DDD"))</f>
        <v>Mon</v>
      </c>
      <c r="F395" t="s">
        <v>20</v>
      </c>
      <c r="G395" t="s">
        <v>21</v>
      </c>
      <c r="H395" s="3" t="s">
        <v>24</v>
      </c>
      <c r="I395" s="3" t="s">
        <v>41</v>
      </c>
      <c r="J395" s="3" t="s">
        <v>32</v>
      </c>
      <c r="K395" s="3">
        <f>_xlfn.XLOOKUP(tbl_main[[#This Row],[Service]],tbl_service[Service],tbl_service[Price],"")</f>
        <v>80</v>
      </c>
      <c r="L395" s="3">
        <v>2</v>
      </c>
      <c r="M395" s="3">
        <f>IF(AND(tbl_main[[#This Row],[Price]]="",tbl_main[[#This Row],[Qty]]=""),"",tbl_main[[#This Row],[Price]]*tbl_main[[#This Row],[Qty]])</f>
        <v>160</v>
      </c>
      <c r="N395" s="3">
        <f>_xlfn.LET(_xlpm.x,_xlfn.XLOOKUP(tbl_main[[#This Row],[Service]],tbl_service[Service],tbl_service[Profit],""),
               IF(tbl_main[[#This Row],[Qty]]="","",_xlpm.x*tbl_main[[#This Row],[Qty]]))</f>
        <v>72</v>
      </c>
    </row>
    <row r="396" spans="1:14" x14ac:dyDescent="0.25">
      <c r="A396" t="s">
        <v>438</v>
      </c>
      <c r="B396" s="1">
        <v>45782</v>
      </c>
      <c r="C396">
        <f>IF(tbl_main[[#This Row],[Date]]="","",YEAR(B396))</f>
        <v>2025</v>
      </c>
      <c r="D396" t="str">
        <f>IF(tbl_main[[#This Row],[Date]]="","",TEXT(B396,"mmm"))</f>
        <v>May</v>
      </c>
      <c r="E396" t="str">
        <f>IF(tbl_main[[#This Row],[Date]]="","",TEXT(B396,"DDD"))</f>
        <v>Mon</v>
      </c>
      <c r="F396" t="s">
        <v>27</v>
      </c>
      <c r="G396" t="s">
        <v>28</v>
      </c>
      <c r="H396" s="3" t="s">
        <v>18</v>
      </c>
      <c r="I396" s="3" t="s">
        <v>41</v>
      </c>
      <c r="J396" s="3" t="s">
        <v>32</v>
      </c>
      <c r="K396" s="3">
        <f>_xlfn.XLOOKUP(tbl_main[[#This Row],[Service]],tbl_service[Service],tbl_service[Price],"")</f>
        <v>500</v>
      </c>
      <c r="L396" s="3">
        <v>1</v>
      </c>
      <c r="M396" s="3">
        <f>IF(AND(tbl_main[[#This Row],[Price]]="",tbl_main[[#This Row],[Qty]]=""),"",tbl_main[[#This Row],[Price]]*tbl_main[[#This Row],[Qty]])</f>
        <v>500</v>
      </c>
      <c r="N396" s="3">
        <f>_xlfn.LET(_xlpm.x,_xlfn.XLOOKUP(tbl_main[[#This Row],[Service]],tbl_service[Service],tbl_service[Profit],""),
               IF(tbl_main[[#This Row],[Qty]]="","",_xlpm.x*tbl_main[[#This Row],[Qty]]))</f>
        <v>157</v>
      </c>
    </row>
    <row r="397" spans="1:14" x14ac:dyDescent="0.25">
      <c r="A397" t="s">
        <v>439</v>
      </c>
      <c r="B397" s="1">
        <v>45783</v>
      </c>
      <c r="C397">
        <f>IF(tbl_main[[#This Row],[Date]]="","",YEAR(B397))</f>
        <v>2025</v>
      </c>
      <c r="D397" t="str">
        <f>IF(tbl_main[[#This Row],[Date]]="","",TEXT(B397,"mmm"))</f>
        <v>May</v>
      </c>
      <c r="E397" t="str">
        <f>IF(tbl_main[[#This Row],[Date]]="","",TEXT(B397,"DDD"))</f>
        <v>Tue</v>
      </c>
      <c r="F397" t="s">
        <v>30</v>
      </c>
      <c r="G397" t="s">
        <v>36</v>
      </c>
      <c r="H397" s="3" t="s">
        <v>24</v>
      </c>
      <c r="I397" s="3" t="s">
        <v>35</v>
      </c>
      <c r="J397" s="3" t="s">
        <v>25</v>
      </c>
      <c r="K397" s="3">
        <f>_xlfn.XLOOKUP(tbl_main[[#This Row],[Service]],tbl_service[Service],tbl_service[Price],"")</f>
        <v>80</v>
      </c>
      <c r="L397" s="3">
        <v>1</v>
      </c>
      <c r="M397" s="3">
        <f>IF(AND(tbl_main[[#This Row],[Price]]="",tbl_main[[#This Row],[Qty]]=""),"",tbl_main[[#This Row],[Price]]*tbl_main[[#This Row],[Qty]])</f>
        <v>80</v>
      </c>
      <c r="N397" s="3">
        <f>_xlfn.LET(_xlpm.x,_xlfn.XLOOKUP(tbl_main[[#This Row],[Service]],tbl_service[Service],tbl_service[Profit],""),
               IF(tbl_main[[#This Row],[Qty]]="","",_xlpm.x*tbl_main[[#This Row],[Qty]]))</f>
        <v>36</v>
      </c>
    </row>
    <row r="398" spans="1:14" x14ac:dyDescent="0.25">
      <c r="A398" t="s">
        <v>440</v>
      </c>
      <c r="B398" s="1">
        <v>45783</v>
      </c>
      <c r="C398">
        <f>IF(tbl_main[[#This Row],[Date]]="","",YEAR(B398))</f>
        <v>2025</v>
      </c>
      <c r="D398" t="str">
        <f>IF(tbl_main[[#This Row],[Date]]="","",TEXT(B398,"mmm"))</f>
        <v>May</v>
      </c>
      <c r="E398" t="str">
        <f>IF(tbl_main[[#This Row],[Date]]="","",TEXT(B398,"DDD"))</f>
        <v>Tue</v>
      </c>
      <c r="F398" t="s">
        <v>27</v>
      </c>
      <c r="G398" t="s">
        <v>28</v>
      </c>
      <c r="H398" s="3" t="s">
        <v>34</v>
      </c>
      <c r="I398" s="3" t="s">
        <v>35</v>
      </c>
      <c r="J398" s="3" t="s">
        <v>32</v>
      </c>
      <c r="K398" s="3">
        <f>_xlfn.XLOOKUP(tbl_main[[#This Row],[Service]],tbl_service[Service],tbl_service[Price],"")</f>
        <v>100</v>
      </c>
      <c r="L398" s="3">
        <v>2</v>
      </c>
      <c r="M398" s="3">
        <f>IF(AND(tbl_main[[#This Row],[Price]]="",tbl_main[[#This Row],[Qty]]=""),"",tbl_main[[#This Row],[Price]]*tbl_main[[#This Row],[Qty]])</f>
        <v>200</v>
      </c>
      <c r="N398" s="3">
        <f>_xlfn.LET(_xlpm.x,_xlfn.XLOOKUP(tbl_main[[#This Row],[Service]],tbl_service[Service],tbl_service[Profit],""),
               IF(tbl_main[[#This Row],[Qty]]="","",_xlpm.x*tbl_main[[#This Row],[Qty]]))</f>
        <v>90</v>
      </c>
    </row>
    <row r="399" spans="1:14" x14ac:dyDescent="0.25">
      <c r="A399" t="s">
        <v>441</v>
      </c>
      <c r="B399" s="1">
        <v>45783</v>
      </c>
      <c r="C399">
        <f>IF(tbl_main[[#This Row],[Date]]="","",YEAR(B399))</f>
        <v>2025</v>
      </c>
      <c r="D399" t="str">
        <f>IF(tbl_main[[#This Row],[Date]]="","",TEXT(B399,"mmm"))</f>
        <v>May</v>
      </c>
      <c r="E399" t="str">
        <f>IF(tbl_main[[#This Row],[Date]]="","",TEXT(B399,"DDD"))</f>
        <v>Tue</v>
      </c>
      <c r="F399" t="s">
        <v>27</v>
      </c>
      <c r="G399" t="s">
        <v>40</v>
      </c>
      <c r="H399" s="3" t="s">
        <v>34</v>
      </c>
      <c r="I399" s="3" t="s">
        <v>23</v>
      </c>
      <c r="J399" s="3" t="s">
        <v>17</v>
      </c>
      <c r="K399" s="3">
        <f>_xlfn.XLOOKUP(tbl_main[[#This Row],[Service]],tbl_service[Service],tbl_service[Price],"")</f>
        <v>100</v>
      </c>
      <c r="L399" s="3">
        <v>1</v>
      </c>
      <c r="M399" s="3">
        <f>IF(AND(tbl_main[[#This Row],[Price]]="",tbl_main[[#This Row],[Qty]]=""),"",tbl_main[[#This Row],[Price]]*tbl_main[[#This Row],[Qty]])</f>
        <v>100</v>
      </c>
      <c r="N399" s="3">
        <f>_xlfn.LET(_xlpm.x,_xlfn.XLOOKUP(tbl_main[[#This Row],[Service]],tbl_service[Service],tbl_service[Profit],""),
               IF(tbl_main[[#This Row],[Qty]]="","",_xlpm.x*tbl_main[[#This Row],[Qty]]))</f>
        <v>45</v>
      </c>
    </row>
    <row r="400" spans="1:14" x14ac:dyDescent="0.25">
      <c r="A400" t="s">
        <v>442</v>
      </c>
      <c r="B400" s="1">
        <v>45784</v>
      </c>
      <c r="C400">
        <f>IF(tbl_main[[#This Row],[Date]]="","",YEAR(B400))</f>
        <v>2025</v>
      </c>
      <c r="D400" t="str">
        <f>IF(tbl_main[[#This Row],[Date]]="","",TEXT(B400,"mmm"))</f>
        <v>May</v>
      </c>
      <c r="E400" t="str">
        <f>IF(tbl_main[[#This Row],[Date]]="","",TEXT(B400,"DDD"))</f>
        <v>Wed</v>
      </c>
      <c r="F400" t="s">
        <v>27</v>
      </c>
      <c r="G400" t="s">
        <v>40</v>
      </c>
      <c r="H400" s="3" t="s">
        <v>22</v>
      </c>
      <c r="I400" s="3" t="s">
        <v>37</v>
      </c>
      <c r="J400" s="3" t="s">
        <v>25</v>
      </c>
      <c r="K400" s="3">
        <f>_xlfn.XLOOKUP(tbl_main[[#This Row],[Service]],tbl_service[Service],tbl_service[Price],"")</f>
        <v>150</v>
      </c>
      <c r="L400" s="3">
        <v>1</v>
      </c>
      <c r="M400" s="3">
        <f>IF(AND(tbl_main[[#This Row],[Price]]="",tbl_main[[#This Row],[Qty]]=""),"",tbl_main[[#This Row],[Price]]*tbl_main[[#This Row],[Qty]])</f>
        <v>150</v>
      </c>
      <c r="N400" s="3">
        <f>_xlfn.LET(_xlpm.x,_xlfn.XLOOKUP(tbl_main[[#This Row],[Service]],tbl_service[Service],tbl_service[Profit],""),
               IF(tbl_main[[#This Row],[Qty]]="","",_xlpm.x*tbl_main[[#This Row],[Qty]]))</f>
        <v>67</v>
      </c>
    </row>
    <row r="401" spans="1:14" x14ac:dyDescent="0.25">
      <c r="A401" t="s">
        <v>443</v>
      </c>
      <c r="B401" s="1">
        <v>45784</v>
      </c>
      <c r="C401">
        <f>IF(tbl_main[[#This Row],[Date]]="","",YEAR(B401))</f>
        <v>2025</v>
      </c>
      <c r="D401" t="str">
        <f>IF(tbl_main[[#This Row],[Date]]="","",TEXT(B401,"mmm"))</f>
        <v>May</v>
      </c>
      <c r="E401" t="str">
        <f>IF(tbl_main[[#This Row],[Date]]="","",TEXT(B401,"DDD"))</f>
        <v>Wed</v>
      </c>
      <c r="F401" t="s">
        <v>27</v>
      </c>
      <c r="G401" t="s">
        <v>28</v>
      </c>
      <c r="H401" s="3" t="s">
        <v>26</v>
      </c>
      <c r="I401" s="3" t="s">
        <v>38</v>
      </c>
      <c r="J401" s="3" t="s">
        <v>17</v>
      </c>
      <c r="K401" s="3">
        <f>_xlfn.XLOOKUP(tbl_main[[#This Row],[Service]],tbl_service[Service],tbl_service[Price],"")</f>
        <v>200</v>
      </c>
      <c r="L401" s="3">
        <v>1</v>
      </c>
      <c r="M401" s="3">
        <f>IF(AND(tbl_main[[#This Row],[Price]]="",tbl_main[[#This Row],[Qty]]=""),"",tbl_main[[#This Row],[Price]]*tbl_main[[#This Row],[Qty]])</f>
        <v>200</v>
      </c>
      <c r="N401" s="3">
        <f>_xlfn.LET(_xlpm.x,_xlfn.XLOOKUP(tbl_main[[#This Row],[Service]],tbl_service[Service],tbl_service[Profit],""),
               IF(tbl_main[[#This Row],[Qty]]="","",_xlpm.x*tbl_main[[#This Row],[Qty]]))</f>
        <v>90</v>
      </c>
    </row>
    <row r="402" spans="1:14" x14ac:dyDescent="0.25">
      <c r="A402" t="s">
        <v>444</v>
      </c>
      <c r="B402" s="1">
        <v>45785</v>
      </c>
      <c r="C402">
        <f>IF(tbl_main[[#This Row],[Date]]="","",YEAR(B402))</f>
        <v>2025</v>
      </c>
      <c r="D402" t="str">
        <f>IF(tbl_main[[#This Row],[Date]]="","",TEXT(B402,"mmm"))</f>
        <v>May</v>
      </c>
      <c r="E402" t="str">
        <f>IF(tbl_main[[#This Row],[Date]]="","",TEXT(B402,"DDD"))</f>
        <v>Thu</v>
      </c>
      <c r="F402" t="s">
        <v>20</v>
      </c>
      <c r="G402" t="s">
        <v>39</v>
      </c>
      <c r="H402" s="3" t="s">
        <v>26</v>
      </c>
      <c r="I402" s="3" t="s">
        <v>16</v>
      </c>
      <c r="J402" s="3" t="s">
        <v>25</v>
      </c>
      <c r="K402" s="3">
        <f>_xlfn.XLOOKUP(tbl_main[[#This Row],[Service]],tbl_service[Service],tbl_service[Price],"")</f>
        <v>200</v>
      </c>
      <c r="L402" s="3">
        <v>1</v>
      </c>
      <c r="M402" s="3">
        <f>IF(AND(tbl_main[[#This Row],[Price]]="",tbl_main[[#This Row],[Qty]]=""),"",tbl_main[[#This Row],[Price]]*tbl_main[[#This Row],[Qty]])</f>
        <v>200</v>
      </c>
      <c r="N402" s="3">
        <f>_xlfn.LET(_xlpm.x,_xlfn.XLOOKUP(tbl_main[[#This Row],[Service]],tbl_service[Service],tbl_service[Profit],""),
               IF(tbl_main[[#This Row],[Qty]]="","",_xlpm.x*tbl_main[[#This Row],[Qty]]))</f>
        <v>90</v>
      </c>
    </row>
    <row r="403" spans="1:14" x14ac:dyDescent="0.25">
      <c r="A403" t="s">
        <v>445</v>
      </c>
      <c r="B403" s="1">
        <v>45785</v>
      </c>
      <c r="C403">
        <f>IF(tbl_main[[#This Row],[Date]]="","",YEAR(B403))</f>
        <v>2025</v>
      </c>
      <c r="D403" t="str">
        <f>IF(tbl_main[[#This Row],[Date]]="","",TEXT(B403,"mmm"))</f>
        <v>May</v>
      </c>
      <c r="E403" t="str">
        <f>IF(tbl_main[[#This Row],[Date]]="","",TEXT(B403,"DDD"))</f>
        <v>Thu</v>
      </c>
      <c r="F403" t="s">
        <v>27</v>
      </c>
      <c r="G403" t="s">
        <v>40</v>
      </c>
      <c r="H403" s="3" t="s">
        <v>18</v>
      </c>
      <c r="I403" s="3" t="s">
        <v>19</v>
      </c>
      <c r="J403" s="3" t="s">
        <v>25</v>
      </c>
      <c r="K403" s="3">
        <f>_xlfn.XLOOKUP(tbl_main[[#This Row],[Service]],tbl_service[Service],tbl_service[Price],"")</f>
        <v>500</v>
      </c>
      <c r="L403" s="3">
        <v>2</v>
      </c>
      <c r="M403" s="3">
        <f>IF(AND(tbl_main[[#This Row],[Price]]="",tbl_main[[#This Row],[Qty]]=""),"",tbl_main[[#This Row],[Price]]*tbl_main[[#This Row],[Qty]])</f>
        <v>1000</v>
      </c>
      <c r="N403" s="3">
        <f>_xlfn.LET(_xlpm.x,_xlfn.XLOOKUP(tbl_main[[#This Row],[Service]],tbl_service[Service],tbl_service[Profit],""),
               IF(tbl_main[[#This Row],[Qty]]="","",_xlpm.x*tbl_main[[#This Row],[Qty]]))</f>
        <v>314</v>
      </c>
    </row>
    <row r="404" spans="1:14" x14ac:dyDescent="0.25">
      <c r="A404" t="s">
        <v>446</v>
      </c>
      <c r="B404" s="1">
        <v>45785</v>
      </c>
      <c r="C404">
        <f>IF(tbl_main[[#This Row],[Date]]="","",YEAR(B404))</f>
        <v>2025</v>
      </c>
      <c r="D404" t="str">
        <f>IF(tbl_main[[#This Row],[Date]]="","",TEXT(B404,"mmm"))</f>
        <v>May</v>
      </c>
      <c r="E404" t="str">
        <f>IF(tbl_main[[#This Row],[Date]]="","",TEXT(B404,"DDD"))</f>
        <v>Thu</v>
      </c>
      <c r="F404" t="s">
        <v>27</v>
      </c>
      <c r="G404" t="s">
        <v>40</v>
      </c>
      <c r="H404" s="3" t="s">
        <v>26</v>
      </c>
      <c r="I404" s="3" t="s">
        <v>42</v>
      </c>
      <c r="J404" s="3" t="s">
        <v>32</v>
      </c>
      <c r="K404" s="3">
        <f>_xlfn.XLOOKUP(tbl_main[[#This Row],[Service]],tbl_service[Service],tbl_service[Price],"")</f>
        <v>200</v>
      </c>
      <c r="L404" s="3">
        <v>1</v>
      </c>
      <c r="M404" s="3">
        <f>IF(AND(tbl_main[[#This Row],[Price]]="",tbl_main[[#This Row],[Qty]]=""),"",tbl_main[[#This Row],[Price]]*tbl_main[[#This Row],[Qty]])</f>
        <v>200</v>
      </c>
      <c r="N404" s="3">
        <f>_xlfn.LET(_xlpm.x,_xlfn.XLOOKUP(tbl_main[[#This Row],[Service]],tbl_service[Service],tbl_service[Profit],""),
               IF(tbl_main[[#This Row],[Qty]]="","",_xlpm.x*tbl_main[[#This Row],[Qty]]))</f>
        <v>90</v>
      </c>
    </row>
    <row r="405" spans="1:14" x14ac:dyDescent="0.25">
      <c r="A405" t="s">
        <v>447</v>
      </c>
      <c r="B405" s="1">
        <v>45785</v>
      </c>
      <c r="C405">
        <f>IF(tbl_main[[#This Row],[Date]]="","",YEAR(B405))</f>
        <v>2025</v>
      </c>
      <c r="D405" t="str">
        <f>IF(tbl_main[[#This Row],[Date]]="","",TEXT(B405,"mmm"))</f>
        <v>May</v>
      </c>
      <c r="E405" t="str">
        <f>IF(tbl_main[[#This Row],[Date]]="","",TEXT(B405,"DDD"))</f>
        <v>Thu</v>
      </c>
      <c r="F405" t="s">
        <v>13</v>
      </c>
      <c r="G405" t="s">
        <v>33</v>
      </c>
      <c r="H405" s="3" t="s">
        <v>34</v>
      </c>
      <c r="I405" s="3" t="s">
        <v>41</v>
      </c>
      <c r="J405" s="3" t="s">
        <v>32</v>
      </c>
      <c r="K405" s="3">
        <f>_xlfn.XLOOKUP(tbl_main[[#This Row],[Service]],tbl_service[Service],tbl_service[Price],"")</f>
        <v>100</v>
      </c>
      <c r="L405" s="3">
        <v>1</v>
      </c>
      <c r="M405" s="3">
        <f>IF(AND(tbl_main[[#This Row],[Price]]="",tbl_main[[#This Row],[Qty]]=""),"",tbl_main[[#This Row],[Price]]*tbl_main[[#This Row],[Qty]])</f>
        <v>100</v>
      </c>
      <c r="N405" s="3">
        <f>_xlfn.LET(_xlpm.x,_xlfn.XLOOKUP(tbl_main[[#This Row],[Service]],tbl_service[Service],tbl_service[Profit],""),
               IF(tbl_main[[#This Row],[Qty]]="","",_xlpm.x*tbl_main[[#This Row],[Qty]]))</f>
        <v>45</v>
      </c>
    </row>
    <row r="406" spans="1:14" x14ac:dyDescent="0.25">
      <c r="A406" t="s">
        <v>448</v>
      </c>
      <c r="B406" s="1">
        <v>45786</v>
      </c>
      <c r="C406">
        <f>IF(tbl_main[[#This Row],[Date]]="","",YEAR(B406))</f>
        <v>2025</v>
      </c>
      <c r="D406" t="str">
        <f>IF(tbl_main[[#This Row],[Date]]="","",TEXT(B406,"mmm"))</f>
        <v>May</v>
      </c>
      <c r="E406" t="str">
        <f>IF(tbl_main[[#This Row],[Date]]="","",TEXT(B406,"DDD"))</f>
        <v>Fri</v>
      </c>
      <c r="F406" t="s">
        <v>27</v>
      </c>
      <c r="G406" t="s">
        <v>40</v>
      </c>
      <c r="H406" s="3" t="s">
        <v>18</v>
      </c>
      <c r="I406" s="3" t="s">
        <v>41</v>
      </c>
      <c r="J406" s="3" t="s">
        <v>32</v>
      </c>
      <c r="K406" s="3">
        <f>_xlfn.XLOOKUP(tbl_main[[#This Row],[Service]],tbl_service[Service],tbl_service[Price],"")</f>
        <v>500</v>
      </c>
      <c r="L406" s="3">
        <v>2</v>
      </c>
      <c r="M406" s="3">
        <f>IF(AND(tbl_main[[#This Row],[Price]]="",tbl_main[[#This Row],[Qty]]=""),"",tbl_main[[#This Row],[Price]]*tbl_main[[#This Row],[Qty]])</f>
        <v>1000</v>
      </c>
      <c r="N406" s="3">
        <f>_xlfn.LET(_xlpm.x,_xlfn.XLOOKUP(tbl_main[[#This Row],[Service]],tbl_service[Service],tbl_service[Profit],""),
               IF(tbl_main[[#This Row],[Qty]]="","",_xlpm.x*tbl_main[[#This Row],[Qty]]))</f>
        <v>314</v>
      </c>
    </row>
    <row r="407" spans="1:14" x14ac:dyDescent="0.25">
      <c r="A407" t="s">
        <v>449</v>
      </c>
      <c r="B407" s="1">
        <v>45786</v>
      </c>
      <c r="C407">
        <f>IF(tbl_main[[#This Row],[Date]]="","",YEAR(B407))</f>
        <v>2025</v>
      </c>
      <c r="D407" t="str">
        <f>IF(tbl_main[[#This Row],[Date]]="","",TEXT(B407,"mmm"))</f>
        <v>May</v>
      </c>
      <c r="E407" t="str">
        <f>IF(tbl_main[[#This Row],[Date]]="","",TEXT(B407,"DDD"))</f>
        <v>Fri</v>
      </c>
      <c r="F407" t="s">
        <v>27</v>
      </c>
      <c r="G407" t="s">
        <v>28</v>
      </c>
      <c r="H407" s="3" t="s">
        <v>24</v>
      </c>
      <c r="I407" s="3" t="s">
        <v>35</v>
      </c>
      <c r="J407" s="3" t="s">
        <v>25</v>
      </c>
      <c r="K407" s="3">
        <f>_xlfn.XLOOKUP(tbl_main[[#This Row],[Service]],tbl_service[Service],tbl_service[Price],"")</f>
        <v>80</v>
      </c>
      <c r="L407" s="3">
        <v>2</v>
      </c>
      <c r="M407" s="3">
        <f>IF(AND(tbl_main[[#This Row],[Price]]="",tbl_main[[#This Row],[Qty]]=""),"",tbl_main[[#This Row],[Price]]*tbl_main[[#This Row],[Qty]])</f>
        <v>160</v>
      </c>
      <c r="N407" s="3">
        <f>_xlfn.LET(_xlpm.x,_xlfn.XLOOKUP(tbl_main[[#This Row],[Service]],tbl_service[Service],tbl_service[Profit],""),
               IF(tbl_main[[#This Row],[Qty]]="","",_xlpm.x*tbl_main[[#This Row],[Qty]]))</f>
        <v>72</v>
      </c>
    </row>
    <row r="408" spans="1:14" x14ac:dyDescent="0.25">
      <c r="A408" t="s">
        <v>450</v>
      </c>
      <c r="B408" s="1">
        <v>45787</v>
      </c>
      <c r="C408">
        <f>IF(tbl_main[[#This Row],[Date]]="","",YEAR(B408))</f>
        <v>2025</v>
      </c>
      <c r="D408" t="str">
        <f>IF(tbl_main[[#This Row],[Date]]="","",TEXT(B408,"mmm"))</f>
        <v>May</v>
      </c>
      <c r="E408" t="str">
        <f>IF(tbl_main[[#This Row],[Date]]="","",TEXT(B408,"DDD"))</f>
        <v>Sat</v>
      </c>
      <c r="F408" t="s">
        <v>20</v>
      </c>
      <c r="G408" t="s">
        <v>39</v>
      </c>
      <c r="H408" s="3" t="s">
        <v>22</v>
      </c>
      <c r="I408" s="3" t="s">
        <v>35</v>
      </c>
      <c r="J408" s="3" t="s">
        <v>32</v>
      </c>
      <c r="K408" s="3">
        <f>_xlfn.XLOOKUP(tbl_main[[#This Row],[Service]],tbl_service[Service],tbl_service[Price],"")</f>
        <v>150</v>
      </c>
      <c r="L408" s="3">
        <v>1</v>
      </c>
      <c r="M408" s="3">
        <f>IF(AND(tbl_main[[#This Row],[Price]]="",tbl_main[[#This Row],[Qty]]=""),"",tbl_main[[#This Row],[Price]]*tbl_main[[#This Row],[Qty]])</f>
        <v>150</v>
      </c>
      <c r="N408" s="3">
        <f>_xlfn.LET(_xlpm.x,_xlfn.XLOOKUP(tbl_main[[#This Row],[Service]],tbl_service[Service],tbl_service[Profit],""),
               IF(tbl_main[[#This Row],[Qty]]="","",_xlpm.x*tbl_main[[#This Row],[Qty]]))</f>
        <v>67</v>
      </c>
    </row>
    <row r="409" spans="1:14" x14ac:dyDescent="0.25">
      <c r="A409" t="s">
        <v>451</v>
      </c>
      <c r="B409" s="1">
        <v>45787</v>
      </c>
      <c r="C409">
        <f>IF(tbl_main[[#This Row],[Date]]="","",YEAR(B409))</f>
        <v>2025</v>
      </c>
      <c r="D409" t="str">
        <f>IF(tbl_main[[#This Row],[Date]]="","",TEXT(B409,"mmm"))</f>
        <v>May</v>
      </c>
      <c r="E409" t="str">
        <f>IF(tbl_main[[#This Row],[Date]]="","",TEXT(B409,"DDD"))</f>
        <v>Sat</v>
      </c>
      <c r="F409" t="s">
        <v>27</v>
      </c>
      <c r="G409" t="s">
        <v>40</v>
      </c>
      <c r="H409" s="3" t="s">
        <v>24</v>
      </c>
      <c r="I409" s="3" t="s">
        <v>23</v>
      </c>
      <c r="J409" s="3" t="s">
        <v>32</v>
      </c>
      <c r="K409" s="3">
        <f>_xlfn.XLOOKUP(tbl_main[[#This Row],[Service]],tbl_service[Service],tbl_service[Price],"")</f>
        <v>80</v>
      </c>
      <c r="L409" s="3">
        <v>1</v>
      </c>
      <c r="M409" s="3">
        <f>IF(AND(tbl_main[[#This Row],[Price]]="",tbl_main[[#This Row],[Qty]]=""),"",tbl_main[[#This Row],[Price]]*tbl_main[[#This Row],[Qty]])</f>
        <v>80</v>
      </c>
      <c r="N409" s="3">
        <f>_xlfn.LET(_xlpm.x,_xlfn.XLOOKUP(tbl_main[[#This Row],[Service]],tbl_service[Service],tbl_service[Profit],""),
               IF(tbl_main[[#This Row],[Qty]]="","",_xlpm.x*tbl_main[[#This Row],[Qty]]))</f>
        <v>36</v>
      </c>
    </row>
    <row r="410" spans="1:14" x14ac:dyDescent="0.25">
      <c r="A410" t="s">
        <v>452</v>
      </c>
      <c r="B410" s="1">
        <v>45787</v>
      </c>
      <c r="C410">
        <f>IF(tbl_main[[#This Row],[Date]]="","",YEAR(B410))</f>
        <v>2025</v>
      </c>
      <c r="D410" t="str">
        <f>IF(tbl_main[[#This Row],[Date]]="","",TEXT(B410,"mmm"))</f>
        <v>May</v>
      </c>
      <c r="E410" t="str">
        <f>IF(tbl_main[[#This Row],[Date]]="","",TEXT(B410,"DDD"))</f>
        <v>Sat</v>
      </c>
      <c r="F410" t="s">
        <v>20</v>
      </c>
      <c r="G410" t="s">
        <v>21</v>
      </c>
      <c r="H410" s="3" t="s">
        <v>18</v>
      </c>
      <c r="I410" s="3" t="s">
        <v>37</v>
      </c>
      <c r="J410" s="3" t="s">
        <v>17</v>
      </c>
      <c r="K410" s="3">
        <f>_xlfn.XLOOKUP(tbl_main[[#This Row],[Service]],tbl_service[Service],tbl_service[Price],"")</f>
        <v>500</v>
      </c>
      <c r="L410" s="3">
        <v>2</v>
      </c>
      <c r="M410" s="3">
        <f>IF(AND(tbl_main[[#This Row],[Price]]="",tbl_main[[#This Row],[Qty]]=""),"",tbl_main[[#This Row],[Price]]*tbl_main[[#This Row],[Qty]])</f>
        <v>1000</v>
      </c>
      <c r="N410" s="3">
        <f>_xlfn.LET(_xlpm.x,_xlfn.XLOOKUP(tbl_main[[#This Row],[Service]],tbl_service[Service],tbl_service[Profit],""),
               IF(tbl_main[[#This Row],[Qty]]="","",_xlpm.x*tbl_main[[#This Row],[Qty]]))</f>
        <v>314</v>
      </c>
    </row>
    <row r="411" spans="1:14" x14ac:dyDescent="0.25">
      <c r="A411" t="s">
        <v>453</v>
      </c>
      <c r="B411" s="1">
        <v>45787</v>
      </c>
      <c r="C411">
        <f>IF(tbl_main[[#This Row],[Date]]="","",YEAR(B411))</f>
        <v>2025</v>
      </c>
      <c r="D411" t="str">
        <f>IF(tbl_main[[#This Row],[Date]]="","",TEXT(B411,"mmm"))</f>
        <v>May</v>
      </c>
      <c r="E411" t="str">
        <f>IF(tbl_main[[#This Row],[Date]]="","",TEXT(B411,"DDD"))</f>
        <v>Sat</v>
      </c>
      <c r="F411" t="s">
        <v>13</v>
      </c>
      <c r="G411" t="s">
        <v>33</v>
      </c>
      <c r="H411" s="3" t="s">
        <v>18</v>
      </c>
      <c r="I411" s="3" t="s">
        <v>38</v>
      </c>
      <c r="J411" s="3" t="s">
        <v>32</v>
      </c>
      <c r="K411" s="3">
        <f>_xlfn.XLOOKUP(tbl_main[[#This Row],[Service]],tbl_service[Service],tbl_service[Price],"")</f>
        <v>500</v>
      </c>
      <c r="L411" s="3">
        <v>2</v>
      </c>
      <c r="M411" s="3">
        <f>IF(AND(tbl_main[[#This Row],[Price]]="",tbl_main[[#This Row],[Qty]]=""),"",tbl_main[[#This Row],[Price]]*tbl_main[[#This Row],[Qty]])</f>
        <v>1000</v>
      </c>
      <c r="N411" s="3">
        <f>_xlfn.LET(_xlpm.x,_xlfn.XLOOKUP(tbl_main[[#This Row],[Service]],tbl_service[Service],tbl_service[Profit],""),
               IF(tbl_main[[#This Row],[Qty]]="","",_xlpm.x*tbl_main[[#This Row],[Qty]]))</f>
        <v>314</v>
      </c>
    </row>
    <row r="412" spans="1:14" x14ac:dyDescent="0.25">
      <c r="A412" t="s">
        <v>454</v>
      </c>
      <c r="B412" s="1">
        <v>45788</v>
      </c>
      <c r="C412">
        <f>IF(tbl_main[[#This Row],[Date]]="","",YEAR(B412))</f>
        <v>2025</v>
      </c>
      <c r="D412" t="str">
        <f>IF(tbl_main[[#This Row],[Date]]="","",TEXT(B412,"mmm"))</f>
        <v>May</v>
      </c>
      <c r="E412" t="str">
        <f>IF(tbl_main[[#This Row],[Date]]="","",TEXT(B412,"DDD"))</f>
        <v>Sun</v>
      </c>
      <c r="F412" t="s">
        <v>20</v>
      </c>
      <c r="G412" t="s">
        <v>21</v>
      </c>
      <c r="H412" s="3" t="s">
        <v>24</v>
      </c>
      <c r="I412" s="3" t="s">
        <v>16</v>
      </c>
      <c r="J412" s="3" t="s">
        <v>32</v>
      </c>
      <c r="K412" s="3">
        <f>_xlfn.XLOOKUP(tbl_main[[#This Row],[Service]],tbl_service[Service],tbl_service[Price],"")</f>
        <v>80</v>
      </c>
      <c r="L412" s="3">
        <v>1</v>
      </c>
      <c r="M412" s="3">
        <f>IF(AND(tbl_main[[#This Row],[Price]]="",tbl_main[[#This Row],[Qty]]=""),"",tbl_main[[#This Row],[Price]]*tbl_main[[#This Row],[Qty]])</f>
        <v>80</v>
      </c>
      <c r="N412" s="3">
        <f>_xlfn.LET(_xlpm.x,_xlfn.XLOOKUP(tbl_main[[#This Row],[Service]],tbl_service[Service],tbl_service[Profit],""),
               IF(tbl_main[[#This Row],[Qty]]="","",_xlpm.x*tbl_main[[#This Row],[Qty]]))</f>
        <v>36</v>
      </c>
    </row>
    <row r="413" spans="1:14" x14ac:dyDescent="0.25">
      <c r="A413" t="s">
        <v>455</v>
      </c>
      <c r="B413" s="1">
        <v>45788</v>
      </c>
      <c r="C413">
        <f>IF(tbl_main[[#This Row],[Date]]="","",YEAR(B413))</f>
        <v>2025</v>
      </c>
      <c r="D413" t="str">
        <f>IF(tbl_main[[#This Row],[Date]]="","",TEXT(B413,"mmm"))</f>
        <v>May</v>
      </c>
      <c r="E413" t="str">
        <f>IF(tbl_main[[#This Row],[Date]]="","",TEXT(B413,"DDD"))</f>
        <v>Sun</v>
      </c>
      <c r="F413" t="s">
        <v>30</v>
      </c>
      <c r="G413" t="s">
        <v>36</v>
      </c>
      <c r="H413" s="3" t="s">
        <v>22</v>
      </c>
      <c r="I413" s="3" t="s">
        <v>19</v>
      </c>
      <c r="J413" s="3" t="s">
        <v>17</v>
      </c>
      <c r="K413" s="3">
        <f>_xlfn.XLOOKUP(tbl_main[[#This Row],[Service]],tbl_service[Service],tbl_service[Price],"")</f>
        <v>150</v>
      </c>
      <c r="L413" s="3">
        <v>1</v>
      </c>
      <c r="M413" s="3">
        <f>IF(AND(tbl_main[[#This Row],[Price]]="",tbl_main[[#This Row],[Qty]]=""),"",tbl_main[[#This Row],[Price]]*tbl_main[[#This Row],[Qty]])</f>
        <v>150</v>
      </c>
      <c r="N413" s="3">
        <f>_xlfn.LET(_xlpm.x,_xlfn.XLOOKUP(tbl_main[[#This Row],[Service]],tbl_service[Service],tbl_service[Profit],""),
               IF(tbl_main[[#This Row],[Qty]]="","",_xlpm.x*tbl_main[[#This Row],[Qty]]))</f>
        <v>67</v>
      </c>
    </row>
    <row r="414" spans="1:14" x14ac:dyDescent="0.25">
      <c r="A414" t="s">
        <v>456</v>
      </c>
      <c r="B414" s="1">
        <v>45788</v>
      </c>
      <c r="C414">
        <f>IF(tbl_main[[#This Row],[Date]]="","",YEAR(B414))</f>
        <v>2025</v>
      </c>
      <c r="D414" t="str">
        <f>IF(tbl_main[[#This Row],[Date]]="","",TEXT(B414,"mmm"))</f>
        <v>May</v>
      </c>
      <c r="E414" t="str">
        <f>IF(tbl_main[[#This Row],[Date]]="","",TEXT(B414,"DDD"))</f>
        <v>Sun</v>
      </c>
      <c r="F414" t="s">
        <v>27</v>
      </c>
      <c r="G414" t="s">
        <v>28</v>
      </c>
      <c r="H414" s="3" t="s">
        <v>22</v>
      </c>
      <c r="I414" s="3" t="s">
        <v>42</v>
      </c>
      <c r="J414" s="3" t="s">
        <v>32</v>
      </c>
      <c r="K414" s="3">
        <f>_xlfn.XLOOKUP(tbl_main[[#This Row],[Service]],tbl_service[Service],tbl_service[Price],"")</f>
        <v>150</v>
      </c>
      <c r="L414" s="3">
        <v>2</v>
      </c>
      <c r="M414" s="3">
        <f>IF(AND(tbl_main[[#This Row],[Price]]="",tbl_main[[#This Row],[Qty]]=""),"",tbl_main[[#This Row],[Price]]*tbl_main[[#This Row],[Qty]])</f>
        <v>300</v>
      </c>
      <c r="N414" s="3">
        <f>_xlfn.LET(_xlpm.x,_xlfn.XLOOKUP(tbl_main[[#This Row],[Service]],tbl_service[Service],tbl_service[Profit],""),
               IF(tbl_main[[#This Row],[Qty]]="","",_xlpm.x*tbl_main[[#This Row],[Qty]]))</f>
        <v>134</v>
      </c>
    </row>
    <row r="415" spans="1:14" x14ac:dyDescent="0.25">
      <c r="A415" t="s">
        <v>457</v>
      </c>
      <c r="B415" s="1">
        <v>45789</v>
      </c>
      <c r="C415">
        <f>IF(tbl_main[[#This Row],[Date]]="","",YEAR(B415))</f>
        <v>2025</v>
      </c>
      <c r="D415" t="str">
        <f>IF(tbl_main[[#This Row],[Date]]="","",TEXT(B415,"mmm"))</f>
        <v>May</v>
      </c>
      <c r="E415" t="str">
        <f>IF(tbl_main[[#This Row],[Date]]="","",TEXT(B415,"DDD"))</f>
        <v>Mon</v>
      </c>
      <c r="F415" t="s">
        <v>30</v>
      </c>
      <c r="G415" t="s">
        <v>36</v>
      </c>
      <c r="H415" s="3" t="s">
        <v>22</v>
      </c>
      <c r="I415" s="3" t="s">
        <v>41</v>
      </c>
      <c r="J415" s="3" t="s">
        <v>25</v>
      </c>
      <c r="K415" s="3">
        <f>_xlfn.XLOOKUP(tbl_main[[#This Row],[Service]],tbl_service[Service],tbl_service[Price],"")</f>
        <v>150</v>
      </c>
      <c r="L415" s="3">
        <v>2</v>
      </c>
      <c r="M415" s="3">
        <f>IF(AND(tbl_main[[#This Row],[Price]]="",tbl_main[[#This Row],[Qty]]=""),"",tbl_main[[#This Row],[Price]]*tbl_main[[#This Row],[Qty]])</f>
        <v>300</v>
      </c>
      <c r="N415" s="3">
        <f>_xlfn.LET(_xlpm.x,_xlfn.XLOOKUP(tbl_main[[#This Row],[Service]],tbl_service[Service],tbl_service[Profit],""),
               IF(tbl_main[[#This Row],[Qty]]="","",_xlpm.x*tbl_main[[#This Row],[Qty]]))</f>
        <v>134</v>
      </c>
    </row>
    <row r="416" spans="1:14" x14ac:dyDescent="0.25">
      <c r="A416" t="s">
        <v>458</v>
      </c>
      <c r="B416" s="1">
        <v>45789</v>
      </c>
      <c r="C416">
        <f>IF(tbl_main[[#This Row],[Date]]="","",YEAR(B416))</f>
        <v>2025</v>
      </c>
      <c r="D416" t="str">
        <f>IF(tbl_main[[#This Row],[Date]]="","",TEXT(B416,"mmm"))</f>
        <v>May</v>
      </c>
      <c r="E416" t="str">
        <f>IF(tbl_main[[#This Row],[Date]]="","",TEXT(B416,"DDD"))</f>
        <v>Mon</v>
      </c>
      <c r="F416" t="s">
        <v>30</v>
      </c>
      <c r="G416" t="s">
        <v>31</v>
      </c>
      <c r="H416" s="3" t="s">
        <v>24</v>
      </c>
      <c r="I416" s="3" t="s">
        <v>41</v>
      </c>
      <c r="J416" s="3" t="s">
        <v>32</v>
      </c>
      <c r="K416" s="3">
        <f>_xlfn.XLOOKUP(tbl_main[[#This Row],[Service]],tbl_service[Service],tbl_service[Price],"")</f>
        <v>80</v>
      </c>
      <c r="L416" s="3">
        <v>1</v>
      </c>
      <c r="M416" s="3">
        <f>IF(AND(tbl_main[[#This Row],[Price]]="",tbl_main[[#This Row],[Qty]]=""),"",tbl_main[[#This Row],[Price]]*tbl_main[[#This Row],[Qty]])</f>
        <v>80</v>
      </c>
      <c r="N416" s="3">
        <f>_xlfn.LET(_xlpm.x,_xlfn.XLOOKUP(tbl_main[[#This Row],[Service]],tbl_service[Service],tbl_service[Profit],""),
               IF(tbl_main[[#This Row],[Qty]]="","",_xlpm.x*tbl_main[[#This Row],[Qty]]))</f>
        <v>36</v>
      </c>
    </row>
    <row r="417" spans="1:14" x14ac:dyDescent="0.25">
      <c r="A417" t="s">
        <v>459</v>
      </c>
      <c r="B417" s="1">
        <v>45789</v>
      </c>
      <c r="C417">
        <f>IF(tbl_main[[#This Row],[Date]]="","",YEAR(B417))</f>
        <v>2025</v>
      </c>
      <c r="D417" t="str">
        <f>IF(tbl_main[[#This Row],[Date]]="","",TEXT(B417,"mmm"))</f>
        <v>May</v>
      </c>
      <c r="E417" t="str">
        <f>IF(tbl_main[[#This Row],[Date]]="","",TEXT(B417,"DDD"))</f>
        <v>Mon</v>
      </c>
      <c r="F417" t="s">
        <v>27</v>
      </c>
      <c r="G417" t="s">
        <v>40</v>
      </c>
      <c r="H417" s="3" t="s">
        <v>18</v>
      </c>
      <c r="I417" s="3" t="s">
        <v>35</v>
      </c>
      <c r="J417" s="3" t="s">
        <v>32</v>
      </c>
      <c r="K417" s="3">
        <f>_xlfn.XLOOKUP(tbl_main[[#This Row],[Service]],tbl_service[Service],tbl_service[Price],"")</f>
        <v>500</v>
      </c>
      <c r="L417" s="3">
        <v>1</v>
      </c>
      <c r="M417" s="3">
        <f>IF(AND(tbl_main[[#This Row],[Price]]="",tbl_main[[#This Row],[Qty]]=""),"",tbl_main[[#This Row],[Price]]*tbl_main[[#This Row],[Qty]])</f>
        <v>500</v>
      </c>
      <c r="N417" s="3">
        <f>_xlfn.LET(_xlpm.x,_xlfn.XLOOKUP(tbl_main[[#This Row],[Service]],tbl_service[Service],tbl_service[Profit],""),
               IF(tbl_main[[#This Row],[Qty]]="","",_xlpm.x*tbl_main[[#This Row],[Qty]]))</f>
        <v>157</v>
      </c>
    </row>
    <row r="418" spans="1:14" x14ac:dyDescent="0.25">
      <c r="A418" t="s">
        <v>460</v>
      </c>
      <c r="B418" s="1">
        <v>45789</v>
      </c>
      <c r="C418">
        <f>IF(tbl_main[[#This Row],[Date]]="","",YEAR(B418))</f>
        <v>2025</v>
      </c>
      <c r="D418" t="str">
        <f>IF(tbl_main[[#This Row],[Date]]="","",TEXT(B418,"mmm"))</f>
        <v>May</v>
      </c>
      <c r="E418" t="str">
        <f>IF(tbl_main[[#This Row],[Date]]="","",TEXT(B418,"DDD"))</f>
        <v>Mon</v>
      </c>
      <c r="F418" t="s">
        <v>27</v>
      </c>
      <c r="G418" t="s">
        <v>40</v>
      </c>
      <c r="H418" s="3" t="s">
        <v>18</v>
      </c>
      <c r="I418" s="3" t="s">
        <v>35</v>
      </c>
      <c r="J418" s="3" t="s">
        <v>32</v>
      </c>
      <c r="K418" s="3">
        <f>_xlfn.XLOOKUP(tbl_main[[#This Row],[Service]],tbl_service[Service],tbl_service[Price],"")</f>
        <v>500</v>
      </c>
      <c r="L418" s="3">
        <v>2</v>
      </c>
      <c r="M418" s="3">
        <f>IF(AND(tbl_main[[#This Row],[Price]]="",tbl_main[[#This Row],[Qty]]=""),"",tbl_main[[#This Row],[Price]]*tbl_main[[#This Row],[Qty]])</f>
        <v>1000</v>
      </c>
      <c r="N418" s="3">
        <f>_xlfn.LET(_xlpm.x,_xlfn.XLOOKUP(tbl_main[[#This Row],[Service]],tbl_service[Service],tbl_service[Profit],""),
               IF(tbl_main[[#This Row],[Qty]]="","",_xlpm.x*tbl_main[[#This Row],[Qty]]))</f>
        <v>314</v>
      </c>
    </row>
    <row r="419" spans="1:14" x14ac:dyDescent="0.25">
      <c r="A419" t="s">
        <v>461</v>
      </c>
      <c r="B419" s="1">
        <v>45790</v>
      </c>
      <c r="C419">
        <f>IF(tbl_main[[#This Row],[Date]]="","",YEAR(B419))</f>
        <v>2025</v>
      </c>
      <c r="D419" t="str">
        <f>IF(tbl_main[[#This Row],[Date]]="","",TEXT(B419,"mmm"))</f>
        <v>May</v>
      </c>
      <c r="E419" t="str">
        <f>IF(tbl_main[[#This Row],[Date]]="","",TEXT(B419,"DDD"))</f>
        <v>Tue</v>
      </c>
      <c r="F419" t="s">
        <v>20</v>
      </c>
      <c r="G419" t="s">
        <v>29</v>
      </c>
      <c r="H419" s="3" t="s">
        <v>34</v>
      </c>
      <c r="I419" s="3" t="s">
        <v>23</v>
      </c>
      <c r="J419" s="3" t="s">
        <v>25</v>
      </c>
      <c r="K419" s="3">
        <f>_xlfn.XLOOKUP(tbl_main[[#This Row],[Service]],tbl_service[Service],tbl_service[Price],"")</f>
        <v>100</v>
      </c>
      <c r="L419" s="3">
        <v>2</v>
      </c>
      <c r="M419" s="3">
        <f>IF(AND(tbl_main[[#This Row],[Price]]="",tbl_main[[#This Row],[Qty]]=""),"",tbl_main[[#This Row],[Price]]*tbl_main[[#This Row],[Qty]])</f>
        <v>200</v>
      </c>
      <c r="N419" s="3">
        <f>_xlfn.LET(_xlpm.x,_xlfn.XLOOKUP(tbl_main[[#This Row],[Service]],tbl_service[Service],tbl_service[Profit],""),
               IF(tbl_main[[#This Row],[Qty]]="","",_xlpm.x*tbl_main[[#This Row],[Qty]]))</f>
        <v>90</v>
      </c>
    </row>
    <row r="420" spans="1:14" x14ac:dyDescent="0.25">
      <c r="A420" t="s">
        <v>462</v>
      </c>
      <c r="B420" s="1">
        <v>45790</v>
      </c>
      <c r="C420">
        <f>IF(tbl_main[[#This Row],[Date]]="","",YEAR(B420))</f>
        <v>2025</v>
      </c>
      <c r="D420" t="str">
        <f>IF(tbl_main[[#This Row],[Date]]="","",TEXT(B420,"mmm"))</f>
        <v>May</v>
      </c>
      <c r="E420" t="str">
        <f>IF(tbl_main[[#This Row],[Date]]="","",TEXT(B420,"DDD"))</f>
        <v>Tue</v>
      </c>
      <c r="F420" t="s">
        <v>27</v>
      </c>
      <c r="G420" t="s">
        <v>28</v>
      </c>
      <c r="H420" s="3" t="s">
        <v>15</v>
      </c>
      <c r="I420" s="3" t="s">
        <v>37</v>
      </c>
      <c r="J420" s="3" t="s">
        <v>17</v>
      </c>
      <c r="K420" s="3">
        <f>_xlfn.XLOOKUP(tbl_main[[#This Row],[Service]],tbl_service[Service],tbl_service[Price],"")</f>
        <v>500</v>
      </c>
      <c r="L420" s="3">
        <v>2</v>
      </c>
      <c r="M420" s="3">
        <f>IF(AND(tbl_main[[#This Row],[Price]]="",tbl_main[[#This Row],[Qty]]=""),"",tbl_main[[#This Row],[Price]]*tbl_main[[#This Row],[Qty]])</f>
        <v>1000</v>
      </c>
      <c r="N420" s="3">
        <f>_xlfn.LET(_xlpm.x,_xlfn.XLOOKUP(tbl_main[[#This Row],[Service]],tbl_service[Service],tbl_service[Profit],""),
               IF(tbl_main[[#This Row],[Qty]]="","",_xlpm.x*tbl_main[[#This Row],[Qty]]))</f>
        <v>450</v>
      </c>
    </row>
    <row r="421" spans="1:14" x14ac:dyDescent="0.25">
      <c r="A421" t="s">
        <v>463</v>
      </c>
      <c r="B421" s="1">
        <v>45790</v>
      </c>
      <c r="C421">
        <f>IF(tbl_main[[#This Row],[Date]]="","",YEAR(B421))</f>
        <v>2025</v>
      </c>
      <c r="D421" t="str">
        <f>IF(tbl_main[[#This Row],[Date]]="","",TEXT(B421,"mmm"))</f>
        <v>May</v>
      </c>
      <c r="E421" t="str">
        <f>IF(tbl_main[[#This Row],[Date]]="","",TEXT(B421,"DDD"))</f>
        <v>Tue</v>
      </c>
      <c r="F421" t="s">
        <v>20</v>
      </c>
      <c r="G421" t="s">
        <v>21</v>
      </c>
      <c r="H421" s="3" t="s">
        <v>22</v>
      </c>
      <c r="I421" s="3" t="s">
        <v>38</v>
      </c>
      <c r="J421" s="3" t="s">
        <v>32</v>
      </c>
      <c r="K421" s="3">
        <f>_xlfn.XLOOKUP(tbl_main[[#This Row],[Service]],tbl_service[Service],tbl_service[Price],"")</f>
        <v>150</v>
      </c>
      <c r="L421" s="3">
        <v>2</v>
      </c>
      <c r="M421" s="3">
        <f>IF(AND(tbl_main[[#This Row],[Price]]="",tbl_main[[#This Row],[Qty]]=""),"",tbl_main[[#This Row],[Price]]*tbl_main[[#This Row],[Qty]])</f>
        <v>300</v>
      </c>
      <c r="N421" s="3">
        <f>_xlfn.LET(_xlpm.x,_xlfn.XLOOKUP(tbl_main[[#This Row],[Service]],tbl_service[Service],tbl_service[Profit],""),
               IF(tbl_main[[#This Row],[Qty]]="","",_xlpm.x*tbl_main[[#This Row],[Qty]]))</f>
        <v>134</v>
      </c>
    </row>
    <row r="422" spans="1:14" x14ac:dyDescent="0.25">
      <c r="A422" t="s">
        <v>464</v>
      </c>
      <c r="B422" s="1">
        <v>45791</v>
      </c>
      <c r="C422">
        <f>IF(tbl_main[[#This Row],[Date]]="","",YEAR(B422))</f>
        <v>2025</v>
      </c>
      <c r="D422" t="str">
        <f>IF(tbl_main[[#This Row],[Date]]="","",TEXT(B422,"mmm"))</f>
        <v>May</v>
      </c>
      <c r="E422" t="str">
        <f>IF(tbl_main[[#This Row],[Date]]="","",TEXT(B422,"DDD"))</f>
        <v>Wed</v>
      </c>
      <c r="F422" t="s">
        <v>27</v>
      </c>
      <c r="G422" t="s">
        <v>28</v>
      </c>
      <c r="H422" s="3" t="s">
        <v>34</v>
      </c>
      <c r="I422" s="3" t="s">
        <v>16</v>
      </c>
      <c r="J422" s="3" t="s">
        <v>17</v>
      </c>
      <c r="K422" s="3">
        <f>_xlfn.XLOOKUP(tbl_main[[#This Row],[Service]],tbl_service[Service],tbl_service[Price],"")</f>
        <v>100</v>
      </c>
      <c r="L422" s="3">
        <v>2</v>
      </c>
      <c r="M422" s="3">
        <f>IF(AND(tbl_main[[#This Row],[Price]]="",tbl_main[[#This Row],[Qty]]=""),"",tbl_main[[#This Row],[Price]]*tbl_main[[#This Row],[Qty]])</f>
        <v>200</v>
      </c>
      <c r="N422" s="3">
        <f>_xlfn.LET(_xlpm.x,_xlfn.XLOOKUP(tbl_main[[#This Row],[Service]],tbl_service[Service],tbl_service[Profit],""),
               IF(tbl_main[[#This Row],[Qty]]="","",_xlpm.x*tbl_main[[#This Row],[Qty]]))</f>
        <v>90</v>
      </c>
    </row>
    <row r="423" spans="1:14" x14ac:dyDescent="0.25">
      <c r="A423" t="s">
        <v>465</v>
      </c>
      <c r="B423" s="1">
        <v>45791</v>
      </c>
      <c r="C423">
        <f>IF(tbl_main[[#This Row],[Date]]="","",YEAR(B423))</f>
        <v>2025</v>
      </c>
      <c r="D423" t="str">
        <f>IF(tbl_main[[#This Row],[Date]]="","",TEXT(B423,"mmm"))</f>
        <v>May</v>
      </c>
      <c r="E423" t="str">
        <f>IF(tbl_main[[#This Row],[Date]]="","",TEXT(B423,"DDD"))</f>
        <v>Wed</v>
      </c>
      <c r="F423" t="s">
        <v>27</v>
      </c>
      <c r="G423" t="s">
        <v>40</v>
      </c>
      <c r="H423" s="3" t="s">
        <v>15</v>
      </c>
      <c r="I423" s="3" t="s">
        <v>19</v>
      </c>
      <c r="J423" s="3" t="s">
        <v>17</v>
      </c>
      <c r="K423" s="3">
        <f>_xlfn.XLOOKUP(tbl_main[[#This Row],[Service]],tbl_service[Service],tbl_service[Price],"")</f>
        <v>500</v>
      </c>
      <c r="L423" s="3">
        <v>1</v>
      </c>
      <c r="M423" s="3">
        <f>IF(AND(tbl_main[[#This Row],[Price]]="",tbl_main[[#This Row],[Qty]]=""),"",tbl_main[[#This Row],[Price]]*tbl_main[[#This Row],[Qty]])</f>
        <v>500</v>
      </c>
      <c r="N423" s="3">
        <f>_xlfn.LET(_xlpm.x,_xlfn.XLOOKUP(tbl_main[[#This Row],[Service]],tbl_service[Service],tbl_service[Profit],""),
               IF(tbl_main[[#This Row],[Qty]]="","",_xlpm.x*tbl_main[[#This Row],[Qty]]))</f>
        <v>225</v>
      </c>
    </row>
    <row r="424" spans="1:14" x14ac:dyDescent="0.25">
      <c r="A424" t="s">
        <v>466</v>
      </c>
      <c r="B424" s="1">
        <v>45792</v>
      </c>
      <c r="C424">
        <f>IF(tbl_main[[#This Row],[Date]]="","",YEAR(B424))</f>
        <v>2025</v>
      </c>
      <c r="D424" t="str">
        <f>IF(tbl_main[[#This Row],[Date]]="","",TEXT(B424,"mmm"))</f>
        <v>May</v>
      </c>
      <c r="E424" t="str">
        <f>IF(tbl_main[[#This Row],[Date]]="","",TEXT(B424,"DDD"))</f>
        <v>Thu</v>
      </c>
      <c r="F424" t="s">
        <v>27</v>
      </c>
      <c r="G424" t="s">
        <v>28</v>
      </c>
      <c r="H424" s="3" t="s">
        <v>22</v>
      </c>
      <c r="I424" s="3" t="s">
        <v>42</v>
      </c>
      <c r="J424" s="3" t="s">
        <v>17</v>
      </c>
      <c r="K424" s="3">
        <f>_xlfn.XLOOKUP(tbl_main[[#This Row],[Service]],tbl_service[Service],tbl_service[Price],"")</f>
        <v>150</v>
      </c>
      <c r="L424" s="3">
        <v>2</v>
      </c>
      <c r="M424" s="3">
        <f>IF(AND(tbl_main[[#This Row],[Price]]="",tbl_main[[#This Row],[Qty]]=""),"",tbl_main[[#This Row],[Price]]*tbl_main[[#This Row],[Qty]])</f>
        <v>300</v>
      </c>
      <c r="N424" s="3">
        <f>_xlfn.LET(_xlpm.x,_xlfn.XLOOKUP(tbl_main[[#This Row],[Service]],tbl_service[Service],tbl_service[Profit],""),
               IF(tbl_main[[#This Row],[Qty]]="","",_xlpm.x*tbl_main[[#This Row],[Qty]]))</f>
        <v>134</v>
      </c>
    </row>
    <row r="425" spans="1:14" x14ac:dyDescent="0.25">
      <c r="A425" t="s">
        <v>467</v>
      </c>
      <c r="B425" s="1">
        <v>45792</v>
      </c>
      <c r="C425">
        <f>IF(tbl_main[[#This Row],[Date]]="","",YEAR(B425))</f>
        <v>2025</v>
      </c>
      <c r="D425" t="str">
        <f>IF(tbl_main[[#This Row],[Date]]="","",TEXT(B425,"mmm"))</f>
        <v>May</v>
      </c>
      <c r="E425" t="str">
        <f>IF(tbl_main[[#This Row],[Date]]="","",TEXT(B425,"DDD"))</f>
        <v>Thu</v>
      </c>
      <c r="F425" t="s">
        <v>30</v>
      </c>
      <c r="G425" t="s">
        <v>31</v>
      </c>
      <c r="H425" s="3" t="s">
        <v>34</v>
      </c>
      <c r="I425" s="3" t="s">
        <v>41</v>
      </c>
      <c r="J425" s="3" t="s">
        <v>25</v>
      </c>
      <c r="K425" s="3">
        <f>_xlfn.XLOOKUP(tbl_main[[#This Row],[Service]],tbl_service[Service],tbl_service[Price],"")</f>
        <v>100</v>
      </c>
      <c r="L425" s="3">
        <v>2</v>
      </c>
      <c r="M425" s="3">
        <f>IF(AND(tbl_main[[#This Row],[Price]]="",tbl_main[[#This Row],[Qty]]=""),"",tbl_main[[#This Row],[Price]]*tbl_main[[#This Row],[Qty]])</f>
        <v>200</v>
      </c>
      <c r="N425" s="3">
        <f>_xlfn.LET(_xlpm.x,_xlfn.XLOOKUP(tbl_main[[#This Row],[Service]],tbl_service[Service],tbl_service[Profit],""),
               IF(tbl_main[[#This Row],[Qty]]="","",_xlpm.x*tbl_main[[#This Row],[Qty]]))</f>
        <v>90</v>
      </c>
    </row>
    <row r="426" spans="1:14" x14ac:dyDescent="0.25">
      <c r="A426" t="s">
        <v>468</v>
      </c>
      <c r="B426" s="1">
        <v>45793</v>
      </c>
      <c r="C426">
        <f>IF(tbl_main[[#This Row],[Date]]="","",YEAR(B426))</f>
        <v>2025</v>
      </c>
      <c r="D426" t="str">
        <f>IF(tbl_main[[#This Row],[Date]]="","",TEXT(B426,"mmm"))</f>
        <v>May</v>
      </c>
      <c r="E426" t="str">
        <f>IF(tbl_main[[#This Row],[Date]]="","",TEXT(B426,"DDD"))</f>
        <v>Fri</v>
      </c>
      <c r="F426" t="s">
        <v>27</v>
      </c>
      <c r="G426" t="s">
        <v>28</v>
      </c>
      <c r="H426" s="3" t="s">
        <v>34</v>
      </c>
      <c r="I426" s="3" t="s">
        <v>41</v>
      </c>
      <c r="J426" s="3" t="s">
        <v>17</v>
      </c>
      <c r="K426" s="3">
        <f>_xlfn.XLOOKUP(tbl_main[[#This Row],[Service]],tbl_service[Service],tbl_service[Price],"")</f>
        <v>100</v>
      </c>
      <c r="L426" s="3">
        <v>1</v>
      </c>
      <c r="M426" s="3">
        <f>IF(AND(tbl_main[[#This Row],[Price]]="",tbl_main[[#This Row],[Qty]]=""),"",tbl_main[[#This Row],[Price]]*tbl_main[[#This Row],[Qty]])</f>
        <v>100</v>
      </c>
      <c r="N426" s="3">
        <f>_xlfn.LET(_xlpm.x,_xlfn.XLOOKUP(tbl_main[[#This Row],[Service]],tbl_service[Service],tbl_service[Profit],""),
               IF(tbl_main[[#This Row],[Qty]]="","",_xlpm.x*tbl_main[[#This Row],[Qty]]))</f>
        <v>45</v>
      </c>
    </row>
    <row r="427" spans="1:14" x14ac:dyDescent="0.25">
      <c r="A427" t="s">
        <v>469</v>
      </c>
      <c r="B427" s="1">
        <v>45793</v>
      </c>
      <c r="C427">
        <f>IF(tbl_main[[#This Row],[Date]]="","",YEAR(B427))</f>
        <v>2025</v>
      </c>
      <c r="D427" t="str">
        <f>IF(tbl_main[[#This Row],[Date]]="","",TEXT(B427,"mmm"))</f>
        <v>May</v>
      </c>
      <c r="E427" t="str">
        <f>IF(tbl_main[[#This Row],[Date]]="","",TEXT(B427,"DDD"))</f>
        <v>Fri</v>
      </c>
      <c r="F427" t="s">
        <v>20</v>
      </c>
      <c r="G427" t="s">
        <v>21</v>
      </c>
      <c r="H427" s="3" t="s">
        <v>34</v>
      </c>
      <c r="I427" s="3" t="s">
        <v>35</v>
      </c>
      <c r="J427" s="3" t="s">
        <v>17</v>
      </c>
      <c r="K427" s="3">
        <f>_xlfn.XLOOKUP(tbl_main[[#This Row],[Service]],tbl_service[Service],tbl_service[Price],"")</f>
        <v>100</v>
      </c>
      <c r="L427" s="3">
        <v>1</v>
      </c>
      <c r="M427" s="3">
        <f>IF(AND(tbl_main[[#This Row],[Price]]="",tbl_main[[#This Row],[Qty]]=""),"",tbl_main[[#This Row],[Price]]*tbl_main[[#This Row],[Qty]])</f>
        <v>100</v>
      </c>
      <c r="N427" s="3">
        <f>_xlfn.LET(_xlpm.x,_xlfn.XLOOKUP(tbl_main[[#This Row],[Service]],tbl_service[Service],tbl_service[Profit],""),
               IF(tbl_main[[#This Row],[Qty]]="","",_xlpm.x*tbl_main[[#This Row],[Qty]]))</f>
        <v>45</v>
      </c>
    </row>
    <row r="428" spans="1:14" x14ac:dyDescent="0.25">
      <c r="A428" t="s">
        <v>470</v>
      </c>
      <c r="B428" s="1">
        <v>45793</v>
      </c>
      <c r="C428">
        <f>IF(tbl_main[[#This Row],[Date]]="","",YEAR(B428))</f>
        <v>2025</v>
      </c>
      <c r="D428" t="str">
        <f>IF(tbl_main[[#This Row],[Date]]="","",TEXT(B428,"mmm"))</f>
        <v>May</v>
      </c>
      <c r="E428" t="str">
        <f>IF(tbl_main[[#This Row],[Date]]="","",TEXT(B428,"DDD"))</f>
        <v>Fri</v>
      </c>
      <c r="F428" t="s">
        <v>13</v>
      </c>
      <c r="G428" t="s">
        <v>33</v>
      </c>
      <c r="H428" s="3" t="s">
        <v>15</v>
      </c>
      <c r="I428" s="3" t="s">
        <v>35</v>
      </c>
      <c r="J428" s="3" t="s">
        <v>32</v>
      </c>
      <c r="K428" s="3">
        <f>_xlfn.XLOOKUP(tbl_main[[#This Row],[Service]],tbl_service[Service],tbl_service[Price],"")</f>
        <v>500</v>
      </c>
      <c r="L428" s="3">
        <v>1</v>
      </c>
      <c r="M428" s="3">
        <f>IF(AND(tbl_main[[#This Row],[Price]]="",tbl_main[[#This Row],[Qty]]=""),"",tbl_main[[#This Row],[Price]]*tbl_main[[#This Row],[Qty]])</f>
        <v>500</v>
      </c>
      <c r="N428" s="3">
        <f>_xlfn.LET(_xlpm.x,_xlfn.XLOOKUP(tbl_main[[#This Row],[Service]],tbl_service[Service],tbl_service[Profit],""),
               IF(tbl_main[[#This Row],[Qty]]="","",_xlpm.x*tbl_main[[#This Row],[Qty]]))</f>
        <v>225</v>
      </c>
    </row>
    <row r="429" spans="1:14" x14ac:dyDescent="0.25">
      <c r="A429" t="s">
        <v>471</v>
      </c>
      <c r="B429" s="1">
        <v>45794</v>
      </c>
      <c r="C429">
        <f>IF(tbl_main[[#This Row],[Date]]="","",YEAR(B429))</f>
        <v>2025</v>
      </c>
      <c r="D429" t="str">
        <f>IF(tbl_main[[#This Row],[Date]]="","",TEXT(B429,"mmm"))</f>
        <v>May</v>
      </c>
      <c r="E429" t="str">
        <f>IF(tbl_main[[#This Row],[Date]]="","",TEXT(B429,"DDD"))</f>
        <v>Sat</v>
      </c>
      <c r="F429" t="s">
        <v>30</v>
      </c>
      <c r="G429" t="s">
        <v>36</v>
      </c>
      <c r="H429" s="3" t="s">
        <v>26</v>
      </c>
      <c r="I429" s="3" t="s">
        <v>23</v>
      </c>
      <c r="J429" s="3" t="s">
        <v>32</v>
      </c>
      <c r="K429" s="3">
        <f>_xlfn.XLOOKUP(tbl_main[[#This Row],[Service]],tbl_service[Service],tbl_service[Price],"")</f>
        <v>200</v>
      </c>
      <c r="L429" s="3">
        <v>1</v>
      </c>
      <c r="M429" s="3">
        <f>IF(AND(tbl_main[[#This Row],[Price]]="",tbl_main[[#This Row],[Qty]]=""),"",tbl_main[[#This Row],[Price]]*tbl_main[[#This Row],[Qty]])</f>
        <v>200</v>
      </c>
      <c r="N429" s="3">
        <f>_xlfn.LET(_xlpm.x,_xlfn.XLOOKUP(tbl_main[[#This Row],[Service]],tbl_service[Service],tbl_service[Profit],""),
               IF(tbl_main[[#This Row],[Qty]]="","",_xlpm.x*tbl_main[[#This Row],[Qty]]))</f>
        <v>90</v>
      </c>
    </row>
    <row r="430" spans="1:14" x14ac:dyDescent="0.25">
      <c r="A430" t="s">
        <v>472</v>
      </c>
      <c r="B430" s="1">
        <v>45794</v>
      </c>
      <c r="C430">
        <f>IF(tbl_main[[#This Row],[Date]]="","",YEAR(B430))</f>
        <v>2025</v>
      </c>
      <c r="D430" t="str">
        <f>IF(tbl_main[[#This Row],[Date]]="","",TEXT(B430,"mmm"))</f>
        <v>May</v>
      </c>
      <c r="E430" t="str">
        <f>IF(tbl_main[[#This Row],[Date]]="","",TEXT(B430,"DDD"))</f>
        <v>Sat</v>
      </c>
      <c r="F430" t="s">
        <v>13</v>
      </c>
      <c r="G430" t="s">
        <v>14</v>
      </c>
      <c r="H430" s="3" t="s">
        <v>26</v>
      </c>
      <c r="I430" s="3" t="s">
        <v>37</v>
      </c>
      <c r="J430" s="3" t="s">
        <v>25</v>
      </c>
      <c r="K430" s="3">
        <f>_xlfn.XLOOKUP(tbl_main[[#This Row],[Service]],tbl_service[Service],tbl_service[Price],"")</f>
        <v>200</v>
      </c>
      <c r="L430" s="3">
        <v>2</v>
      </c>
      <c r="M430" s="3">
        <f>IF(AND(tbl_main[[#This Row],[Price]]="",tbl_main[[#This Row],[Qty]]=""),"",tbl_main[[#This Row],[Price]]*tbl_main[[#This Row],[Qty]])</f>
        <v>400</v>
      </c>
      <c r="N430" s="3">
        <f>_xlfn.LET(_xlpm.x,_xlfn.XLOOKUP(tbl_main[[#This Row],[Service]],tbl_service[Service],tbl_service[Profit],""),
               IF(tbl_main[[#This Row],[Qty]]="","",_xlpm.x*tbl_main[[#This Row],[Qty]]))</f>
        <v>180</v>
      </c>
    </row>
    <row r="431" spans="1:14" x14ac:dyDescent="0.25">
      <c r="A431" t="s">
        <v>473</v>
      </c>
      <c r="B431" s="1">
        <v>45794</v>
      </c>
      <c r="C431">
        <f>IF(tbl_main[[#This Row],[Date]]="","",YEAR(B431))</f>
        <v>2025</v>
      </c>
      <c r="D431" t="str">
        <f>IF(tbl_main[[#This Row],[Date]]="","",TEXT(B431,"mmm"))</f>
        <v>May</v>
      </c>
      <c r="E431" t="str">
        <f>IF(tbl_main[[#This Row],[Date]]="","",TEXT(B431,"DDD"))</f>
        <v>Sat</v>
      </c>
      <c r="F431" t="s">
        <v>30</v>
      </c>
      <c r="G431" t="s">
        <v>31</v>
      </c>
      <c r="H431" s="3" t="s">
        <v>15</v>
      </c>
      <c r="I431" s="3" t="s">
        <v>38</v>
      </c>
      <c r="J431" s="3" t="s">
        <v>17</v>
      </c>
      <c r="K431" s="3">
        <f>_xlfn.XLOOKUP(tbl_main[[#This Row],[Service]],tbl_service[Service],tbl_service[Price],"")</f>
        <v>500</v>
      </c>
      <c r="L431" s="3">
        <v>1</v>
      </c>
      <c r="M431" s="3">
        <f>IF(AND(tbl_main[[#This Row],[Price]]="",tbl_main[[#This Row],[Qty]]=""),"",tbl_main[[#This Row],[Price]]*tbl_main[[#This Row],[Qty]])</f>
        <v>500</v>
      </c>
      <c r="N431" s="3">
        <f>_xlfn.LET(_xlpm.x,_xlfn.XLOOKUP(tbl_main[[#This Row],[Service]],tbl_service[Service],tbl_service[Profit],""),
               IF(tbl_main[[#This Row],[Qty]]="","",_xlpm.x*tbl_main[[#This Row],[Qty]]))</f>
        <v>225</v>
      </c>
    </row>
    <row r="432" spans="1:14" x14ac:dyDescent="0.25">
      <c r="A432" t="s">
        <v>474</v>
      </c>
      <c r="B432" s="1">
        <v>45794</v>
      </c>
      <c r="C432">
        <f>IF(tbl_main[[#This Row],[Date]]="","",YEAR(B432))</f>
        <v>2025</v>
      </c>
      <c r="D432" t="str">
        <f>IF(tbl_main[[#This Row],[Date]]="","",TEXT(B432,"mmm"))</f>
        <v>May</v>
      </c>
      <c r="E432" t="str">
        <f>IF(tbl_main[[#This Row],[Date]]="","",TEXT(B432,"DDD"))</f>
        <v>Sat</v>
      </c>
      <c r="F432" t="s">
        <v>13</v>
      </c>
      <c r="G432" t="s">
        <v>33</v>
      </c>
      <c r="H432" s="3" t="s">
        <v>18</v>
      </c>
      <c r="I432" s="3" t="s">
        <v>16</v>
      </c>
      <c r="J432" s="3" t="s">
        <v>32</v>
      </c>
      <c r="K432" s="3">
        <f>_xlfn.XLOOKUP(tbl_main[[#This Row],[Service]],tbl_service[Service],tbl_service[Price],"")</f>
        <v>500</v>
      </c>
      <c r="L432" s="3">
        <v>2</v>
      </c>
      <c r="M432" s="3">
        <f>IF(AND(tbl_main[[#This Row],[Price]]="",tbl_main[[#This Row],[Qty]]=""),"",tbl_main[[#This Row],[Price]]*tbl_main[[#This Row],[Qty]])</f>
        <v>1000</v>
      </c>
      <c r="N432" s="3">
        <f>_xlfn.LET(_xlpm.x,_xlfn.XLOOKUP(tbl_main[[#This Row],[Service]],tbl_service[Service],tbl_service[Profit],""),
               IF(tbl_main[[#This Row],[Qty]]="","",_xlpm.x*tbl_main[[#This Row],[Qty]]))</f>
        <v>314</v>
      </c>
    </row>
    <row r="433" spans="1:14" x14ac:dyDescent="0.25">
      <c r="A433" t="s">
        <v>475</v>
      </c>
      <c r="B433" s="1">
        <v>45795</v>
      </c>
      <c r="C433">
        <f>IF(tbl_main[[#This Row],[Date]]="","",YEAR(B433))</f>
        <v>2025</v>
      </c>
      <c r="D433" t="str">
        <f>IF(tbl_main[[#This Row],[Date]]="","",TEXT(B433,"mmm"))</f>
        <v>May</v>
      </c>
      <c r="E433" t="str">
        <f>IF(tbl_main[[#This Row],[Date]]="","",TEXT(B433,"DDD"))</f>
        <v>Sun</v>
      </c>
      <c r="F433" t="s">
        <v>27</v>
      </c>
      <c r="G433" t="s">
        <v>40</v>
      </c>
      <c r="H433" s="3" t="s">
        <v>15</v>
      </c>
      <c r="I433" s="3" t="s">
        <v>19</v>
      </c>
      <c r="J433" s="3" t="s">
        <v>25</v>
      </c>
      <c r="K433" s="3">
        <f>_xlfn.XLOOKUP(tbl_main[[#This Row],[Service]],tbl_service[Service],tbl_service[Price],"")</f>
        <v>500</v>
      </c>
      <c r="L433" s="3">
        <v>1</v>
      </c>
      <c r="M433" s="3">
        <f>IF(AND(tbl_main[[#This Row],[Price]]="",tbl_main[[#This Row],[Qty]]=""),"",tbl_main[[#This Row],[Price]]*tbl_main[[#This Row],[Qty]])</f>
        <v>500</v>
      </c>
      <c r="N433" s="3">
        <f>_xlfn.LET(_xlpm.x,_xlfn.XLOOKUP(tbl_main[[#This Row],[Service]],tbl_service[Service],tbl_service[Profit],""),
               IF(tbl_main[[#This Row],[Qty]]="","",_xlpm.x*tbl_main[[#This Row],[Qty]]))</f>
        <v>225</v>
      </c>
    </row>
    <row r="434" spans="1:14" x14ac:dyDescent="0.25">
      <c r="A434" t="s">
        <v>476</v>
      </c>
      <c r="B434" s="1">
        <v>45795</v>
      </c>
      <c r="C434">
        <f>IF(tbl_main[[#This Row],[Date]]="","",YEAR(B434))</f>
        <v>2025</v>
      </c>
      <c r="D434" t="str">
        <f>IF(tbl_main[[#This Row],[Date]]="","",TEXT(B434,"mmm"))</f>
        <v>May</v>
      </c>
      <c r="E434" t="str">
        <f>IF(tbl_main[[#This Row],[Date]]="","",TEXT(B434,"DDD"))</f>
        <v>Sun</v>
      </c>
      <c r="F434" t="s">
        <v>27</v>
      </c>
      <c r="G434" t="s">
        <v>28</v>
      </c>
      <c r="H434" s="3" t="s">
        <v>15</v>
      </c>
      <c r="I434" s="3" t="s">
        <v>42</v>
      </c>
      <c r="J434" s="3" t="s">
        <v>32</v>
      </c>
      <c r="K434" s="3">
        <f>_xlfn.XLOOKUP(tbl_main[[#This Row],[Service]],tbl_service[Service],tbl_service[Price],"")</f>
        <v>500</v>
      </c>
      <c r="L434" s="3">
        <v>2</v>
      </c>
      <c r="M434" s="3">
        <f>IF(AND(tbl_main[[#This Row],[Price]]="",tbl_main[[#This Row],[Qty]]=""),"",tbl_main[[#This Row],[Price]]*tbl_main[[#This Row],[Qty]])</f>
        <v>1000</v>
      </c>
      <c r="N434" s="3">
        <f>_xlfn.LET(_xlpm.x,_xlfn.XLOOKUP(tbl_main[[#This Row],[Service]],tbl_service[Service],tbl_service[Profit],""),
               IF(tbl_main[[#This Row],[Qty]]="","",_xlpm.x*tbl_main[[#This Row],[Qty]]))</f>
        <v>450</v>
      </c>
    </row>
    <row r="435" spans="1:14" x14ac:dyDescent="0.25">
      <c r="A435" t="s">
        <v>477</v>
      </c>
      <c r="B435" s="1">
        <v>45795</v>
      </c>
      <c r="C435">
        <f>IF(tbl_main[[#This Row],[Date]]="","",YEAR(B435))</f>
        <v>2025</v>
      </c>
      <c r="D435" t="str">
        <f>IF(tbl_main[[#This Row],[Date]]="","",TEXT(B435,"mmm"))</f>
        <v>May</v>
      </c>
      <c r="E435" t="str">
        <f>IF(tbl_main[[#This Row],[Date]]="","",TEXT(B435,"DDD"))</f>
        <v>Sun</v>
      </c>
      <c r="F435" t="s">
        <v>30</v>
      </c>
      <c r="G435" t="s">
        <v>36</v>
      </c>
      <c r="H435" s="3" t="s">
        <v>15</v>
      </c>
      <c r="I435" s="3" t="s">
        <v>41</v>
      </c>
      <c r="J435" s="3" t="s">
        <v>17</v>
      </c>
      <c r="K435" s="3">
        <f>_xlfn.XLOOKUP(tbl_main[[#This Row],[Service]],tbl_service[Service],tbl_service[Price],"")</f>
        <v>500</v>
      </c>
      <c r="L435" s="3">
        <v>1</v>
      </c>
      <c r="M435" s="3">
        <f>IF(AND(tbl_main[[#This Row],[Price]]="",tbl_main[[#This Row],[Qty]]=""),"",tbl_main[[#This Row],[Price]]*tbl_main[[#This Row],[Qty]])</f>
        <v>500</v>
      </c>
      <c r="N435" s="3">
        <f>_xlfn.LET(_xlpm.x,_xlfn.XLOOKUP(tbl_main[[#This Row],[Service]],tbl_service[Service],tbl_service[Profit],""),
               IF(tbl_main[[#This Row],[Qty]]="","",_xlpm.x*tbl_main[[#This Row],[Qty]]))</f>
        <v>225</v>
      </c>
    </row>
    <row r="436" spans="1:14" x14ac:dyDescent="0.25">
      <c r="A436" t="s">
        <v>478</v>
      </c>
      <c r="B436" s="1">
        <v>45795</v>
      </c>
      <c r="C436">
        <f>IF(tbl_main[[#This Row],[Date]]="","",YEAR(B436))</f>
        <v>2025</v>
      </c>
      <c r="D436" t="str">
        <f>IF(tbl_main[[#This Row],[Date]]="","",TEXT(B436,"mmm"))</f>
        <v>May</v>
      </c>
      <c r="E436" t="str">
        <f>IF(tbl_main[[#This Row],[Date]]="","",TEXT(B436,"DDD"))</f>
        <v>Sun</v>
      </c>
      <c r="F436" t="s">
        <v>27</v>
      </c>
      <c r="G436" t="s">
        <v>28</v>
      </c>
      <c r="H436" s="3" t="s">
        <v>18</v>
      </c>
      <c r="I436" s="3" t="s">
        <v>41</v>
      </c>
      <c r="J436" s="3" t="s">
        <v>17</v>
      </c>
      <c r="K436" s="3">
        <f>_xlfn.XLOOKUP(tbl_main[[#This Row],[Service]],tbl_service[Service],tbl_service[Price],"")</f>
        <v>500</v>
      </c>
      <c r="L436" s="3">
        <v>2</v>
      </c>
      <c r="M436" s="3">
        <f>IF(AND(tbl_main[[#This Row],[Price]]="",tbl_main[[#This Row],[Qty]]=""),"",tbl_main[[#This Row],[Price]]*tbl_main[[#This Row],[Qty]])</f>
        <v>1000</v>
      </c>
      <c r="N436" s="3">
        <f>_xlfn.LET(_xlpm.x,_xlfn.XLOOKUP(tbl_main[[#This Row],[Service]],tbl_service[Service],tbl_service[Profit],""),
               IF(tbl_main[[#This Row],[Qty]]="","",_xlpm.x*tbl_main[[#This Row],[Qty]]))</f>
        <v>314</v>
      </c>
    </row>
    <row r="437" spans="1:14" x14ac:dyDescent="0.25">
      <c r="A437" t="s">
        <v>479</v>
      </c>
      <c r="B437" s="1">
        <v>45796</v>
      </c>
      <c r="C437">
        <f>IF(tbl_main[[#This Row],[Date]]="","",YEAR(B437))</f>
        <v>2025</v>
      </c>
      <c r="D437" t="str">
        <f>IF(tbl_main[[#This Row],[Date]]="","",TEXT(B437,"mmm"))</f>
        <v>May</v>
      </c>
      <c r="E437" t="str">
        <f>IF(tbl_main[[#This Row],[Date]]="","",TEXT(B437,"DDD"))</f>
        <v>Mon</v>
      </c>
      <c r="F437" t="s">
        <v>30</v>
      </c>
      <c r="G437" t="s">
        <v>36</v>
      </c>
      <c r="H437" s="3" t="s">
        <v>15</v>
      </c>
      <c r="I437" s="3" t="s">
        <v>35</v>
      </c>
      <c r="J437" s="3" t="s">
        <v>25</v>
      </c>
      <c r="K437" s="3">
        <f>_xlfn.XLOOKUP(tbl_main[[#This Row],[Service]],tbl_service[Service],tbl_service[Price],"")</f>
        <v>500</v>
      </c>
      <c r="L437" s="3">
        <v>1</v>
      </c>
      <c r="M437" s="3">
        <f>IF(AND(tbl_main[[#This Row],[Price]]="",tbl_main[[#This Row],[Qty]]=""),"",tbl_main[[#This Row],[Price]]*tbl_main[[#This Row],[Qty]])</f>
        <v>500</v>
      </c>
      <c r="N437" s="3">
        <f>_xlfn.LET(_xlpm.x,_xlfn.XLOOKUP(tbl_main[[#This Row],[Service]],tbl_service[Service],tbl_service[Profit],""),
               IF(tbl_main[[#This Row],[Qty]]="","",_xlpm.x*tbl_main[[#This Row],[Qty]]))</f>
        <v>225</v>
      </c>
    </row>
    <row r="438" spans="1:14" x14ac:dyDescent="0.25">
      <c r="A438" t="s">
        <v>480</v>
      </c>
      <c r="B438" s="1">
        <v>45796</v>
      </c>
      <c r="C438">
        <f>IF(tbl_main[[#This Row],[Date]]="","",YEAR(B438))</f>
        <v>2025</v>
      </c>
      <c r="D438" t="str">
        <f>IF(tbl_main[[#This Row],[Date]]="","",TEXT(B438,"mmm"))</f>
        <v>May</v>
      </c>
      <c r="E438" t="str">
        <f>IF(tbl_main[[#This Row],[Date]]="","",TEXT(B438,"DDD"))</f>
        <v>Mon</v>
      </c>
      <c r="F438" t="s">
        <v>30</v>
      </c>
      <c r="G438" t="s">
        <v>31</v>
      </c>
      <c r="H438" s="3" t="s">
        <v>15</v>
      </c>
      <c r="I438" s="3" t="s">
        <v>35</v>
      </c>
      <c r="J438" s="3" t="s">
        <v>17</v>
      </c>
      <c r="K438" s="3">
        <f>_xlfn.XLOOKUP(tbl_main[[#This Row],[Service]],tbl_service[Service],tbl_service[Price],"")</f>
        <v>500</v>
      </c>
      <c r="L438" s="3">
        <v>1</v>
      </c>
      <c r="M438" s="3">
        <f>IF(AND(tbl_main[[#This Row],[Price]]="",tbl_main[[#This Row],[Qty]]=""),"",tbl_main[[#This Row],[Price]]*tbl_main[[#This Row],[Qty]])</f>
        <v>500</v>
      </c>
      <c r="N438" s="3">
        <f>_xlfn.LET(_xlpm.x,_xlfn.XLOOKUP(tbl_main[[#This Row],[Service]],tbl_service[Service],tbl_service[Profit],""),
               IF(tbl_main[[#This Row],[Qty]]="","",_xlpm.x*tbl_main[[#This Row],[Qty]]))</f>
        <v>225</v>
      </c>
    </row>
    <row r="439" spans="1:14" x14ac:dyDescent="0.25">
      <c r="A439" t="s">
        <v>481</v>
      </c>
      <c r="B439" s="1">
        <v>45797</v>
      </c>
      <c r="C439">
        <f>IF(tbl_main[[#This Row],[Date]]="","",YEAR(B439))</f>
        <v>2025</v>
      </c>
      <c r="D439" t="str">
        <f>IF(tbl_main[[#This Row],[Date]]="","",TEXT(B439,"mmm"))</f>
        <v>May</v>
      </c>
      <c r="E439" t="str">
        <f>IF(tbl_main[[#This Row],[Date]]="","",TEXT(B439,"DDD"))</f>
        <v>Tue</v>
      </c>
      <c r="F439" t="s">
        <v>30</v>
      </c>
      <c r="G439" t="s">
        <v>36</v>
      </c>
      <c r="H439" s="3" t="s">
        <v>34</v>
      </c>
      <c r="I439" s="3" t="s">
        <v>23</v>
      </c>
      <c r="J439" s="3" t="s">
        <v>32</v>
      </c>
      <c r="K439" s="3">
        <f>_xlfn.XLOOKUP(tbl_main[[#This Row],[Service]],tbl_service[Service],tbl_service[Price],"")</f>
        <v>100</v>
      </c>
      <c r="L439" s="3">
        <v>1</v>
      </c>
      <c r="M439" s="3">
        <f>IF(AND(tbl_main[[#This Row],[Price]]="",tbl_main[[#This Row],[Qty]]=""),"",tbl_main[[#This Row],[Price]]*tbl_main[[#This Row],[Qty]])</f>
        <v>100</v>
      </c>
      <c r="N439" s="3">
        <f>_xlfn.LET(_xlpm.x,_xlfn.XLOOKUP(tbl_main[[#This Row],[Service]],tbl_service[Service],tbl_service[Profit],""),
               IF(tbl_main[[#This Row],[Qty]]="","",_xlpm.x*tbl_main[[#This Row],[Qty]]))</f>
        <v>45</v>
      </c>
    </row>
    <row r="440" spans="1:14" x14ac:dyDescent="0.25">
      <c r="A440" t="s">
        <v>482</v>
      </c>
      <c r="B440" s="1">
        <v>45797</v>
      </c>
      <c r="C440">
        <f>IF(tbl_main[[#This Row],[Date]]="","",YEAR(B440))</f>
        <v>2025</v>
      </c>
      <c r="D440" t="str">
        <f>IF(tbl_main[[#This Row],[Date]]="","",TEXT(B440,"mmm"))</f>
        <v>May</v>
      </c>
      <c r="E440" t="str">
        <f>IF(tbl_main[[#This Row],[Date]]="","",TEXT(B440,"DDD"))</f>
        <v>Tue</v>
      </c>
      <c r="F440" t="s">
        <v>27</v>
      </c>
      <c r="G440" t="s">
        <v>28</v>
      </c>
      <c r="H440" s="3" t="s">
        <v>18</v>
      </c>
      <c r="I440" s="3" t="s">
        <v>37</v>
      </c>
      <c r="J440" s="3" t="s">
        <v>17</v>
      </c>
      <c r="K440" s="3">
        <f>_xlfn.XLOOKUP(tbl_main[[#This Row],[Service]],tbl_service[Service],tbl_service[Price],"")</f>
        <v>500</v>
      </c>
      <c r="L440" s="3">
        <v>2</v>
      </c>
      <c r="M440" s="3">
        <f>IF(AND(tbl_main[[#This Row],[Price]]="",tbl_main[[#This Row],[Qty]]=""),"",tbl_main[[#This Row],[Price]]*tbl_main[[#This Row],[Qty]])</f>
        <v>1000</v>
      </c>
      <c r="N440" s="3">
        <f>_xlfn.LET(_xlpm.x,_xlfn.XLOOKUP(tbl_main[[#This Row],[Service]],tbl_service[Service],tbl_service[Profit],""),
               IF(tbl_main[[#This Row],[Qty]]="","",_xlpm.x*tbl_main[[#This Row],[Qty]]))</f>
        <v>314</v>
      </c>
    </row>
    <row r="441" spans="1:14" x14ac:dyDescent="0.25">
      <c r="A441" t="s">
        <v>483</v>
      </c>
      <c r="B441" s="1">
        <v>45797</v>
      </c>
      <c r="C441">
        <f>IF(tbl_main[[#This Row],[Date]]="","",YEAR(B441))</f>
        <v>2025</v>
      </c>
      <c r="D441" t="str">
        <f>IF(tbl_main[[#This Row],[Date]]="","",TEXT(B441,"mmm"))</f>
        <v>May</v>
      </c>
      <c r="E441" t="str">
        <f>IF(tbl_main[[#This Row],[Date]]="","",TEXT(B441,"DDD"))</f>
        <v>Tue</v>
      </c>
      <c r="F441" t="s">
        <v>13</v>
      </c>
      <c r="G441" t="s">
        <v>14</v>
      </c>
      <c r="H441" s="3" t="s">
        <v>24</v>
      </c>
      <c r="I441" s="3" t="s">
        <v>38</v>
      </c>
      <c r="J441" s="3" t="s">
        <v>25</v>
      </c>
      <c r="K441" s="3">
        <f>_xlfn.XLOOKUP(tbl_main[[#This Row],[Service]],tbl_service[Service],tbl_service[Price],"")</f>
        <v>80</v>
      </c>
      <c r="L441" s="3">
        <v>2</v>
      </c>
      <c r="M441" s="3">
        <f>IF(AND(tbl_main[[#This Row],[Price]]="",tbl_main[[#This Row],[Qty]]=""),"",tbl_main[[#This Row],[Price]]*tbl_main[[#This Row],[Qty]])</f>
        <v>160</v>
      </c>
      <c r="N441" s="3">
        <f>_xlfn.LET(_xlpm.x,_xlfn.XLOOKUP(tbl_main[[#This Row],[Service]],tbl_service[Service],tbl_service[Profit],""),
               IF(tbl_main[[#This Row],[Qty]]="","",_xlpm.x*tbl_main[[#This Row],[Qty]]))</f>
        <v>72</v>
      </c>
    </row>
    <row r="442" spans="1:14" x14ac:dyDescent="0.25">
      <c r="A442" t="s">
        <v>484</v>
      </c>
      <c r="B442" s="1">
        <v>45798</v>
      </c>
      <c r="C442">
        <f>IF(tbl_main[[#This Row],[Date]]="","",YEAR(B442))</f>
        <v>2025</v>
      </c>
      <c r="D442" t="str">
        <f>IF(tbl_main[[#This Row],[Date]]="","",TEXT(B442,"mmm"))</f>
        <v>May</v>
      </c>
      <c r="E442" t="str">
        <f>IF(tbl_main[[#This Row],[Date]]="","",TEXT(B442,"DDD"))</f>
        <v>Wed</v>
      </c>
      <c r="F442" t="s">
        <v>27</v>
      </c>
      <c r="G442" t="s">
        <v>28</v>
      </c>
      <c r="H442" s="3" t="s">
        <v>26</v>
      </c>
      <c r="I442" s="3" t="s">
        <v>16</v>
      </c>
      <c r="J442" s="3" t="s">
        <v>17</v>
      </c>
      <c r="K442" s="3">
        <f>_xlfn.XLOOKUP(tbl_main[[#This Row],[Service]],tbl_service[Service],tbl_service[Price],"")</f>
        <v>200</v>
      </c>
      <c r="L442" s="3">
        <v>1</v>
      </c>
      <c r="M442" s="3">
        <f>IF(AND(tbl_main[[#This Row],[Price]]="",tbl_main[[#This Row],[Qty]]=""),"",tbl_main[[#This Row],[Price]]*tbl_main[[#This Row],[Qty]])</f>
        <v>200</v>
      </c>
      <c r="N442" s="3">
        <f>_xlfn.LET(_xlpm.x,_xlfn.XLOOKUP(tbl_main[[#This Row],[Service]],tbl_service[Service],tbl_service[Profit],""),
               IF(tbl_main[[#This Row],[Qty]]="","",_xlpm.x*tbl_main[[#This Row],[Qty]]))</f>
        <v>90</v>
      </c>
    </row>
    <row r="443" spans="1:14" x14ac:dyDescent="0.25">
      <c r="A443" t="s">
        <v>485</v>
      </c>
      <c r="B443" s="1">
        <v>45798</v>
      </c>
      <c r="C443">
        <f>IF(tbl_main[[#This Row],[Date]]="","",YEAR(B443))</f>
        <v>2025</v>
      </c>
      <c r="D443" t="str">
        <f>IF(tbl_main[[#This Row],[Date]]="","",TEXT(B443,"mmm"))</f>
        <v>May</v>
      </c>
      <c r="E443" t="str">
        <f>IF(tbl_main[[#This Row],[Date]]="","",TEXT(B443,"DDD"))</f>
        <v>Wed</v>
      </c>
      <c r="F443" t="s">
        <v>20</v>
      </c>
      <c r="G443" t="s">
        <v>21</v>
      </c>
      <c r="H443" s="3" t="s">
        <v>15</v>
      </c>
      <c r="I443" s="3" t="s">
        <v>19</v>
      </c>
      <c r="J443" s="3" t="s">
        <v>25</v>
      </c>
      <c r="K443" s="3">
        <f>_xlfn.XLOOKUP(tbl_main[[#This Row],[Service]],tbl_service[Service],tbl_service[Price],"")</f>
        <v>500</v>
      </c>
      <c r="L443" s="3">
        <v>1</v>
      </c>
      <c r="M443" s="3">
        <f>IF(AND(tbl_main[[#This Row],[Price]]="",tbl_main[[#This Row],[Qty]]=""),"",tbl_main[[#This Row],[Price]]*tbl_main[[#This Row],[Qty]])</f>
        <v>500</v>
      </c>
      <c r="N443" s="3">
        <f>_xlfn.LET(_xlpm.x,_xlfn.XLOOKUP(tbl_main[[#This Row],[Service]],tbl_service[Service],tbl_service[Profit],""),
               IF(tbl_main[[#This Row],[Qty]]="","",_xlpm.x*tbl_main[[#This Row],[Qty]]))</f>
        <v>225</v>
      </c>
    </row>
    <row r="444" spans="1:14" x14ac:dyDescent="0.25">
      <c r="A444" t="s">
        <v>486</v>
      </c>
      <c r="B444" s="1">
        <v>45799</v>
      </c>
      <c r="C444">
        <f>IF(tbl_main[[#This Row],[Date]]="","",YEAR(B444))</f>
        <v>2025</v>
      </c>
      <c r="D444" t="str">
        <f>IF(tbl_main[[#This Row],[Date]]="","",TEXT(B444,"mmm"))</f>
        <v>May</v>
      </c>
      <c r="E444" t="str">
        <f>IF(tbl_main[[#This Row],[Date]]="","",TEXT(B444,"DDD"))</f>
        <v>Thu</v>
      </c>
      <c r="F444" t="s">
        <v>13</v>
      </c>
      <c r="G444" t="s">
        <v>14</v>
      </c>
      <c r="H444" s="3" t="s">
        <v>34</v>
      </c>
      <c r="I444" s="3" t="s">
        <v>42</v>
      </c>
      <c r="J444" s="3" t="s">
        <v>32</v>
      </c>
      <c r="K444" s="3">
        <f>_xlfn.XLOOKUP(tbl_main[[#This Row],[Service]],tbl_service[Service],tbl_service[Price],"")</f>
        <v>100</v>
      </c>
      <c r="L444" s="3">
        <v>1</v>
      </c>
      <c r="M444" s="3">
        <f>IF(AND(tbl_main[[#This Row],[Price]]="",tbl_main[[#This Row],[Qty]]=""),"",tbl_main[[#This Row],[Price]]*tbl_main[[#This Row],[Qty]])</f>
        <v>100</v>
      </c>
      <c r="N444" s="3">
        <f>_xlfn.LET(_xlpm.x,_xlfn.XLOOKUP(tbl_main[[#This Row],[Service]],tbl_service[Service],tbl_service[Profit],""),
               IF(tbl_main[[#This Row],[Qty]]="","",_xlpm.x*tbl_main[[#This Row],[Qty]]))</f>
        <v>45</v>
      </c>
    </row>
    <row r="445" spans="1:14" x14ac:dyDescent="0.25">
      <c r="A445" t="s">
        <v>487</v>
      </c>
      <c r="B445" s="1">
        <v>45799</v>
      </c>
      <c r="C445">
        <f>IF(tbl_main[[#This Row],[Date]]="","",YEAR(B445))</f>
        <v>2025</v>
      </c>
      <c r="D445" t="str">
        <f>IF(tbl_main[[#This Row],[Date]]="","",TEXT(B445,"mmm"))</f>
        <v>May</v>
      </c>
      <c r="E445" t="str">
        <f>IF(tbl_main[[#This Row],[Date]]="","",TEXT(B445,"DDD"))</f>
        <v>Thu</v>
      </c>
      <c r="F445" t="s">
        <v>20</v>
      </c>
      <c r="G445" t="s">
        <v>29</v>
      </c>
      <c r="H445" s="3" t="s">
        <v>22</v>
      </c>
      <c r="I445" s="3" t="s">
        <v>41</v>
      </c>
      <c r="J445" s="3" t="s">
        <v>25</v>
      </c>
      <c r="K445" s="3">
        <f>_xlfn.XLOOKUP(tbl_main[[#This Row],[Service]],tbl_service[Service],tbl_service[Price],"")</f>
        <v>150</v>
      </c>
      <c r="L445" s="3">
        <v>1</v>
      </c>
      <c r="M445" s="3">
        <f>IF(AND(tbl_main[[#This Row],[Price]]="",tbl_main[[#This Row],[Qty]]=""),"",tbl_main[[#This Row],[Price]]*tbl_main[[#This Row],[Qty]])</f>
        <v>150</v>
      </c>
      <c r="N445" s="3">
        <f>_xlfn.LET(_xlpm.x,_xlfn.XLOOKUP(tbl_main[[#This Row],[Service]],tbl_service[Service],tbl_service[Profit],""),
               IF(tbl_main[[#This Row],[Qty]]="","",_xlpm.x*tbl_main[[#This Row],[Qty]]))</f>
        <v>67</v>
      </c>
    </row>
    <row r="446" spans="1:14" x14ac:dyDescent="0.25">
      <c r="A446" t="s">
        <v>488</v>
      </c>
      <c r="B446" s="1">
        <v>45799</v>
      </c>
      <c r="C446">
        <f>IF(tbl_main[[#This Row],[Date]]="","",YEAR(B446))</f>
        <v>2025</v>
      </c>
      <c r="D446" t="str">
        <f>IF(tbl_main[[#This Row],[Date]]="","",TEXT(B446,"mmm"))</f>
        <v>May</v>
      </c>
      <c r="E446" t="str">
        <f>IF(tbl_main[[#This Row],[Date]]="","",TEXT(B446,"DDD"))</f>
        <v>Thu</v>
      </c>
      <c r="F446" t="s">
        <v>13</v>
      </c>
      <c r="G446" t="s">
        <v>33</v>
      </c>
      <c r="H446" s="3" t="s">
        <v>15</v>
      </c>
      <c r="I446" s="3" t="s">
        <v>41</v>
      </c>
      <c r="J446" s="3" t="s">
        <v>32</v>
      </c>
      <c r="K446" s="3">
        <f>_xlfn.XLOOKUP(tbl_main[[#This Row],[Service]],tbl_service[Service],tbl_service[Price],"")</f>
        <v>500</v>
      </c>
      <c r="L446" s="3">
        <v>2</v>
      </c>
      <c r="M446" s="3">
        <f>IF(AND(tbl_main[[#This Row],[Price]]="",tbl_main[[#This Row],[Qty]]=""),"",tbl_main[[#This Row],[Price]]*tbl_main[[#This Row],[Qty]])</f>
        <v>1000</v>
      </c>
      <c r="N446" s="3">
        <f>_xlfn.LET(_xlpm.x,_xlfn.XLOOKUP(tbl_main[[#This Row],[Service]],tbl_service[Service],tbl_service[Profit],""),
               IF(tbl_main[[#This Row],[Qty]]="","",_xlpm.x*tbl_main[[#This Row],[Qty]]))</f>
        <v>450</v>
      </c>
    </row>
    <row r="447" spans="1:14" x14ac:dyDescent="0.25">
      <c r="A447" t="s">
        <v>489</v>
      </c>
      <c r="B447" s="1">
        <v>45800</v>
      </c>
      <c r="C447">
        <f>IF(tbl_main[[#This Row],[Date]]="","",YEAR(B447))</f>
        <v>2025</v>
      </c>
      <c r="D447" t="str">
        <f>IF(tbl_main[[#This Row],[Date]]="","",TEXT(B447,"mmm"))</f>
        <v>May</v>
      </c>
      <c r="E447" t="str">
        <f>IF(tbl_main[[#This Row],[Date]]="","",TEXT(B447,"DDD"))</f>
        <v>Fri</v>
      </c>
      <c r="F447" t="s">
        <v>13</v>
      </c>
      <c r="G447" t="s">
        <v>33</v>
      </c>
      <c r="H447" s="3" t="s">
        <v>18</v>
      </c>
      <c r="I447" s="3" t="s">
        <v>35</v>
      </c>
      <c r="J447" s="3" t="s">
        <v>25</v>
      </c>
      <c r="K447" s="3">
        <f>_xlfn.XLOOKUP(tbl_main[[#This Row],[Service]],tbl_service[Service],tbl_service[Price],"")</f>
        <v>500</v>
      </c>
      <c r="L447" s="3">
        <v>1</v>
      </c>
      <c r="M447" s="3">
        <f>IF(AND(tbl_main[[#This Row],[Price]]="",tbl_main[[#This Row],[Qty]]=""),"",tbl_main[[#This Row],[Price]]*tbl_main[[#This Row],[Qty]])</f>
        <v>500</v>
      </c>
      <c r="N447" s="3">
        <f>_xlfn.LET(_xlpm.x,_xlfn.XLOOKUP(tbl_main[[#This Row],[Service]],tbl_service[Service],tbl_service[Profit],""),
               IF(tbl_main[[#This Row],[Qty]]="","",_xlpm.x*tbl_main[[#This Row],[Qty]]))</f>
        <v>157</v>
      </c>
    </row>
    <row r="448" spans="1:14" x14ac:dyDescent="0.25">
      <c r="A448" t="s">
        <v>490</v>
      </c>
      <c r="B448" s="1">
        <v>45800</v>
      </c>
      <c r="C448">
        <f>IF(tbl_main[[#This Row],[Date]]="","",YEAR(B448))</f>
        <v>2025</v>
      </c>
      <c r="D448" t="str">
        <f>IF(tbl_main[[#This Row],[Date]]="","",TEXT(B448,"mmm"))</f>
        <v>May</v>
      </c>
      <c r="E448" t="str">
        <f>IF(tbl_main[[#This Row],[Date]]="","",TEXT(B448,"DDD"))</f>
        <v>Fri</v>
      </c>
      <c r="F448" t="s">
        <v>13</v>
      </c>
      <c r="G448" t="s">
        <v>14</v>
      </c>
      <c r="H448" s="3" t="s">
        <v>15</v>
      </c>
      <c r="I448" s="3" t="s">
        <v>35</v>
      </c>
      <c r="J448" s="3" t="s">
        <v>17</v>
      </c>
      <c r="K448" s="3">
        <f>_xlfn.XLOOKUP(tbl_main[[#This Row],[Service]],tbl_service[Service],tbl_service[Price],"")</f>
        <v>500</v>
      </c>
      <c r="L448" s="3">
        <v>2</v>
      </c>
      <c r="M448" s="3">
        <f>IF(AND(tbl_main[[#This Row],[Price]]="",tbl_main[[#This Row],[Qty]]=""),"",tbl_main[[#This Row],[Price]]*tbl_main[[#This Row],[Qty]])</f>
        <v>1000</v>
      </c>
      <c r="N448" s="3">
        <f>_xlfn.LET(_xlpm.x,_xlfn.XLOOKUP(tbl_main[[#This Row],[Service]],tbl_service[Service],tbl_service[Profit],""),
               IF(tbl_main[[#This Row],[Qty]]="","",_xlpm.x*tbl_main[[#This Row],[Qty]]))</f>
        <v>450</v>
      </c>
    </row>
    <row r="449" spans="1:14" x14ac:dyDescent="0.25">
      <c r="A449" t="s">
        <v>491</v>
      </c>
      <c r="B449" s="1">
        <v>45800</v>
      </c>
      <c r="C449">
        <f>IF(tbl_main[[#This Row],[Date]]="","",YEAR(B449))</f>
        <v>2025</v>
      </c>
      <c r="D449" t="str">
        <f>IF(tbl_main[[#This Row],[Date]]="","",TEXT(B449,"mmm"))</f>
        <v>May</v>
      </c>
      <c r="E449" t="str">
        <f>IF(tbl_main[[#This Row],[Date]]="","",TEXT(B449,"DDD"))</f>
        <v>Fri</v>
      </c>
      <c r="F449" t="s">
        <v>30</v>
      </c>
      <c r="G449" t="s">
        <v>31</v>
      </c>
      <c r="H449" s="3" t="s">
        <v>24</v>
      </c>
      <c r="I449" s="3" t="s">
        <v>23</v>
      </c>
      <c r="J449" s="3" t="s">
        <v>25</v>
      </c>
      <c r="K449" s="3">
        <f>_xlfn.XLOOKUP(tbl_main[[#This Row],[Service]],tbl_service[Service],tbl_service[Price],"")</f>
        <v>80</v>
      </c>
      <c r="L449" s="3">
        <v>1</v>
      </c>
      <c r="M449" s="3">
        <f>IF(AND(tbl_main[[#This Row],[Price]]="",tbl_main[[#This Row],[Qty]]=""),"",tbl_main[[#This Row],[Price]]*tbl_main[[#This Row],[Qty]])</f>
        <v>80</v>
      </c>
      <c r="N449" s="3">
        <f>_xlfn.LET(_xlpm.x,_xlfn.XLOOKUP(tbl_main[[#This Row],[Service]],tbl_service[Service],tbl_service[Profit],""),
               IF(tbl_main[[#This Row],[Qty]]="","",_xlpm.x*tbl_main[[#This Row],[Qty]]))</f>
        <v>36</v>
      </c>
    </row>
    <row r="450" spans="1:14" x14ac:dyDescent="0.25">
      <c r="A450" t="s">
        <v>492</v>
      </c>
      <c r="B450" s="1">
        <v>45801</v>
      </c>
      <c r="C450">
        <f>IF(tbl_main[[#This Row],[Date]]="","",YEAR(B450))</f>
        <v>2025</v>
      </c>
      <c r="D450" t="str">
        <f>IF(tbl_main[[#This Row],[Date]]="","",TEXT(B450,"mmm"))</f>
        <v>May</v>
      </c>
      <c r="E450" t="str">
        <f>IF(tbl_main[[#This Row],[Date]]="","",TEXT(B450,"DDD"))</f>
        <v>Sat</v>
      </c>
      <c r="F450" t="s">
        <v>20</v>
      </c>
      <c r="G450" t="s">
        <v>29</v>
      </c>
      <c r="H450" s="3" t="s">
        <v>24</v>
      </c>
      <c r="I450" s="3" t="s">
        <v>37</v>
      </c>
      <c r="J450" s="3" t="s">
        <v>17</v>
      </c>
      <c r="K450" s="3">
        <f>_xlfn.XLOOKUP(tbl_main[[#This Row],[Service]],tbl_service[Service],tbl_service[Price],"")</f>
        <v>80</v>
      </c>
      <c r="L450" s="3">
        <v>2</v>
      </c>
      <c r="M450" s="3">
        <f>IF(AND(tbl_main[[#This Row],[Price]]="",tbl_main[[#This Row],[Qty]]=""),"",tbl_main[[#This Row],[Price]]*tbl_main[[#This Row],[Qty]])</f>
        <v>160</v>
      </c>
      <c r="N450" s="3">
        <f>_xlfn.LET(_xlpm.x,_xlfn.XLOOKUP(tbl_main[[#This Row],[Service]],tbl_service[Service],tbl_service[Profit],""),
               IF(tbl_main[[#This Row],[Qty]]="","",_xlpm.x*tbl_main[[#This Row],[Qty]]))</f>
        <v>72</v>
      </c>
    </row>
    <row r="451" spans="1:14" x14ac:dyDescent="0.25">
      <c r="A451" t="s">
        <v>493</v>
      </c>
      <c r="B451" s="1">
        <v>45801</v>
      </c>
      <c r="C451">
        <f>IF(tbl_main[[#This Row],[Date]]="","",YEAR(B451))</f>
        <v>2025</v>
      </c>
      <c r="D451" t="str">
        <f>IF(tbl_main[[#This Row],[Date]]="","",TEXT(B451,"mmm"))</f>
        <v>May</v>
      </c>
      <c r="E451" t="str">
        <f>IF(tbl_main[[#This Row],[Date]]="","",TEXT(B451,"DDD"))</f>
        <v>Sat</v>
      </c>
      <c r="F451" t="s">
        <v>13</v>
      </c>
      <c r="G451" t="s">
        <v>14</v>
      </c>
      <c r="H451" s="3" t="s">
        <v>26</v>
      </c>
      <c r="I451" s="3" t="s">
        <v>38</v>
      </c>
      <c r="J451" s="3" t="s">
        <v>17</v>
      </c>
      <c r="K451" s="3">
        <f>_xlfn.XLOOKUP(tbl_main[[#This Row],[Service]],tbl_service[Service],tbl_service[Price],"")</f>
        <v>200</v>
      </c>
      <c r="L451" s="3">
        <v>1</v>
      </c>
      <c r="M451" s="3">
        <f>IF(AND(tbl_main[[#This Row],[Price]]="",tbl_main[[#This Row],[Qty]]=""),"",tbl_main[[#This Row],[Price]]*tbl_main[[#This Row],[Qty]])</f>
        <v>200</v>
      </c>
      <c r="N451" s="3">
        <f>_xlfn.LET(_xlpm.x,_xlfn.XLOOKUP(tbl_main[[#This Row],[Service]],tbl_service[Service],tbl_service[Profit],""),
               IF(tbl_main[[#This Row],[Qty]]="","",_xlpm.x*tbl_main[[#This Row],[Qty]]))</f>
        <v>90</v>
      </c>
    </row>
    <row r="452" spans="1:14" x14ac:dyDescent="0.25">
      <c r="A452" t="s">
        <v>494</v>
      </c>
      <c r="B452" s="1">
        <v>45802</v>
      </c>
      <c r="C452">
        <f>IF(tbl_main[[#This Row],[Date]]="","",YEAR(B452))</f>
        <v>2025</v>
      </c>
      <c r="D452" t="str">
        <f>IF(tbl_main[[#This Row],[Date]]="","",TEXT(B452,"mmm"))</f>
        <v>May</v>
      </c>
      <c r="E452" t="str">
        <f>IF(tbl_main[[#This Row],[Date]]="","",TEXT(B452,"DDD"))</f>
        <v>Sun</v>
      </c>
      <c r="F452" t="s">
        <v>13</v>
      </c>
      <c r="G452" t="s">
        <v>14</v>
      </c>
      <c r="H452" s="3" t="s">
        <v>15</v>
      </c>
      <c r="I452" s="3" t="s">
        <v>16</v>
      </c>
      <c r="J452" s="3" t="s">
        <v>17</v>
      </c>
      <c r="K452" s="3">
        <f>_xlfn.XLOOKUP(tbl_main[[#This Row],[Service]],tbl_service[Service],tbl_service[Price],"")</f>
        <v>500</v>
      </c>
      <c r="L452" s="3">
        <v>2</v>
      </c>
      <c r="M452" s="3">
        <f>IF(AND(tbl_main[[#This Row],[Price]]="",tbl_main[[#This Row],[Qty]]=""),"",tbl_main[[#This Row],[Price]]*tbl_main[[#This Row],[Qty]])</f>
        <v>1000</v>
      </c>
      <c r="N452" s="3">
        <f>_xlfn.LET(_xlpm.x,_xlfn.XLOOKUP(tbl_main[[#This Row],[Service]],tbl_service[Service],tbl_service[Profit],""),
               IF(tbl_main[[#This Row],[Qty]]="","",_xlpm.x*tbl_main[[#This Row],[Qty]]))</f>
        <v>450</v>
      </c>
    </row>
    <row r="453" spans="1:14" x14ac:dyDescent="0.25">
      <c r="A453" t="s">
        <v>495</v>
      </c>
      <c r="B453" s="1">
        <v>45802</v>
      </c>
      <c r="C453">
        <f>IF(tbl_main[[#This Row],[Date]]="","",YEAR(B453))</f>
        <v>2025</v>
      </c>
      <c r="D453" t="str">
        <f>IF(tbl_main[[#This Row],[Date]]="","",TEXT(B453,"mmm"))</f>
        <v>May</v>
      </c>
      <c r="E453" t="str">
        <f>IF(tbl_main[[#This Row],[Date]]="","",TEXT(B453,"DDD"))</f>
        <v>Sun</v>
      </c>
      <c r="F453" t="s">
        <v>20</v>
      </c>
      <c r="G453" t="s">
        <v>39</v>
      </c>
      <c r="H453" s="3" t="s">
        <v>15</v>
      </c>
      <c r="I453" s="3" t="s">
        <v>19</v>
      </c>
      <c r="J453" s="3" t="s">
        <v>25</v>
      </c>
      <c r="K453" s="3">
        <f>_xlfn.XLOOKUP(tbl_main[[#This Row],[Service]],tbl_service[Service],tbl_service[Price],"")</f>
        <v>500</v>
      </c>
      <c r="L453" s="3">
        <v>2</v>
      </c>
      <c r="M453" s="3">
        <f>IF(AND(tbl_main[[#This Row],[Price]]="",tbl_main[[#This Row],[Qty]]=""),"",tbl_main[[#This Row],[Price]]*tbl_main[[#This Row],[Qty]])</f>
        <v>1000</v>
      </c>
      <c r="N453" s="3">
        <f>_xlfn.LET(_xlpm.x,_xlfn.XLOOKUP(tbl_main[[#This Row],[Service]],tbl_service[Service],tbl_service[Profit],""),
               IF(tbl_main[[#This Row],[Qty]]="","",_xlpm.x*tbl_main[[#This Row],[Qty]]))</f>
        <v>450</v>
      </c>
    </row>
    <row r="454" spans="1:14" x14ac:dyDescent="0.25">
      <c r="A454" t="s">
        <v>496</v>
      </c>
      <c r="B454" s="1">
        <v>45803</v>
      </c>
      <c r="C454">
        <f>IF(tbl_main[[#This Row],[Date]]="","",YEAR(B454))</f>
        <v>2025</v>
      </c>
      <c r="D454" t="str">
        <f>IF(tbl_main[[#This Row],[Date]]="","",TEXT(B454,"mmm"))</f>
        <v>May</v>
      </c>
      <c r="E454" t="str">
        <f>IF(tbl_main[[#This Row],[Date]]="","",TEXT(B454,"DDD"))</f>
        <v>Mon</v>
      </c>
      <c r="F454" t="s">
        <v>13</v>
      </c>
      <c r="G454" t="s">
        <v>33</v>
      </c>
      <c r="H454" s="3" t="s">
        <v>34</v>
      </c>
      <c r="I454" s="3" t="s">
        <v>42</v>
      </c>
      <c r="J454" s="3" t="s">
        <v>17</v>
      </c>
      <c r="K454" s="3">
        <f>_xlfn.XLOOKUP(tbl_main[[#This Row],[Service]],tbl_service[Service],tbl_service[Price],"")</f>
        <v>100</v>
      </c>
      <c r="L454" s="3">
        <v>1</v>
      </c>
      <c r="M454" s="3">
        <f>IF(AND(tbl_main[[#This Row],[Price]]="",tbl_main[[#This Row],[Qty]]=""),"",tbl_main[[#This Row],[Price]]*tbl_main[[#This Row],[Qty]])</f>
        <v>100</v>
      </c>
      <c r="N454" s="3">
        <f>_xlfn.LET(_xlpm.x,_xlfn.XLOOKUP(tbl_main[[#This Row],[Service]],tbl_service[Service],tbl_service[Profit],""),
               IF(tbl_main[[#This Row],[Qty]]="","",_xlpm.x*tbl_main[[#This Row],[Qty]]))</f>
        <v>45</v>
      </c>
    </row>
    <row r="455" spans="1:14" x14ac:dyDescent="0.25">
      <c r="A455" t="s">
        <v>497</v>
      </c>
      <c r="B455" s="1">
        <v>45803</v>
      </c>
      <c r="C455">
        <f>IF(tbl_main[[#This Row],[Date]]="","",YEAR(B455))</f>
        <v>2025</v>
      </c>
      <c r="D455" t="str">
        <f>IF(tbl_main[[#This Row],[Date]]="","",TEXT(B455,"mmm"))</f>
        <v>May</v>
      </c>
      <c r="E455" t="str">
        <f>IF(tbl_main[[#This Row],[Date]]="","",TEXT(B455,"DDD"))</f>
        <v>Mon</v>
      </c>
      <c r="F455" t="s">
        <v>30</v>
      </c>
      <c r="G455" t="s">
        <v>36</v>
      </c>
      <c r="H455" s="3" t="s">
        <v>24</v>
      </c>
      <c r="I455" s="3" t="s">
        <v>41</v>
      </c>
      <c r="J455" s="3" t="s">
        <v>17</v>
      </c>
      <c r="K455" s="3">
        <f>_xlfn.XLOOKUP(tbl_main[[#This Row],[Service]],tbl_service[Service],tbl_service[Price],"")</f>
        <v>80</v>
      </c>
      <c r="L455" s="3">
        <v>1</v>
      </c>
      <c r="M455" s="3">
        <f>IF(AND(tbl_main[[#This Row],[Price]]="",tbl_main[[#This Row],[Qty]]=""),"",tbl_main[[#This Row],[Price]]*tbl_main[[#This Row],[Qty]])</f>
        <v>80</v>
      </c>
      <c r="N455" s="3">
        <f>_xlfn.LET(_xlpm.x,_xlfn.XLOOKUP(tbl_main[[#This Row],[Service]],tbl_service[Service],tbl_service[Profit],""),
               IF(tbl_main[[#This Row],[Qty]]="","",_xlpm.x*tbl_main[[#This Row],[Qty]]))</f>
        <v>36</v>
      </c>
    </row>
    <row r="456" spans="1:14" x14ac:dyDescent="0.25">
      <c r="A456" t="s">
        <v>498</v>
      </c>
      <c r="B456" s="1">
        <v>45803</v>
      </c>
      <c r="C456">
        <f>IF(tbl_main[[#This Row],[Date]]="","",YEAR(B456))</f>
        <v>2025</v>
      </c>
      <c r="D456" t="str">
        <f>IF(tbl_main[[#This Row],[Date]]="","",TEXT(B456,"mmm"))</f>
        <v>May</v>
      </c>
      <c r="E456" t="str">
        <f>IF(tbl_main[[#This Row],[Date]]="","",TEXT(B456,"DDD"))</f>
        <v>Mon</v>
      </c>
      <c r="F456" t="s">
        <v>30</v>
      </c>
      <c r="G456" t="s">
        <v>36</v>
      </c>
      <c r="H456" s="3" t="s">
        <v>26</v>
      </c>
      <c r="I456" s="3" t="s">
        <v>41</v>
      </c>
      <c r="J456" s="3" t="s">
        <v>17</v>
      </c>
      <c r="K456" s="3">
        <f>_xlfn.XLOOKUP(tbl_main[[#This Row],[Service]],tbl_service[Service],tbl_service[Price],"")</f>
        <v>200</v>
      </c>
      <c r="L456" s="3">
        <v>1</v>
      </c>
      <c r="M456" s="3">
        <f>IF(AND(tbl_main[[#This Row],[Price]]="",tbl_main[[#This Row],[Qty]]=""),"",tbl_main[[#This Row],[Price]]*tbl_main[[#This Row],[Qty]])</f>
        <v>200</v>
      </c>
      <c r="N456" s="3">
        <f>_xlfn.LET(_xlpm.x,_xlfn.XLOOKUP(tbl_main[[#This Row],[Service]],tbl_service[Service],tbl_service[Profit],""),
               IF(tbl_main[[#This Row],[Qty]]="","",_xlpm.x*tbl_main[[#This Row],[Qty]]))</f>
        <v>90</v>
      </c>
    </row>
    <row r="457" spans="1:14" x14ac:dyDescent="0.25">
      <c r="A457" t="s">
        <v>499</v>
      </c>
      <c r="B457" s="1">
        <v>45803</v>
      </c>
      <c r="C457">
        <f>IF(tbl_main[[#This Row],[Date]]="","",YEAR(B457))</f>
        <v>2025</v>
      </c>
      <c r="D457" t="str">
        <f>IF(tbl_main[[#This Row],[Date]]="","",TEXT(B457,"mmm"))</f>
        <v>May</v>
      </c>
      <c r="E457" t="str">
        <f>IF(tbl_main[[#This Row],[Date]]="","",TEXT(B457,"DDD"))</f>
        <v>Mon</v>
      </c>
      <c r="F457" t="s">
        <v>20</v>
      </c>
      <c r="G457" t="s">
        <v>21</v>
      </c>
      <c r="H457" s="3" t="s">
        <v>24</v>
      </c>
      <c r="I457" s="3" t="s">
        <v>35</v>
      </c>
      <c r="J457" s="3" t="s">
        <v>25</v>
      </c>
      <c r="K457" s="3">
        <f>_xlfn.XLOOKUP(tbl_main[[#This Row],[Service]],tbl_service[Service],tbl_service[Price],"")</f>
        <v>80</v>
      </c>
      <c r="L457" s="3">
        <v>2</v>
      </c>
      <c r="M457" s="3">
        <f>IF(AND(tbl_main[[#This Row],[Price]]="",tbl_main[[#This Row],[Qty]]=""),"",tbl_main[[#This Row],[Price]]*tbl_main[[#This Row],[Qty]])</f>
        <v>160</v>
      </c>
      <c r="N457" s="3">
        <f>_xlfn.LET(_xlpm.x,_xlfn.XLOOKUP(tbl_main[[#This Row],[Service]],tbl_service[Service],tbl_service[Profit],""),
               IF(tbl_main[[#This Row],[Qty]]="","",_xlpm.x*tbl_main[[#This Row],[Qty]]))</f>
        <v>72</v>
      </c>
    </row>
    <row r="458" spans="1:14" x14ac:dyDescent="0.25">
      <c r="A458" t="s">
        <v>500</v>
      </c>
      <c r="B458" s="1">
        <v>45804</v>
      </c>
      <c r="C458">
        <f>IF(tbl_main[[#This Row],[Date]]="","",YEAR(B458))</f>
        <v>2025</v>
      </c>
      <c r="D458" t="str">
        <f>IF(tbl_main[[#This Row],[Date]]="","",TEXT(B458,"mmm"))</f>
        <v>May</v>
      </c>
      <c r="E458" t="str">
        <f>IF(tbl_main[[#This Row],[Date]]="","",TEXT(B458,"DDD"))</f>
        <v>Tue</v>
      </c>
      <c r="F458" t="s">
        <v>27</v>
      </c>
      <c r="G458" t="s">
        <v>40</v>
      </c>
      <c r="H458" s="3" t="s">
        <v>22</v>
      </c>
      <c r="I458" s="3" t="s">
        <v>35</v>
      </c>
      <c r="J458" s="3" t="s">
        <v>17</v>
      </c>
      <c r="K458" s="3">
        <f>_xlfn.XLOOKUP(tbl_main[[#This Row],[Service]],tbl_service[Service],tbl_service[Price],"")</f>
        <v>150</v>
      </c>
      <c r="L458" s="3">
        <v>2</v>
      </c>
      <c r="M458" s="3">
        <f>IF(AND(tbl_main[[#This Row],[Price]]="",tbl_main[[#This Row],[Qty]]=""),"",tbl_main[[#This Row],[Price]]*tbl_main[[#This Row],[Qty]])</f>
        <v>300</v>
      </c>
      <c r="N458" s="3">
        <f>_xlfn.LET(_xlpm.x,_xlfn.XLOOKUP(tbl_main[[#This Row],[Service]],tbl_service[Service],tbl_service[Profit],""),
               IF(tbl_main[[#This Row],[Qty]]="","",_xlpm.x*tbl_main[[#This Row],[Qty]]))</f>
        <v>134</v>
      </c>
    </row>
    <row r="459" spans="1:14" x14ac:dyDescent="0.25">
      <c r="A459" t="s">
        <v>501</v>
      </c>
      <c r="B459" s="1">
        <v>45804</v>
      </c>
      <c r="C459">
        <f>IF(tbl_main[[#This Row],[Date]]="","",YEAR(B459))</f>
        <v>2025</v>
      </c>
      <c r="D459" t="str">
        <f>IF(tbl_main[[#This Row],[Date]]="","",TEXT(B459,"mmm"))</f>
        <v>May</v>
      </c>
      <c r="E459" t="str">
        <f>IF(tbl_main[[#This Row],[Date]]="","",TEXT(B459,"DDD"))</f>
        <v>Tue</v>
      </c>
      <c r="F459" t="s">
        <v>13</v>
      </c>
      <c r="G459" t="s">
        <v>14</v>
      </c>
      <c r="H459" s="3" t="s">
        <v>26</v>
      </c>
      <c r="I459" s="3" t="s">
        <v>23</v>
      </c>
      <c r="J459" s="3" t="s">
        <v>25</v>
      </c>
      <c r="K459" s="3">
        <f>_xlfn.XLOOKUP(tbl_main[[#This Row],[Service]],tbl_service[Service],tbl_service[Price],"")</f>
        <v>200</v>
      </c>
      <c r="L459" s="3">
        <v>2</v>
      </c>
      <c r="M459" s="3">
        <f>IF(AND(tbl_main[[#This Row],[Price]]="",tbl_main[[#This Row],[Qty]]=""),"",tbl_main[[#This Row],[Price]]*tbl_main[[#This Row],[Qty]])</f>
        <v>400</v>
      </c>
      <c r="N459" s="3">
        <f>_xlfn.LET(_xlpm.x,_xlfn.XLOOKUP(tbl_main[[#This Row],[Service]],tbl_service[Service],tbl_service[Profit],""),
               IF(tbl_main[[#This Row],[Qty]]="","",_xlpm.x*tbl_main[[#This Row],[Qty]]))</f>
        <v>180</v>
      </c>
    </row>
    <row r="460" spans="1:14" x14ac:dyDescent="0.25">
      <c r="A460" t="s">
        <v>502</v>
      </c>
      <c r="B460" s="1">
        <v>45804</v>
      </c>
      <c r="C460">
        <f>IF(tbl_main[[#This Row],[Date]]="","",YEAR(B460))</f>
        <v>2025</v>
      </c>
      <c r="D460" t="str">
        <f>IF(tbl_main[[#This Row],[Date]]="","",TEXT(B460,"mmm"))</f>
        <v>May</v>
      </c>
      <c r="E460" t="str">
        <f>IF(tbl_main[[#This Row],[Date]]="","",TEXT(B460,"DDD"))</f>
        <v>Tue</v>
      </c>
      <c r="F460" t="s">
        <v>13</v>
      </c>
      <c r="G460" t="s">
        <v>14</v>
      </c>
      <c r="H460" s="3" t="s">
        <v>34</v>
      </c>
      <c r="I460" s="3" t="s">
        <v>37</v>
      </c>
      <c r="J460" s="3" t="s">
        <v>32</v>
      </c>
      <c r="K460" s="3">
        <f>_xlfn.XLOOKUP(tbl_main[[#This Row],[Service]],tbl_service[Service],tbl_service[Price],"")</f>
        <v>100</v>
      </c>
      <c r="L460" s="3">
        <v>1</v>
      </c>
      <c r="M460" s="3">
        <f>IF(AND(tbl_main[[#This Row],[Price]]="",tbl_main[[#This Row],[Qty]]=""),"",tbl_main[[#This Row],[Price]]*tbl_main[[#This Row],[Qty]])</f>
        <v>100</v>
      </c>
      <c r="N460" s="3">
        <f>_xlfn.LET(_xlpm.x,_xlfn.XLOOKUP(tbl_main[[#This Row],[Service]],tbl_service[Service],tbl_service[Profit],""),
               IF(tbl_main[[#This Row],[Qty]]="","",_xlpm.x*tbl_main[[#This Row],[Qty]]))</f>
        <v>45</v>
      </c>
    </row>
    <row r="461" spans="1:14" x14ac:dyDescent="0.25">
      <c r="A461" t="s">
        <v>503</v>
      </c>
      <c r="B461" s="1">
        <v>45805</v>
      </c>
      <c r="C461">
        <f>IF(tbl_main[[#This Row],[Date]]="","",YEAR(B461))</f>
        <v>2025</v>
      </c>
      <c r="D461" t="str">
        <f>IF(tbl_main[[#This Row],[Date]]="","",TEXT(B461,"mmm"))</f>
        <v>May</v>
      </c>
      <c r="E461" t="str">
        <f>IF(tbl_main[[#This Row],[Date]]="","",TEXT(B461,"DDD"))</f>
        <v>Wed</v>
      </c>
      <c r="F461" t="s">
        <v>30</v>
      </c>
      <c r="G461" t="s">
        <v>31</v>
      </c>
      <c r="H461" s="3" t="s">
        <v>24</v>
      </c>
      <c r="I461" s="3" t="s">
        <v>38</v>
      </c>
      <c r="J461" s="3" t="s">
        <v>32</v>
      </c>
      <c r="K461" s="3">
        <f>_xlfn.XLOOKUP(tbl_main[[#This Row],[Service]],tbl_service[Service],tbl_service[Price],"")</f>
        <v>80</v>
      </c>
      <c r="L461" s="3">
        <v>2</v>
      </c>
      <c r="M461" s="3">
        <f>IF(AND(tbl_main[[#This Row],[Price]]="",tbl_main[[#This Row],[Qty]]=""),"",tbl_main[[#This Row],[Price]]*tbl_main[[#This Row],[Qty]])</f>
        <v>160</v>
      </c>
      <c r="N461" s="3">
        <f>_xlfn.LET(_xlpm.x,_xlfn.XLOOKUP(tbl_main[[#This Row],[Service]],tbl_service[Service],tbl_service[Profit],""),
               IF(tbl_main[[#This Row],[Qty]]="","",_xlpm.x*tbl_main[[#This Row],[Qty]]))</f>
        <v>72</v>
      </c>
    </row>
    <row r="462" spans="1:14" x14ac:dyDescent="0.25">
      <c r="A462" t="s">
        <v>504</v>
      </c>
      <c r="B462" s="1">
        <v>45805</v>
      </c>
      <c r="C462">
        <f>IF(tbl_main[[#This Row],[Date]]="","",YEAR(B462))</f>
        <v>2025</v>
      </c>
      <c r="D462" t="str">
        <f>IF(tbl_main[[#This Row],[Date]]="","",TEXT(B462,"mmm"))</f>
        <v>May</v>
      </c>
      <c r="E462" t="str">
        <f>IF(tbl_main[[#This Row],[Date]]="","",TEXT(B462,"DDD"))</f>
        <v>Wed</v>
      </c>
      <c r="F462" t="s">
        <v>20</v>
      </c>
      <c r="G462" t="s">
        <v>29</v>
      </c>
      <c r="H462" s="3" t="s">
        <v>34</v>
      </c>
      <c r="I462" s="3" t="s">
        <v>16</v>
      </c>
      <c r="J462" s="3" t="s">
        <v>17</v>
      </c>
      <c r="K462" s="3">
        <f>_xlfn.XLOOKUP(tbl_main[[#This Row],[Service]],tbl_service[Service],tbl_service[Price],"")</f>
        <v>100</v>
      </c>
      <c r="L462" s="3">
        <v>2</v>
      </c>
      <c r="M462" s="3">
        <f>IF(AND(tbl_main[[#This Row],[Price]]="",tbl_main[[#This Row],[Qty]]=""),"",tbl_main[[#This Row],[Price]]*tbl_main[[#This Row],[Qty]])</f>
        <v>200</v>
      </c>
      <c r="N462" s="3">
        <f>_xlfn.LET(_xlpm.x,_xlfn.XLOOKUP(tbl_main[[#This Row],[Service]],tbl_service[Service],tbl_service[Profit],""),
               IF(tbl_main[[#This Row],[Qty]]="","",_xlpm.x*tbl_main[[#This Row],[Qty]]))</f>
        <v>90</v>
      </c>
    </row>
    <row r="463" spans="1:14" x14ac:dyDescent="0.25">
      <c r="A463" t="s">
        <v>505</v>
      </c>
      <c r="B463" s="1">
        <v>45805</v>
      </c>
      <c r="C463">
        <f>IF(tbl_main[[#This Row],[Date]]="","",YEAR(B463))</f>
        <v>2025</v>
      </c>
      <c r="D463" t="str">
        <f>IF(tbl_main[[#This Row],[Date]]="","",TEXT(B463,"mmm"))</f>
        <v>May</v>
      </c>
      <c r="E463" t="str">
        <f>IF(tbl_main[[#This Row],[Date]]="","",TEXT(B463,"DDD"))</f>
        <v>Wed</v>
      </c>
      <c r="F463" t="s">
        <v>27</v>
      </c>
      <c r="G463" t="s">
        <v>40</v>
      </c>
      <c r="H463" s="3" t="s">
        <v>18</v>
      </c>
      <c r="I463" s="3" t="s">
        <v>19</v>
      </c>
      <c r="J463" s="3" t="s">
        <v>17</v>
      </c>
      <c r="K463" s="3">
        <f>_xlfn.XLOOKUP(tbl_main[[#This Row],[Service]],tbl_service[Service],tbl_service[Price],"")</f>
        <v>500</v>
      </c>
      <c r="L463" s="3">
        <v>2</v>
      </c>
      <c r="M463" s="3">
        <f>IF(AND(tbl_main[[#This Row],[Price]]="",tbl_main[[#This Row],[Qty]]=""),"",tbl_main[[#This Row],[Price]]*tbl_main[[#This Row],[Qty]])</f>
        <v>1000</v>
      </c>
      <c r="N463" s="3">
        <f>_xlfn.LET(_xlpm.x,_xlfn.XLOOKUP(tbl_main[[#This Row],[Service]],tbl_service[Service],tbl_service[Profit],""),
               IF(tbl_main[[#This Row],[Qty]]="","",_xlpm.x*tbl_main[[#This Row],[Qty]]))</f>
        <v>314</v>
      </c>
    </row>
    <row r="464" spans="1:14" x14ac:dyDescent="0.25">
      <c r="A464" t="s">
        <v>506</v>
      </c>
      <c r="B464" s="1">
        <v>45806</v>
      </c>
      <c r="C464">
        <f>IF(tbl_main[[#This Row],[Date]]="","",YEAR(B464))</f>
        <v>2025</v>
      </c>
      <c r="D464" t="str">
        <f>IF(tbl_main[[#This Row],[Date]]="","",TEXT(B464,"mmm"))</f>
        <v>May</v>
      </c>
      <c r="E464" t="str">
        <f>IF(tbl_main[[#This Row],[Date]]="","",TEXT(B464,"DDD"))</f>
        <v>Thu</v>
      </c>
      <c r="F464" t="s">
        <v>13</v>
      </c>
      <c r="G464" t="s">
        <v>33</v>
      </c>
      <c r="H464" s="3" t="s">
        <v>24</v>
      </c>
      <c r="I464" s="3" t="s">
        <v>42</v>
      </c>
      <c r="J464" s="3" t="s">
        <v>25</v>
      </c>
      <c r="K464" s="3">
        <f>_xlfn.XLOOKUP(tbl_main[[#This Row],[Service]],tbl_service[Service],tbl_service[Price],"")</f>
        <v>80</v>
      </c>
      <c r="L464" s="3">
        <v>1</v>
      </c>
      <c r="M464" s="3">
        <f>IF(AND(tbl_main[[#This Row],[Price]]="",tbl_main[[#This Row],[Qty]]=""),"",tbl_main[[#This Row],[Price]]*tbl_main[[#This Row],[Qty]])</f>
        <v>80</v>
      </c>
      <c r="N464" s="3">
        <f>_xlfn.LET(_xlpm.x,_xlfn.XLOOKUP(tbl_main[[#This Row],[Service]],tbl_service[Service],tbl_service[Profit],""),
               IF(tbl_main[[#This Row],[Qty]]="","",_xlpm.x*tbl_main[[#This Row],[Qty]]))</f>
        <v>36</v>
      </c>
    </row>
    <row r="465" spans="1:14" x14ac:dyDescent="0.25">
      <c r="A465" t="s">
        <v>507</v>
      </c>
      <c r="B465" s="1">
        <v>45806</v>
      </c>
      <c r="C465">
        <f>IF(tbl_main[[#This Row],[Date]]="","",YEAR(B465))</f>
        <v>2025</v>
      </c>
      <c r="D465" t="str">
        <f>IF(tbl_main[[#This Row],[Date]]="","",TEXT(B465,"mmm"))</f>
        <v>May</v>
      </c>
      <c r="E465" t="str">
        <f>IF(tbl_main[[#This Row],[Date]]="","",TEXT(B465,"DDD"))</f>
        <v>Thu</v>
      </c>
      <c r="F465" t="s">
        <v>30</v>
      </c>
      <c r="G465" t="s">
        <v>36</v>
      </c>
      <c r="H465" s="3" t="s">
        <v>22</v>
      </c>
      <c r="I465" s="3" t="s">
        <v>41</v>
      </c>
      <c r="J465" s="3" t="s">
        <v>25</v>
      </c>
      <c r="K465" s="3">
        <f>_xlfn.XLOOKUP(tbl_main[[#This Row],[Service]],tbl_service[Service],tbl_service[Price],"")</f>
        <v>150</v>
      </c>
      <c r="L465" s="3">
        <v>2</v>
      </c>
      <c r="M465" s="3">
        <f>IF(AND(tbl_main[[#This Row],[Price]]="",tbl_main[[#This Row],[Qty]]=""),"",tbl_main[[#This Row],[Price]]*tbl_main[[#This Row],[Qty]])</f>
        <v>300</v>
      </c>
      <c r="N465" s="3">
        <f>_xlfn.LET(_xlpm.x,_xlfn.XLOOKUP(tbl_main[[#This Row],[Service]],tbl_service[Service],tbl_service[Profit],""),
               IF(tbl_main[[#This Row],[Qty]]="","",_xlpm.x*tbl_main[[#This Row],[Qty]]))</f>
        <v>134</v>
      </c>
    </row>
    <row r="466" spans="1:14" x14ac:dyDescent="0.25">
      <c r="A466" t="s">
        <v>508</v>
      </c>
      <c r="B466" s="1">
        <v>45806</v>
      </c>
      <c r="C466">
        <f>IF(tbl_main[[#This Row],[Date]]="","",YEAR(B466))</f>
        <v>2025</v>
      </c>
      <c r="D466" t="str">
        <f>IF(tbl_main[[#This Row],[Date]]="","",TEXT(B466,"mmm"))</f>
        <v>May</v>
      </c>
      <c r="E466" t="str">
        <f>IF(tbl_main[[#This Row],[Date]]="","",TEXT(B466,"DDD"))</f>
        <v>Thu</v>
      </c>
      <c r="F466" t="s">
        <v>20</v>
      </c>
      <c r="G466" t="s">
        <v>21</v>
      </c>
      <c r="H466" s="3" t="s">
        <v>15</v>
      </c>
      <c r="I466" s="3" t="s">
        <v>41</v>
      </c>
      <c r="J466" s="3" t="s">
        <v>17</v>
      </c>
      <c r="K466" s="3">
        <f>_xlfn.XLOOKUP(tbl_main[[#This Row],[Service]],tbl_service[Service],tbl_service[Price],"")</f>
        <v>500</v>
      </c>
      <c r="L466" s="3">
        <v>1</v>
      </c>
      <c r="M466" s="3">
        <f>IF(AND(tbl_main[[#This Row],[Price]]="",tbl_main[[#This Row],[Qty]]=""),"",tbl_main[[#This Row],[Price]]*tbl_main[[#This Row],[Qty]])</f>
        <v>500</v>
      </c>
      <c r="N466" s="3">
        <f>_xlfn.LET(_xlpm.x,_xlfn.XLOOKUP(tbl_main[[#This Row],[Service]],tbl_service[Service],tbl_service[Profit],""),
               IF(tbl_main[[#This Row],[Qty]]="","",_xlpm.x*tbl_main[[#This Row],[Qty]]))</f>
        <v>225</v>
      </c>
    </row>
    <row r="467" spans="1:14" x14ac:dyDescent="0.25">
      <c r="A467" t="s">
        <v>509</v>
      </c>
      <c r="B467" s="1">
        <v>45807</v>
      </c>
      <c r="C467">
        <f>IF(tbl_main[[#This Row],[Date]]="","",YEAR(B467))</f>
        <v>2025</v>
      </c>
      <c r="D467" t="str">
        <f>IF(tbl_main[[#This Row],[Date]]="","",TEXT(B467,"mmm"))</f>
        <v>May</v>
      </c>
      <c r="E467" t="str">
        <f>IF(tbl_main[[#This Row],[Date]]="","",TEXT(B467,"DDD"))</f>
        <v>Fri</v>
      </c>
      <c r="F467" t="s">
        <v>27</v>
      </c>
      <c r="G467" t="s">
        <v>40</v>
      </c>
      <c r="H467" s="3" t="s">
        <v>24</v>
      </c>
      <c r="I467" s="3" t="s">
        <v>35</v>
      </c>
      <c r="J467" s="3" t="s">
        <v>32</v>
      </c>
      <c r="K467" s="3">
        <f>_xlfn.XLOOKUP(tbl_main[[#This Row],[Service]],tbl_service[Service],tbl_service[Price],"")</f>
        <v>80</v>
      </c>
      <c r="L467" s="3">
        <v>2</v>
      </c>
      <c r="M467" s="3">
        <f>IF(AND(tbl_main[[#This Row],[Price]]="",tbl_main[[#This Row],[Qty]]=""),"",tbl_main[[#This Row],[Price]]*tbl_main[[#This Row],[Qty]])</f>
        <v>160</v>
      </c>
      <c r="N467" s="3">
        <f>_xlfn.LET(_xlpm.x,_xlfn.XLOOKUP(tbl_main[[#This Row],[Service]],tbl_service[Service],tbl_service[Profit],""),
               IF(tbl_main[[#This Row],[Qty]]="","",_xlpm.x*tbl_main[[#This Row],[Qty]]))</f>
        <v>72</v>
      </c>
    </row>
    <row r="468" spans="1:14" x14ac:dyDescent="0.25">
      <c r="A468" t="s">
        <v>510</v>
      </c>
      <c r="B468" s="1">
        <v>45807</v>
      </c>
      <c r="C468">
        <f>IF(tbl_main[[#This Row],[Date]]="","",YEAR(B468))</f>
        <v>2025</v>
      </c>
      <c r="D468" t="str">
        <f>IF(tbl_main[[#This Row],[Date]]="","",TEXT(B468,"mmm"))</f>
        <v>May</v>
      </c>
      <c r="E468" t="str">
        <f>IF(tbl_main[[#This Row],[Date]]="","",TEXT(B468,"DDD"))</f>
        <v>Fri</v>
      </c>
      <c r="F468" t="s">
        <v>27</v>
      </c>
      <c r="G468" t="s">
        <v>40</v>
      </c>
      <c r="H468" s="3" t="s">
        <v>26</v>
      </c>
      <c r="I468" s="3" t="s">
        <v>35</v>
      </c>
      <c r="J468" s="3" t="s">
        <v>25</v>
      </c>
      <c r="K468" s="3">
        <f>_xlfn.XLOOKUP(tbl_main[[#This Row],[Service]],tbl_service[Service],tbl_service[Price],"")</f>
        <v>200</v>
      </c>
      <c r="L468" s="3">
        <v>2</v>
      </c>
      <c r="M468" s="3">
        <f>IF(AND(tbl_main[[#This Row],[Price]]="",tbl_main[[#This Row],[Qty]]=""),"",tbl_main[[#This Row],[Price]]*tbl_main[[#This Row],[Qty]])</f>
        <v>400</v>
      </c>
      <c r="N468" s="3">
        <f>_xlfn.LET(_xlpm.x,_xlfn.XLOOKUP(tbl_main[[#This Row],[Service]],tbl_service[Service],tbl_service[Profit],""),
               IF(tbl_main[[#This Row],[Qty]]="","",_xlpm.x*tbl_main[[#This Row],[Qty]]))</f>
        <v>180</v>
      </c>
    </row>
    <row r="469" spans="1:14" x14ac:dyDescent="0.25">
      <c r="A469" t="s">
        <v>511</v>
      </c>
      <c r="B469" s="1">
        <v>45807</v>
      </c>
      <c r="C469">
        <f>IF(tbl_main[[#This Row],[Date]]="","",YEAR(B469))</f>
        <v>2025</v>
      </c>
      <c r="D469" t="str">
        <f>IF(tbl_main[[#This Row],[Date]]="","",TEXT(B469,"mmm"))</f>
        <v>May</v>
      </c>
      <c r="E469" t="str">
        <f>IF(tbl_main[[#This Row],[Date]]="","",TEXT(B469,"DDD"))</f>
        <v>Fri</v>
      </c>
      <c r="F469" t="s">
        <v>30</v>
      </c>
      <c r="G469" t="s">
        <v>36</v>
      </c>
      <c r="H469" s="3" t="s">
        <v>15</v>
      </c>
      <c r="I469" s="3" t="s">
        <v>23</v>
      </c>
      <c r="J469" s="3" t="s">
        <v>25</v>
      </c>
      <c r="K469" s="3">
        <f>_xlfn.XLOOKUP(tbl_main[[#This Row],[Service]],tbl_service[Service],tbl_service[Price],"")</f>
        <v>500</v>
      </c>
      <c r="L469" s="3">
        <v>2</v>
      </c>
      <c r="M469" s="3">
        <f>IF(AND(tbl_main[[#This Row],[Price]]="",tbl_main[[#This Row],[Qty]]=""),"",tbl_main[[#This Row],[Price]]*tbl_main[[#This Row],[Qty]])</f>
        <v>1000</v>
      </c>
      <c r="N469" s="3">
        <f>_xlfn.LET(_xlpm.x,_xlfn.XLOOKUP(tbl_main[[#This Row],[Service]],tbl_service[Service],tbl_service[Profit],""),
               IF(tbl_main[[#This Row],[Qty]]="","",_xlpm.x*tbl_main[[#This Row],[Qty]]))</f>
        <v>450</v>
      </c>
    </row>
    <row r="470" spans="1:14" x14ac:dyDescent="0.25">
      <c r="A470" t="s">
        <v>512</v>
      </c>
      <c r="B470" s="1">
        <v>45808</v>
      </c>
      <c r="C470">
        <f>IF(tbl_main[[#This Row],[Date]]="","",YEAR(B470))</f>
        <v>2025</v>
      </c>
      <c r="D470" t="str">
        <f>IF(tbl_main[[#This Row],[Date]]="","",TEXT(B470,"mmm"))</f>
        <v>May</v>
      </c>
      <c r="E470" t="str">
        <f>IF(tbl_main[[#This Row],[Date]]="","",TEXT(B470,"DDD"))</f>
        <v>Sat</v>
      </c>
      <c r="F470" t="s">
        <v>30</v>
      </c>
      <c r="G470" t="s">
        <v>36</v>
      </c>
      <c r="H470" s="3" t="s">
        <v>22</v>
      </c>
      <c r="I470" s="3" t="s">
        <v>37</v>
      </c>
      <c r="J470" s="3" t="s">
        <v>17</v>
      </c>
      <c r="K470" s="3">
        <f>_xlfn.XLOOKUP(tbl_main[[#This Row],[Service]],tbl_service[Service],tbl_service[Price],"")</f>
        <v>150</v>
      </c>
      <c r="L470" s="3">
        <v>2</v>
      </c>
      <c r="M470" s="3">
        <f>IF(AND(tbl_main[[#This Row],[Price]]="",tbl_main[[#This Row],[Qty]]=""),"",tbl_main[[#This Row],[Price]]*tbl_main[[#This Row],[Qty]])</f>
        <v>300</v>
      </c>
      <c r="N470" s="3">
        <f>_xlfn.LET(_xlpm.x,_xlfn.XLOOKUP(tbl_main[[#This Row],[Service]],tbl_service[Service],tbl_service[Profit],""),
               IF(tbl_main[[#This Row],[Qty]]="","",_xlpm.x*tbl_main[[#This Row],[Qty]]))</f>
        <v>134</v>
      </c>
    </row>
    <row r="471" spans="1:14" x14ac:dyDescent="0.25">
      <c r="A471" t="s">
        <v>513</v>
      </c>
      <c r="B471" s="1">
        <v>45808</v>
      </c>
      <c r="C471">
        <f>IF(tbl_main[[#This Row],[Date]]="","",YEAR(B471))</f>
        <v>2025</v>
      </c>
      <c r="D471" t="str">
        <f>IF(tbl_main[[#This Row],[Date]]="","",TEXT(B471,"mmm"))</f>
        <v>May</v>
      </c>
      <c r="E471" t="str">
        <f>IF(tbl_main[[#This Row],[Date]]="","",TEXT(B471,"DDD"))</f>
        <v>Sat</v>
      </c>
      <c r="F471" t="s">
        <v>30</v>
      </c>
      <c r="G471" t="s">
        <v>31</v>
      </c>
      <c r="H471" s="3" t="s">
        <v>22</v>
      </c>
      <c r="I471" s="3" t="s">
        <v>38</v>
      </c>
      <c r="J471" s="3" t="s">
        <v>32</v>
      </c>
      <c r="K471" s="3">
        <f>_xlfn.XLOOKUP(tbl_main[[#This Row],[Service]],tbl_service[Service],tbl_service[Price],"")</f>
        <v>150</v>
      </c>
      <c r="L471" s="3">
        <v>2</v>
      </c>
      <c r="M471" s="3">
        <f>IF(AND(tbl_main[[#This Row],[Price]]="",tbl_main[[#This Row],[Qty]]=""),"",tbl_main[[#This Row],[Price]]*tbl_main[[#This Row],[Qty]])</f>
        <v>300</v>
      </c>
      <c r="N471" s="3">
        <f>_xlfn.LET(_xlpm.x,_xlfn.XLOOKUP(tbl_main[[#This Row],[Service]],tbl_service[Service],tbl_service[Profit],""),
               IF(tbl_main[[#This Row],[Qty]]="","",_xlpm.x*tbl_main[[#This Row],[Qty]]))</f>
        <v>134</v>
      </c>
    </row>
    <row r="472" spans="1:14" x14ac:dyDescent="0.25">
      <c r="A472" t="s">
        <v>514</v>
      </c>
      <c r="B472" s="1">
        <v>45808</v>
      </c>
      <c r="C472">
        <f>IF(tbl_main[[#This Row],[Date]]="","",YEAR(B472))</f>
        <v>2025</v>
      </c>
      <c r="D472" t="str">
        <f>IF(tbl_main[[#This Row],[Date]]="","",TEXT(B472,"mmm"))</f>
        <v>May</v>
      </c>
      <c r="E472" t="str">
        <f>IF(tbl_main[[#This Row],[Date]]="","",TEXT(B472,"DDD"))</f>
        <v>Sat</v>
      </c>
      <c r="F472" t="s">
        <v>27</v>
      </c>
      <c r="G472" t="s">
        <v>28</v>
      </c>
      <c r="H472" s="3" t="s">
        <v>15</v>
      </c>
      <c r="I472" s="3" t="s">
        <v>16</v>
      </c>
      <c r="J472" s="3" t="s">
        <v>32</v>
      </c>
      <c r="K472" s="3">
        <f>_xlfn.XLOOKUP(tbl_main[[#This Row],[Service]],tbl_service[Service],tbl_service[Price],"")</f>
        <v>500</v>
      </c>
      <c r="L472" s="3">
        <v>1</v>
      </c>
      <c r="M472" s="3">
        <f>IF(AND(tbl_main[[#This Row],[Price]]="",tbl_main[[#This Row],[Qty]]=""),"",tbl_main[[#This Row],[Price]]*tbl_main[[#This Row],[Qty]])</f>
        <v>500</v>
      </c>
      <c r="N472" s="3">
        <f>_xlfn.LET(_xlpm.x,_xlfn.XLOOKUP(tbl_main[[#This Row],[Service]],tbl_service[Service],tbl_service[Profit],""),
               IF(tbl_main[[#This Row],[Qty]]="","",_xlpm.x*tbl_main[[#This Row],[Qty]]))</f>
        <v>225</v>
      </c>
    </row>
    <row r="473" spans="1:14" x14ac:dyDescent="0.25">
      <c r="A473" t="s">
        <v>515</v>
      </c>
      <c r="B473" s="1">
        <v>45808</v>
      </c>
      <c r="C473">
        <f>IF(tbl_main[[#This Row],[Date]]="","",YEAR(B473))</f>
        <v>2025</v>
      </c>
      <c r="D473" t="str">
        <f>IF(tbl_main[[#This Row],[Date]]="","",TEXT(B473,"mmm"))</f>
        <v>May</v>
      </c>
      <c r="E473" t="str">
        <f>IF(tbl_main[[#This Row],[Date]]="","",TEXT(B473,"DDD"))</f>
        <v>Sat</v>
      </c>
      <c r="F473" t="s">
        <v>30</v>
      </c>
      <c r="G473" t="s">
        <v>31</v>
      </c>
      <c r="H473" s="3" t="s">
        <v>24</v>
      </c>
      <c r="I473" s="3" t="s">
        <v>19</v>
      </c>
      <c r="J473" s="3" t="s">
        <v>17</v>
      </c>
      <c r="K473" s="3">
        <f>_xlfn.XLOOKUP(tbl_main[[#This Row],[Service]],tbl_service[Service],tbl_service[Price],"")</f>
        <v>80</v>
      </c>
      <c r="L473" s="3">
        <v>2</v>
      </c>
      <c r="M473" s="3">
        <f>IF(AND(tbl_main[[#This Row],[Price]]="",tbl_main[[#This Row],[Qty]]=""),"",tbl_main[[#This Row],[Price]]*tbl_main[[#This Row],[Qty]])</f>
        <v>160</v>
      </c>
      <c r="N473" s="3">
        <f>_xlfn.LET(_xlpm.x,_xlfn.XLOOKUP(tbl_main[[#This Row],[Service]],tbl_service[Service],tbl_service[Profit],""),
               IF(tbl_main[[#This Row],[Qty]]="","",_xlpm.x*tbl_main[[#This Row],[Qty]]))</f>
        <v>72</v>
      </c>
    </row>
    <row r="474" spans="1:14" x14ac:dyDescent="0.25">
      <c r="A474" t="s">
        <v>516</v>
      </c>
      <c r="B474" s="1">
        <v>45809</v>
      </c>
      <c r="C474">
        <f>IF(tbl_main[[#This Row],[Date]]="","",YEAR(B474))</f>
        <v>2025</v>
      </c>
      <c r="D474" t="str">
        <f>IF(tbl_main[[#This Row],[Date]]="","",TEXT(B474,"mmm"))</f>
        <v>Jun</v>
      </c>
      <c r="E474" t="str">
        <f>IF(tbl_main[[#This Row],[Date]]="","",TEXT(B474,"DDD"))</f>
        <v>Sun</v>
      </c>
      <c r="F474" t="s">
        <v>27</v>
      </c>
      <c r="G474" t="s">
        <v>28</v>
      </c>
      <c r="H474" s="3" t="s">
        <v>24</v>
      </c>
      <c r="I474" s="3" t="s">
        <v>35</v>
      </c>
      <c r="J474" s="3" t="s">
        <v>32</v>
      </c>
      <c r="K474" s="3">
        <f>_xlfn.XLOOKUP(tbl_main[[#This Row],[Service]],tbl_service[Service],tbl_service[Price],"")</f>
        <v>80</v>
      </c>
      <c r="L474" s="3">
        <v>1</v>
      </c>
      <c r="M474" s="3">
        <f>IF(AND(tbl_main[[#This Row],[Price]]="",tbl_main[[#This Row],[Qty]]=""),"",tbl_main[[#This Row],[Price]]*tbl_main[[#This Row],[Qty]])</f>
        <v>80</v>
      </c>
      <c r="N474" s="3">
        <f>_xlfn.LET(_xlpm.x,_xlfn.XLOOKUP(tbl_main[[#This Row],[Service]],tbl_service[Service],tbl_service[Profit],""),
               IF(tbl_main[[#This Row],[Qty]]="","",_xlpm.x*tbl_main[[#This Row],[Qty]]))</f>
        <v>36</v>
      </c>
    </row>
    <row r="475" spans="1:14" x14ac:dyDescent="0.25">
      <c r="A475" t="s">
        <v>517</v>
      </c>
      <c r="B475" s="1">
        <v>45809</v>
      </c>
      <c r="C475">
        <f>IF(tbl_main[[#This Row],[Date]]="","",YEAR(B475))</f>
        <v>2025</v>
      </c>
      <c r="D475" t="str">
        <f>IF(tbl_main[[#This Row],[Date]]="","",TEXT(B475,"mmm"))</f>
        <v>Jun</v>
      </c>
      <c r="E475" t="str">
        <f>IF(tbl_main[[#This Row],[Date]]="","",TEXT(B475,"DDD"))</f>
        <v>Sun</v>
      </c>
      <c r="F475" t="s">
        <v>30</v>
      </c>
      <c r="G475" t="s">
        <v>36</v>
      </c>
      <c r="H475" s="3" t="s">
        <v>22</v>
      </c>
      <c r="I475" s="3" t="s">
        <v>41</v>
      </c>
      <c r="J475" s="3" t="s">
        <v>25</v>
      </c>
      <c r="K475" s="3">
        <f>_xlfn.XLOOKUP(tbl_main[[#This Row],[Service]],tbl_service[Service],tbl_service[Price],"")</f>
        <v>150</v>
      </c>
      <c r="L475" s="3">
        <v>2</v>
      </c>
      <c r="M475" s="3">
        <f>IF(AND(tbl_main[[#This Row],[Price]]="",tbl_main[[#This Row],[Qty]]=""),"",tbl_main[[#This Row],[Price]]*tbl_main[[#This Row],[Qty]])</f>
        <v>300</v>
      </c>
      <c r="N475" s="3">
        <f>_xlfn.LET(_xlpm.x,_xlfn.XLOOKUP(tbl_main[[#This Row],[Service]],tbl_service[Service],tbl_service[Profit],""),
               IF(tbl_main[[#This Row],[Qty]]="","",_xlpm.x*tbl_main[[#This Row],[Qty]]))</f>
        <v>134</v>
      </c>
    </row>
    <row r="476" spans="1:14" x14ac:dyDescent="0.25">
      <c r="A476" t="s">
        <v>518</v>
      </c>
      <c r="B476" s="1">
        <v>45809</v>
      </c>
      <c r="C476">
        <f>IF(tbl_main[[#This Row],[Date]]="","",YEAR(B476))</f>
        <v>2025</v>
      </c>
      <c r="D476" t="str">
        <f>IF(tbl_main[[#This Row],[Date]]="","",TEXT(B476,"mmm"))</f>
        <v>Jun</v>
      </c>
      <c r="E476" t="str">
        <f>IF(tbl_main[[#This Row],[Date]]="","",TEXT(B476,"DDD"))</f>
        <v>Sun</v>
      </c>
      <c r="F476" t="s">
        <v>30</v>
      </c>
      <c r="G476" t="s">
        <v>31</v>
      </c>
      <c r="H476" s="3" t="s">
        <v>24</v>
      </c>
      <c r="I476" s="3" t="s">
        <v>41</v>
      </c>
      <c r="J476" s="3" t="s">
        <v>25</v>
      </c>
      <c r="K476" s="3">
        <f>_xlfn.XLOOKUP(tbl_main[[#This Row],[Service]],tbl_service[Service],tbl_service[Price],"")</f>
        <v>80</v>
      </c>
      <c r="L476" s="3">
        <v>2</v>
      </c>
      <c r="M476" s="3">
        <f>IF(AND(tbl_main[[#This Row],[Price]]="",tbl_main[[#This Row],[Qty]]=""),"",tbl_main[[#This Row],[Price]]*tbl_main[[#This Row],[Qty]])</f>
        <v>160</v>
      </c>
      <c r="N476" s="3">
        <f>_xlfn.LET(_xlpm.x,_xlfn.XLOOKUP(tbl_main[[#This Row],[Service]],tbl_service[Service],tbl_service[Profit],""),
               IF(tbl_main[[#This Row],[Qty]]="","",_xlpm.x*tbl_main[[#This Row],[Qty]]))</f>
        <v>72</v>
      </c>
    </row>
    <row r="477" spans="1:14" x14ac:dyDescent="0.25">
      <c r="A477" t="s">
        <v>519</v>
      </c>
      <c r="B477" s="1">
        <v>45810</v>
      </c>
      <c r="C477">
        <f>IF(tbl_main[[#This Row],[Date]]="","",YEAR(B477))</f>
        <v>2025</v>
      </c>
      <c r="D477" t="str">
        <f>IF(tbl_main[[#This Row],[Date]]="","",TEXT(B477,"mmm"))</f>
        <v>Jun</v>
      </c>
      <c r="E477" t="str">
        <f>IF(tbl_main[[#This Row],[Date]]="","",TEXT(B477,"DDD"))</f>
        <v>Mon</v>
      </c>
      <c r="F477" t="s">
        <v>27</v>
      </c>
      <c r="G477" t="s">
        <v>28</v>
      </c>
      <c r="H477" s="3" t="s">
        <v>22</v>
      </c>
      <c r="I477" s="3" t="s">
        <v>35</v>
      </c>
      <c r="J477" s="3" t="s">
        <v>32</v>
      </c>
      <c r="K477" s="3">
        <f>_xlfn.XLOOKUP(tbl_main[[#This Row],[Service]],tbl_service[Service],tbl_service[Price],"")</f>
        <v>150</v>
      </c>
      <c r="L477" s="3">
        <v>2</v>
      </c>
      <c r="M477" s="3">
        <f>IF(AND(tbl_main[[#This Row],[Price]]="",tbl_main[[#This Row],[Qty]]=""),"",tbl_main[[#This Row],[Price]]*tbl_main[[#This Row],[Qty]])</f>
        <v>300</v>
      </c>
      <c r="N477" s="3">
        <f>_xlfn.LET(_xlpm.x,_xlfn.XLOOKUP(tbl_main[[#This Row],[Service]],tbl_service[Service],tbl_service[Profit],""),
               IF(tbl_main[[#This Row],[Qty]]="","",_xlpm.x*tbl_main[[#This Row],[Qty]]))</f>
        <v>134</v>
      </c>
    </row>
    <row r="478" spans="1:14" x14ac:dyDescent="0.25">
      <c r="A478" t="s">
        <v>520</v>
      </c>
      <c r="B478" s="1">
        <v>45810</v>
      </c>
      <c r="C478">
        <f>IF(tbl_main[[#This Row],[Date]]="","",YEAR(B478))</f>
        <v>2025</v>
      </c>
      <c r="D478" t="str">
        <f>IF(tbl_main[[#This Row],[Date]]="","",TEXT(B478,"mmm"))</f>
        <v>Jun</v>
      </c>
      <c r="E478" t="str">
        <f>IF(tbl_main[[#This Row],[Date]]="","",TEXT(B478,"DDD"))</f>
        <v>Mon</v>
      </c>
      <c r="F478" t="s">
        <v>30</v>
      </c>
      <c r="G478" t="s">
        <v>36</v>
      </c>
      <c r="H478" s="3" t="s">
        <v>26</v>
      </c>
      <c r="I478" s="3" t="s">
        <v>35</v>
      </c>
      <c r="J478" s="3" t="s">
        <v>25</v>
      </c>
      <c r="K478" s="3">
        <f>_xlfn.XLOOKUP(tbl_main[[#This Row],[Service]],tbl_service[Service],tbl_service[Price],"")</f>
        <v>200</v>
      </c>
      <c r="L478" s="3">
        <v>2</v>
      </c>
      <c r="M478" s="3">
        <f>IF(AND(tbl_main[[#This Row],[Price]]="",tbl_main[[#This Row],[Qty]]=""),"",tbl_main[[#This Row],[Price]]*tbl_main[[#This Row],[Qty]])</f>
        <v>400</v>
      </c>
      <c r="N478" s="3">
        <f>_xlfn.LET(_xlpm.x,_xlfn.XLOOKUP(tbl_main[[#This Row],[Service]],tbl_service[Service],tbl_service[Profit],""),
               IF(tbl_main[[#This Row],[Qty]]="","",_xlpm.x*tbl_main[[#This Row],[Qty]]))</f>
        <v>180</v>
      </c>
    </row>
    <row r="479" spans="1:14" x14ac:dyDescent="0.25">
      <c r="A479" t="s">
        <v>521</v>
      </c>
      <c r="B479" s="1">
        <v>45810</v>
      </c>
      <c r="C479">
        <f>IF(tbl_main[[#This Row],[Date]]="","",YEAR(B479))</f>
        <v>2025</v>
      </c>
      <c r="D479" t="str">
        <f>IF(tbl_main[[#This Row],[Date]]="","",TEXT(B479,"mmm"))</f>
        <v>Jun</v>
      </c>
      <c r="E479" t="str">
        <f>IF(tbl_main[[#This Row],[Date]]="","",TEXT(B479,"DDD"))</f>
        <v>Mon</v>
      </c>
      <c r="F479" t="s">
        <v>13</v>
      </c>
      <c r="G479" t="s">
        <v>33</v>
      </c>
      <c r="H479" s="3" t="s">
        <v>26</v>
      </c>
      <c r="I479" s="3" t="s">
        <v>23</v>
      </c>
      <c r="J479" s="3" t="s">
        <v>32</v>
      </c>
      <c r="K479" s="3">
        <f>_xlfn.XLOOKUP(tbl_main[[#This Row],[Service]],tbl_service[Service],tbl_service[Price],"")</f>
        <v>200</v>
      </c>
      <c r="L479" s="3">
        <v>1</v>
      </c>
      <c r="M479" s="3">
        <f>IF(AND(tbl_main[[#This Row],[Price]]="",tbl_main[[#This Row],[Qty]]=""),"",tbl_main[[#This Row],[Price]]*tbl_main[[#This Row],[Qty]])</f>
        <v>200</v>
      </c>
      <c r="N479" s="3">
        <f>_xlfn.LET(_xlpm.x,_xlfn.XLOOKUP(tbl_main[[#This Row],[Service]],tbl_service[Service],tbl_service[Profit],""),
               IF(tbl_main[[#This Row],[Qty]]="","",_xlpm.x*tbl_main[[#This Row],[Qty]]))</f>
        <v>90</v>
      </c>
    </row>
    <row r="480" spans="1:14" x14ac:dyDescent="0.25">
      <c r="A480" t="s">
        <v>522</v>
      </c>
      <c r="B480" s="1">
        <v>45810</v>
      </c>
      <c r="C480">
        <f>IF(tbl_main[[#This Row],[Date]]="","",YEAR(B480))</f>
        <v>2025</v>
      </c>
      <c r="D480" t="str">
        <f>IF(tbl_main[[#This Row],[Date]]="","",TEXT(B480,"mmm"))</f>
        <v>Jun</v>
      </c>
      <c r="E480" t="str">
        <f>IF(tbl_main[[#This Row],[Date]]="","",TEXT(B480,"DDD"))</f>
        <v>Mon</v>
      </c>
      <c r="F480" t="s">
        <v>13</v>
      </c>
      <c r="G480" t="s">
        <v>33</v>
      </c>
      <c r="H480" s="3" t="s">
        <v>24</v>
      </c>
      <c r="I480" s="3" t="s">
        <v>37</v>
      </c>
      <c r="J480" s="3" t="s">
        <v>25</v>
      </c>
      <c r="K480" s="3">
        <f>_xlfn.XLOOKUP(tbl_main[[#This Row],[Service]],tbl_service[Service],tbl_service[Price],"")</f>
        <v>80</v>
      </c>
      <c r="L480" s="3">
        <v>2</v>
      </c>
      <c r="M480" s="3">
        <f>IF(AND(tbl_main[[#This Row],[Price]]="",tbl_main[[#This Row],[Qty]]=""),"",tbl_main[[#This Row],[Price]]*tbl_main[[#This Row],[Qty]])</f>
        <v>160</v>
      </c>
      <c r="N480" s="3">
        <f>_xlfn.LET(_xlpm.x,_xlfn.XLOOKUP(tbl_main[[#This Row],[Service]],tbl_service[Service],tbl_service[Profit],""),
               IF(tbl_main[[#This Row],[Qty]]="","",_xlpm.x*tbl_main[[#This Row],[Qty]]))</f>
        <v>72</v>
      </c>
    </row>
    <row r="481" spans="1:14" x14ac:dyDescent="0.25">
      <c r="A481" t="s">
        <v>523</v>
      </c>
      <c r="B481" s="1">
        <v>45811</v>
      </c>
      <c r="C481">
        <f>IF(tbl_main[[#This Row],[Date]]="","",YEAR(B481))</f>
        <v>2025</v>
      </c>
      <c r="D481" t="str">
        <f>IF(tbl_main[[#This Row],[Date]]="","",TEXT(B481,"mmm"))</f>
        <v>Jun</v>
      </c>
      <c r="E481" t="str">
        <f>IF(tbl_main[[#This Row],[Date]]="","",TEXT(B481,"DDD"))</f>
        <v>Tue</v>
      </c>
      <c r="F481" t="s">
        <v>27</v>
      </c>
      <c r="G481" t="s">
        <v>40</v>
      </c>
      <c r="H481" s="3" t="s">
        <v>22</v>
      </c>
      <c r="I481" s="3" t="s">
        <v>38</v>
      </c>
      <c r="J481" s="3" t="s">
        <v>17</v>
      </c>
      <c r="K481" s="3">
        <f>_xlfn.XLOOKUP(tbl_main[[#This Row],[Service]],tbl_service[Service],tbl_service[Price],"")</f>
        <v>150</v>
      </c>
      <c r="L481" s="3">
        <v>2</v>
      </c>
      <c r="M481" s="3">
        <f>IF(AND(tbl_main[[#This Row],[Price]]="",tbl_main[[#This Row],[Qty]]=""),"",tbl_main[[#This Row],[Price]]*tbl_main[[#This Row],[Qty]])</f>
        <v>300</v>
      </c>
      <c r="N481" s="3">
        <f>_xlfn.LET(_xlpm.x,_xlfn.XLOOKUP(tbl_main[[#This Row],[Service]],tbl_service[Service],tbl_service[Profit],""),
               IF(tbl_main[[#This Row],[Qty]]="","",_xlpm.x*tbl_main[[#This Row],[Qty]]))</f>
        <v>134</v>
      </c>
    </row>
    <row r="482" spans="1:14" x14ac:dyDescent="0.25">
      <c r="A482" t="s">
        <v>524</v>
      </c>
      <c r="B482" s="1">
        <v>45811</v>
      </c>
      <c r="C482">
        <f>IF(tbl_main[[#This Row],[Date]]="","",YEAR(B482))</f>
        <v>2025</v>
      </c>
      <c r="D482" t="str">
        <f>IF(tbl_main[[#This Row],[Date]]="","",TEXT(B482,"mmm"))</f>
        <v>Jun</v>
      </c>
      <c r="E482" t="str">
        <f>IF(tbl_main[[#This Row],[Date]]="","",TEXT(B482,"DDD"))</f>
        <v>Tue</v>
      </c>
      <c r="F482" t="s">
        <v>20</v>
      </c>
      <c r="G482" t="s">
        <v>29</v>
      </c>
      <c r="H482" s="3" t="s">
        <v>15</v>
      </c>
      <c r="I482" s="3" t="s">
        <v>16</v>
      </c>
      <c r="J482" s="3" t="s">
        <v>25</v>
      </c>
      <c r="K482" s="3">
        <f>_xlfn.XLOOKUP(tbl_main[[#This Row],[Service]],tbl_service[Service],tbl_service[Price],"")</f>
        <v>500</v>
      </c>
      <c r="L482" s="3">
        <v>1</v>
      </c>
      <c r="M482" s="3">
        <f>IF(AND(tbl_main[[#This Row],[Price]]="",tbl_main[[#This Row],[Qty]]=""),"",tbl_main[[#This Row],[Price]]*tbl_main[[#This Row],[Qty]])</f>
        <v>500</v>
      </c>
      <c r="N482" s="3">
        <f>_xlfn.LET(_xlpm.x,_xlfn.XLOOKUP(tbl_main[[#This Row],[Service]],tbl_service[Service],tbl_service[Profit],""),
               IF(tbl_main[[#This Row],[Qty]]="","",_xlpm.x*tbl_main[[#This Row],[Qty]]))</f>
        <v>225</v>
      </c>
    </row>
    <row r="483" spans="1:14" x14ac:dyDescent="0.25">
      <c r="A483" t="s">
        <v>525</v>
      </c>
      <c r="B483" s="1">
        <v>45812</v>
      </c>
      <c r="C483">
        <f>IF(tbl_main[[#This Row],[Date]]="","",YEAR(B483))</f>
        <v>2025</v>
      </c>
      <c r="D483" t="str">
        <f>IF(tbl_main[[#This Row],[Date]]="","",TEXT(B483,"mmm"))</f>
        <v>Jun</v>
      </c>
      <c r="E483" t="str">
        <f>IF(tbl_main[[#This Row],[Date]]="","",TEXT(B483,"DDD"))</f>
        <v>Wed</v>
      </c>
      <c r="F483" t="s">
        <v>30</v>
      </c>
      <c r="G483" t="s">
        <v>36</v>
      </c>
      <c r="H483" s="3" t="s">
        <v>26</v>
      </c>
      <c r="I483" s="3" t="s">
        <v>19</v>
      </c>
      <c r="J483" s="3" t="s">
        <v>32</v>
      </c>
      <c r="K483" s="3">
        <f>_xlfn.XLOOKUP(tbl_main[[#This Row],[Service]],tbl_service[Service],tbl_service[Price],"")</f>
        <v>200</v>
      </c>
      <c r="L483" s="3">
        <v>2</v>
      </c>
      <c r="M483" s="3">
        <f>IF(AND(tbl_main[[#This Row],[Price]]="",tbl_main[[#This Row],[Qty]]=""),"",tbl_main[[#This Row],[Price]]*tbl_main[[#This Row],[Qty]])</f>
        <v>400</v>
      </c>
      <c r="N483" s="3">
        <f>_xlfn.LET(_xlpm.x,_xlfn.XLOOKUP(tbl_main[[#This Row],[Service]],tbl_service[Service],tbl_service[Profit],""),
               IF(tbl_main[[#This Row],[Qty]]="","",_xlpm.x*tbl_main[[#This Row],[Qty]]))</f>
        <v>180</v>
      </c>
    </row>
    <row r="484" spans="1:14" x14ac:dyDescent="0.25">
      <c r="A484" t="s">
        <v>526</v>
      </c>
      <c r="B484" s="1">
        <v>45812</v>
      </c>
      <c r="C484">
        <f>IF(tbl_main[[#This Row],[Date]]="","",YEAR(B484))</f>
        <v>2025</v>
      </c>
      <c r="D484" t="str">
        <f>IF(tbl_main[[#This Row],[Date]]="","",TEXT(B484,"mmm"))</f>
        <v>Jun</v>
      </c>
      <c r="E484" t="str">
        <f>IF(tbl_main[[#This Row],[Date]]="","",TEXT(B484,"DDD"))</f>
        <v>Wed</v>
      </c>
      <c r="F484" t="s">
        <v>27</v>
      </c>
      <c r="G484" t="s">
        <v>28</v>
      </c>
      <c r="H484" s="3" t="s">
        <v>22</v>
      </c>
      <c r="I484" s="3" t="s">
        <v>35</v>
      </c>
      <c r="J484" s="3" t="s">
        <v>32</v>
      </c>
      <c r="K484" s="3">
        <f>_xlfn.XLOOKUP(tbl_main[[#This Row],[Service]],tbl_service[Service],tbl_service[Price],"")</f>
        <v>150</v>
      </c>
      <c r="L484" s="3">
        <v>1</v>
      </c>
      <c r="M484" s="3">
        <f>IF(AND(tbl_main[[#This Row],[Price]]="",tbl_main[[#This Row],[Qty]]=""),"",tbl_main[[#This Row],[Price]]*tbl_main[[#This Row],[Qty]])</f>
        <v>150</v>
      </c>
      <c r="N484" s="3">
        <f>_xlfn.LET(_xlpm.x,_xlfn.XLOOKUP(tbl_main[[#This Row],[Service]],tbl_service[Service],tbl_service[Profit],""),
               IF(tbl_main[[#This Row],[Qty]]="","",_xlpm.x*tbl_main[[#This Row],[Qty]]))</f>
        <v>67</v>
      </c>
    </row>
    <row r="485" spans="1:14" x14ac:dyDescent="0.25">
      <c r="A485" t="s">
        <v>527</v>
      </c>
      <c r="B485" s="1">
        <v>45813</v>
      </c>
      <c r="C485">
        <f>IF(tbl_main[[#This Row],[Date]]="","",YEAR(B485))</f>
        <v>2025</v>
      </c>
      <c r="D485" t="str">
        <f>IF(tbl_main[[#This Row],[Date]]="","",TEXT(B485,"mmm"))</f>
        <v>Jun</v>
      </c>
      <c r="E485" t="str">
        <f>IF(tbl_main[[#This Row],[Date]]="","",TEXT(B485,"DDD"))</f>
        <v>Thu</v>
      </c>
      <c r="F485" t="s">
        <v>27</v>
      </c>
      <c r="G485" t="s">
        <v>28</v>
      </c>
      <c r="H485" s="3" t="s">
        <v>15</v>
      </c>
      <c r="I485" s="3" t="s">
        <v>41</v>
      </c>
      <c r="J485" s="3" t="s">
        <v>25</v>
      </c>
      <c r="K485" s="3">
        <f>_xlfn.XLOOKUP(tbl_main[[#This Row],[Service]],tbl_service[Service],tbl_service[Price],"")</f>
        <v>500</v>
      </c>
      <c r="L485" s="3">
        <v>2</v>
      </c>
      <c r="M485" s="3">
        <f>IF(AND(tbl_main[[#This Row],[Price]]="",tbl_main[[#This Row],[Qty]]=""),"",tbl_main[[#This Row],[Price]]*tbl_main[[#This Row],[Qty]])</f>
        <v>1000</v>
      </c>
      <c r="N485" s="3">
        <f>_xlfn.LET(_xlpm.x,_xlfn.XLOOKUP(tbl_main[[#This Row],[Service]],tbl_service[Service],tbl_service[Profit],""),
               IF(tbl_main[[#This Row],[Qty]]="","",_xlpm.x*tbl_main[[#This Row],[Qty]]))</f>
        <v>450</v>
      </c>
    </row>
    <row r="486" spans="1:14" x14ac:dyDescent="0.25">
      <c r="A486" t="s">
        <v>528</v>
      </c>
      <c r="B486" s="1">
        <v>45813</v>
      </c>
      <c r="C486">
        <f>IF(tbl_main[[#This Row],[Date]]="","",YEAR(B486))</f>
        <v>2025</v>
      </c>
      <c r="D486" t="str">
        <f>IF(tbl_main[[#This Row],[Date]]="","",TEXT(B486,"mmm"))</f>
        <v>Jun</v>
      </c>
      <c r="E486" t="str">
        <f>IF(tbl_main[[#This Row],[Date]]="","",TEXT(B486,"DDD"))</f>
        <v>Thu</v>
      </c>
      <c r="F486" t="s">
        <v>27</v>
      </c>
      <c r="G486" t="s">
        <v>28</v>
      </c>
      <c r="H486" s="3" t="s">
        <v>15</v>
      </c>
      <c r="I486" s="3" t="s">
        <v>41</v>
      </c>
      <c r="J486" s="3" t="s">
        <v>25</v>
      </c>
      <c r="K486" s="3">
        <f>_xlfn.XLOOKUP(tbl_main[[#This Row],[Service]],tbl_service[Service],tbl_service[Price],"")</f>
        <v>500</v>
      </c>
      <c r="L486" s="3">
        <v>2</v>
      </c>
      <c r="M486" s="3">
        <f>IF(AND(tbl_main[[#This Row],[Price]]="",tbl_main[[#This Row],[Qty]]=""),"",tbl_main[[#This Row],[Price]]*tbl_main[[#This Row],[Qty]])</f>
        <v>1000</v>
      </c>
      <c r="N486" s="3">
        <f>_xlfn.LET(_xlpm.x,_xlfn.XLOOKUP(tbl_main[[#This Row],[Service]],tbl_service[Service],tbl_service[Profit],""),
               IF(tbl_main[[#This Row],[Qty]]="","",_xlpm.x*tbl_main[[#This Row],[Qty]]))</f>
        <v>450</v>
      </c>
    </row>
    <row r="487" spans="1:14" x14ac:dyDescent="0.25">
      <c r="A487" t="s">
        <v>529</v>
      </c>
      <c r="B487" s="1">
        <v>45813</v>
      </c>
      <c r="C487">
        <f>IF(tbl_main[[#This Row],[Date]]="","",YEAR(B487))</f>
        <v>2025</v>
      </c>
      <c r="D487" t="str">
        <f>IF(tbl_main[[#This Row],[Date]]="","",TEXT(B487,"mmm"))</f>
        <v>Jun</v>
      </c>
      <c r="E487" t="str">
        <f>IF(tbl_main[[#This Row],[Date]]="","",TEXT(B487,"DDD"))</f>
        <v>Thu</v>
      </c>
      <c r="F487" t="s">
        <v>27</v>
      </c>
      <c r="G487" t="s">
        <v>40</v>
      </c>
      <c r="H487" s="3" t="s">
        <v>15</v>
      </c>
      <c r="I487" s="3" t="s">
        <v>35</v>
      </c>
      <c r="J487" s="3" t="s">
        <v>17</v>
      </c>
      <c r="K487" s="3">
        <f>_xlfn.XLOOKUP(tbl_main[[#This Row],[Service]],tbl_service[Service],tbl_service[Price],"")</f>
        <v>500</v>
      </c>
      <c r="L487" s="3">
        <v>2</v>
      </c>
      <c r="M487" s="3">
        <f>IF(AND(tbl_main[[#This Row],[Price]]="",tbl_main[[#This Row],[Qty]]=""),"",tbl_main[[#This Row],[Price]]*tbl_main[[#This Row],[Qty]])</f>
        <v>1000</v>
      </c>
      <c r="N487" s="3">
        <f>_xlfn.LET(_xlpm.x,_xlfn.XLOOKUP(tbl_main[[#This Row],[Service]],tbl_service[Service],tbl_service[Profit],""),
               IF(tbl_main[[#This Row],[Qty]]="","",_xlpm.x*tbl_main[[#This Row],[Qty]]))</f>
        <v>450</v>
      </c>
    </row>
    <row r="488" spans="1:14" x14ac:dyDescent="0.25">
      <c r="A488" t="s">
        <v>530</v>
      </c>
      <c r="B488" s="1">
        <v>45814</v>
      </c>
      <c r="C488">
        <f>IF(tbl_main[[#This Row],[Date]]="","",YEAR(B488))</f>
        <v>2025</v>
      </c>
      <c r="D488" t="str">
        <f>IF(tbl_main[[#This Row],[Date]]="","",TEXT(B488,"mmm"))</f>
        <v>Jun</v>
      </c>
      <c r="E488" t="str">
        <f>IF(tbl_main[[#This Row],[Date]]="","",TEXT(B488,"DDD"))</f>
        <v>Fri</v>
      </c>
      <c r="F488" t="s">
        <v>30</v>
      </c>
      <c r="G488" t="s">
        <v>36</v>
      </c>
      <c r="H488" s="3" t="s">
        <v>22</v>
      </c>
      <c r="I488" s="3" t="s">
        <v>35</v>
      </c>
      <c r="J488" s="3" t="s">
        <v>32</v>
      </c>
      <c r="K488" s="3">
        <f>_xlfn.XLOOKUP(tbl_main[[#This Row],[Service]],tbl_service[Service],tbl_service[Price],"")</f>
        <v>150</v>
      </c>
      <c r="L488" s="3">
        <v>1</v>
      </c>
      <c r="M488" s="3">
        <f>IF(AND(tbl_main[[#This Row],[Price]]="",tbl_main[[#This Row],[Qty]]=""),"",tbl_main[[#This Row],[Price]]*tbl_main[[#This Row],[Qty]])</f>
        <v>150</v>
      </c>
      <c r="N488" s="3">
        <f>_xlfn.LET(_xlpm.x,_xlfn.XLOOKUP(tbl_main[[#This Row],[Service]],tbl_service[Service],tbl_service[Profit],""),
               IF(tbl_main[[#This Row],[Qty]]="","",_xlpm.x*tbl_main[[#This Row],[Qty]]))</f>
        <v>67</v>
      </c>
    </row>
    <row r="489" spans="1:14" x14ac:dyDescent="0.25">
      <c r="A489" t="s">
        <v>531</v>
      </c>
      <c r="B489" s="1">
        <v>45814</v>
      </c>
      <c r="C489">
        <f>IF(tbl_main[[#This Row],[Date]]="","",YEAR(B489))</f>
        <v>2025</v>
      </c>
      <c r="D489" t="str">
        <f>IF(tbl_main[[#This Row],[Date]]="","",TEXT(B489,"mmm"))</f>
        <v>Jun</v>
      </c>
      <c r="E489" t="str">
        <f>IF(tbl_main[[#This Row],[Date]]="","",TEXT(B489,"DDD"))</f>
        <v>Fri</v>
      </c>
      <c r="F489" t="s">
        <v>30</v>
      </c>
      <c r="G489" t="s">
        <v>36</v>
      </c>
      <c r="H489" s="3" t="s">
        <v>24</v>
      </c>
      <c r="I489" s="3" t="s">
        <v>23</v>
      </c>
      <c r="J489" s="3" t="s">
        <v>17</v>
      </c>
      <c r="K489" s="3">
        <f>_xlfn.XLOOKUP(tbl_main[[#This Row],[Service]],tbl_service[Service],tbl_service[Price],"")</f>
        <v>80</v>
      </c>
      <c r="L489" s="3">
        <v>2</v>
      </c>
      <c r="M489" s="3">
        <f>IF(AND(tbl_main[[#This Row],[Price]]="",tbl_main[[#This Row],[Qty]]=""),"",tbl_main[[#This Row],[Price]]*tbl_main[[#This Row],[Qty]])</f>
        <v>160</v>
      </c>
      <c r="N489" s="3">
        <f>_xlfn.LET(_xlpm.x,_xlfn.XLOOKUP(tbl_main[[#This Row],[Service]],tbl_service[Service],tbl_service[Profit],""),
               IF(tbl_main[[#This Row],[Qty]]="","",_xlpm.x*tbl_main[[#This Row],[Qty]]))</f>
        <v>72</v>
      </c>
    </row>
    <row r="490" spans="1:14" x14ac:dyDescent="0.25">
      <c r="A490" t="s">
        <v>532</v>
      </c>
      <c r="B490" s="1">
        <v>45814</v>
      </c>
      <c r="C490">
        <f>IF(tbl_main[[#This Row],[Date]]="","",YEAR(B490))</f>
        <v>2025</v>
      </c>
      <c r="D490" t="str">
        <f>IF(tbl_main[[#This Row],[Date]]="","",TEXT(B490,"mmm"))</f>
        <v>Jun</v>
      </c>
      <c r="E490" t="str">
        <f>IF(tbl_main[[#This Row],[Date]]="","",TEXT(B490,"DDD"))</f>
        <v>Fri</v>
      </c>
      <c r="F490" t="s">
        <v>13</v>
      </c>
      <c r="G490" t="s">
        <v>33</v>
      </c>
      <c r="H490" s="3" t="s">
        <v>22</v>
      </c>
      <c r="I490" s="3" t="s">
        <v>37</v>
      </c>
      <c r="J490" s="3" t="s">
        <v>25</v>
      </c>
      <c r="K490" s="3">
        <f>_xlfn.XLOOKUP(tbl_main[[#This Row],[Service]],tbl_service[Service],tbl_service[Price],"")</f>
        <v>150</v>
      </c>
      <c r="L490" s="3">
        <v>1</v>
      </c>
      <c r="M490" s="3">
        <f>IF(AND(tbl_main[[#This Row],[Price]]="",tbl_main[[#This Row],[Qty]]=""),"",tbl_main[[#This Row],[Price]]*tbl_main[[#This Row],[Qty]])</f>
        <v>150</v>
      </c>
      <c r="N490" s="3">
        <f>_xlfn.LET(_xlpm.x,_xlfn.XLOOKUP(tbl_main[[#This Row],[Service]],tbl_service[Service],tbl_service[Profit],""),
               IF(tbl_main[[#This Row],[Qty]]="","",_xlpm.x*tbl_main[[#This Row],[Qty]]))</f>
        <v>67</v>
      </c>
    </row>
    <row r="491" spans="1:14" x14ac:dyDescent="0.25">
      <c r="A491" t="s">
        <v>533</v>
      </c>
      <c r="B491" s="1">
        <v>45814</v>
      </c>
      <c r="C491">
        <f>IF(tbl_main[[#This Row],[Date]]="","",YEAR(B491))</f>
        <v>2025</v>
      </c>
      <c r="D491" t="str">
        <f>IF(tbl_main[[#This Row],[Date]]="","",TEXT(B491,"mmm"))</f>
        <v>Jun</v>
      </c>
      <c r="E491" t="str">
        <f>IF(tbl_main[[#This Row],[Date]]="","",TEXT(B491,"DDD"))</f>
        <v>Fri</v>
      </c>
      <c r="F491" t="s">
        <v>20</v>
      </c>
      <c r="G491" t="s">
        <v>39</v>
      </c>
      <c r="H491" s="3" t="s">
        <v>15</v>
      </c>
      <c r="I491" s="3" t="s">
        <v>38</v>
      </c>
      <c r="J491" s="3" t="s">
        <v>17</v>
      </c>
      <c r="K491" s="3">
        <f>_xlfn.XLOOKUP(tbl_main[[#This Row],[Service]],tbl_service[Service],tbl_service[Price],"")</f>
        <v>500</v>
      </c>
      <c r="L491" s="3">
        <v>2</v>
      </c>
      <c r="M491" s="3">
        <f>IF(AND(tbl_main[[#This Row],[Price]]="",tbl_main[[#This Row],[Qty]]=""),"",tbl_main[[#This Row],[Price]]*tbl_main[[#This Row],[Qty]])</f>
        <v>1000</v>
      </c>
      <c r="N491" s="3">
        <f>_xlfn.LET(_xlpm.x,_xlfn.XLOOKUP(tbl_main[[#This Row],[Service]],tbl_service[Service],tbl_service[Profit],""),
               IF(tbl_main[[#This Row],[Qty]]="","",_xlpm.x*tbl_main[[#This Row],[Qty]]))</f>
        <v>450</v>
      </c>
    </row>
    <row r="492" spans="1:14" x14ac:dyDescent="0.25">
      <c r="A492" t="s">
        <v>534</v>
      </c>
      <c r="B492" s="1">
        <v>45815</v>
      </c>
      <c r="C492">
        <f>IF(tbl_main[[#This Row],[Date]]="","",YEAR(B492))</f>
        <v>2025</v>
      </c>
      <c r="D492" t="str">
        <f>IF(tbl_main[[#This Row],[Date]]="","",TEXT(B492,"mmm"))</f>
        <v>Jun</v>
      </c>
      <c r="E492" t="str">
        <f>IF(tbl_main[[#This Row],[Date]]="","",TEXT(B492,"DDD"))</f>
        <v>Sat</v>
      </c>
      <c r="F492" t="s">
        <v>30</v>
      </c>
      <c r="G492" t="s">
        <v>31</v>
      </c>
      <c r="H492" s="3" t="s">
        <v>15</v>
      </c>
      <c r="I492" s="3" t="s">
        <v>16</v>
      </c>
      <c r="J492" s="3" t="s">
        <v>25</v>
      </c>
      <c r="K492" s="3">
        <f>_xlfn.XLOOKUP(tbl_main[[#This Row],[Service]],tbl_service[Service],tbl_service[Price],"")</f>
        <v>500</v>
      </c>
      <c r="L492" s="3">
        <v>2</v>
      </c>
      <c r="M492" s="3">
        <f>IF(AND(tbl_main[[#This Row],[Price]]="",tbl_main[[#This Row],[Qty]]=""),"",tbl_main[[#This Row],[Price]]*tbl_main[[#This Row],[Qty]])</f>
        <v>1000</v>
      </c>
      <c r="N492" s="3">
        <f>_xlfn.LET(_xlpm.x,_xlfn.XLOOKUP(tbl_main[[#This Row],[Service]],tbl_service[Service],tbl_service[Profit],""),
               IF(tbl_main[[#This Row],[Qty]]="","",_xlpm.x*tbl_main[[#This Row],[Qty]]))</f>
        <v>450</v>
      </c>
    </row>
    <row r="493" spans="1:14" x14ac:dyDescent="0.25">
      <c r="A493" t="s">
        <v>535</v>
      </c>
      <c r="B493" s="1">
        <v>45815</v>
      </c>
      <c r="C493">
        <f>IF(tbl_main[[#This Row],[Date]]="","",YEAR(B493))</f>
        <v>2025</v>
      </c>
      <c r="D493" t="str">
        <f>IF(tbl_main[[#This Row],[Date]]="","",TEXT(B493,"mmm"))</f>
        <v>Jun</v>
      </c>
      <c r="E493" t="str">
        <f>IF(tbl_main[[#This Row],[Date]]="","",TEXT(B493,"DDD"))</f>
        <v>Sat</v>
      </c>
      <c r="F493" t="s">
        <v>20</v>
      </c>
      <c r="G493" t="s">
        <v>29</v>
      </c>
      <c r="H493" s="3" t="s">
        <v>15</v>
      </c>
      <c r="I493" s="3" t="s">
        <v>19</v>
      </c>
      <c r="J493" s="3" t="s">
        <v>25</v>
      </c>
      <c r="K493" s="3">
        <f>_xlfn.XLOOKUP(tbl_main[[#This Row],[Service]],tbl_service[Service],tbl_service[Price],"")</f>
        <v>500</v>
      </c>
      <c r="L493" s="3">
        <v>1</v>
      </c>
      <c r="M493" s="3">
        <f>IF(AND(tbl_main[[#This Row],[Price]]="",tbl_main[[#This Row],[Qty]]=""),"",tbl_main[[#This Row],[Price]]*tbl_main[[#This Row],[Qty]])</f>
        <v>500</v>
      </c>
      <c r="N493" s="3">
        <f>_xlfn.LET(_xlpm.x,_xlfn.XLOOKUP(tbl_main[[#This Row],[Service]],tbl_service[Service],tbl_service[Profit],""),
               IF(tbl_main[[#This Row],[Qty]]="","",_xlpm.x*tbl_main[[#This Row],[Qty]]))</f>
        <v>225</v>
      </c>
    </row>
    <row r="494" spans="1:14" x14ac:dyDescent="0.25">
      <c r="A494" t="s">
        <v>536</v>
      </c>
      <c r="B494" s="1">
        <v>45816</v>
      </c>
      <c r="C494">
        <f>IF(tbl_main[[#This Row],[Date]]="","",YEAR(B494))</f>
        <v>2025</v>
      </c>
      <c r="D494" t="str">
        <f>IF(tbl_main[[#This Row],[Date]]="","",TEXT(B494,"mmm"))</f>
        <v>Jun</v>
      </c>
      <c r="E494" t="str">
        <f>IF(tbl_main[[#This Row],[Date]]="","",TEXT(B494,"DDD"))</f>
        <v>Sun</v>
      </c>
      <c r="F494" t="s">
        <v>27</v>
      </c>
      <c r="G494" t="s">
        <v>28</v>
      </c>
      <c r="H494" s="3" t="s">
        <v>34</v>
      </c>
      <c r="I494" s="3" t="s">
        <v>35</v>
      </c>
      <c r="J494" s="3" t="s">
        <v>32</v>
      </c>
      <c r="K494" s="3">
        <f>_xlfn.XLOOKUP(tbl_main[[#This Row],[Service]],tbl_service[Service],tbl_service[Price],"")</f>
        <v>100</v>
      </c>
      <c r="L494" s="3">
        <v>1</v>
      </c>
      <c r="M494" s="3">
        <f>IF(AND(tbl_main[[#This Row],[Price]]="",tbl_main[[#This Row],[Qty]]=""),"",tbl_main[[#This Row],[Price]]*tbl_main[[#This Row],[Qty]])</f>
        <v>100</v>
      </c>
      <c r="N494" s="3">
        <f>_xlfn.LET(_xlpm.x,_xlfn.XLOOKUP(tbl_main[[#This Row],[Service]],tbl_service[Service],tbl_service[Profit],""),
               IF(tbl_main[[#This Row],[Qty]]="","",_xlpm.x*tbl_main[[#This Row],[Qty]]))</f>
        <v>45</v>
      </c>
    </row>
    <row r="495" spans="1:14" x14ac:dyDescent="0.25">
      <c r="A495" t="s">
        <v>537</v>
      </c>
      <c r="B495" s="1">
        <v>45816</v>
      </c>
      <c r="C495">
        <f>IF(tbl_main[[#This Row],[Date]]="","",YEAR(B495))</f>
        <v>2025</v>
      </c>
      <c r="D495" t="str">
        <f>IF(tbl_main[[#This Row],[Date]]="","",TEXT(B495,"mmm"))</f>
        <v>Jun</v>
      </c>
      <c r="E495" t="str">
        <f>IF(tbl_main[[#This Row],[Date]]="","",TEXT(B495,"DDD"))</f>
        <v>Sun</v>
      </c>
      <c r="F495" t="s">
        <v>20</v>
      </c>
      <c r="G495" t="s">
        <v>21</v>
      </c>
      <c r="H495" s="3" t="s">
        <v>24</v>
      </c>
      <c r="I495" s="3" t="s">
        <v>41</v>
      </c>
      <c r="J495" s="3" t="s">
        <v>17</v>
      </c>
      <c r="K495" s="3">
        <f>_xlfn.XLOOKUP(tbl_main[[#This Row],[Service]],tbl_service[Service],tbl_service[Price],"")</f>
        <v>80</v>
      </c>
      <c r="L495" s="3">
        <v>1</v>
      </c>
      <c r="M495" s="3">
        <f>IF(AND(tbl_main[[#This Row],[Price]]="",tbl_main[[#This Row],[Qty]]=""),"",tbl_main[[#This Row],[Price]]*tbl_main[[#This Row],[Qty]])</f>
        <v>80</v>
      </c>
      <c r="N495" s="3">
        <f>_xlfn.LET(_xlpm.x,_xlfn.XLOOKUP(tbl_main[[#This Row],[Service]],tbl_service[Service],tbl_service[Profit],""),
               IF(tbl_main[[#This Row],[Qty]]="","",_xlpm.x*tbl_main[[#This Row],[Qty]]))</f>
        <v>36</v>
      </c>
    </row>
    <row r="496" spans="1:14" x14ac:dyDescent="0.25">
      <c r="A496" t="s">
        <v>538</v>
      </c>
      <c r="B496" s="1">
        <v>45816</v>
      </c>
      <c r="C496">
        <f>IF(tbl_main[[#This Row],[Date]]="","",YEAR(B496))</f>
        <v>2025</v>
      </c>
      <c r="D496" t="str">
        <f>IF(tbl_main[[#This Row],[Date]]="","",TEXT(B496,"mmm"))</f>
        <v>Jun</v>
      </c>
      <c r="E496" t="str">
        <f>IF(tbl_main[[#This Row],[Date]]="","",TEXT(B496,"DDD"))</f>
        <v>Sun</v>
      </c>
      <c r="F496" t="s">
        <v>30</v>
      </c>
      <c r="G496" t="s">
        <v>36</v>
      </c>
      <c r="H496" s="3" t="s">
        <v>34</v>
      </c>
      <c r="I496" s="3" t="s">
        <v>41</v>
      </c>
      <c r="J496" s="3" t="s">
        <v>17</v>
      </c>
      <c r="K496" s="3">
        <f>_xlfn.XLOOKUP(tbl_main[[#This Row],[Service]],tbl_service[Service],tbl_service[Price],"")</f>
        <v>100</v>
      </c>
      <c r="L496" s="3">
        <v>1</v>
      </c>
      <c r="M496" s="3">
        <f>IF(AND(tbl_main[[#This Row],[Price]]="",tbl_main[[#This Row],[Qty]]=""),"",tbl_main[[#This Row],[Price]]*tbl_main[[#This Row],[Qty]])</f>
        <v>100</v>
      </c>
      <c r="N496" s="3">
        <f>_xlfn.LET(_xlpm.x,_xlfn.XLOOKUP(tbl_main[[#This Row],[Service]],tbl_service[Service],tbl_service[Profit],""),
               IF(tbl_main[[#This Row],[Qty]]="","",_xlpm.x*tbl_main[[#This Row],[Qty]]))</f>
        <v>45</v>
      </c>
    </row>
    <row r="497" spans="1:14" x14ac:dyDescent="0.25">
      <c r="A497" t="s">
        <v>539</v>
      </c>
      <c r="B497" s="1">
        <v>45816</v>
      </c>
      <c r="C497">
        <f>IF(tbl_main[[#This Row],[Date]]="","",YEAR(B497))</f>
        <v>2025</v>
      </c>
      <c r="D497" t="str">
        <f>IF(tbl_main[[#This Row],[Date]]="","",TEXT(B497,"mmm"))</f>
        <v>Jun</v>
      </c>
      <c r="E497" t="str">
        <f>IF(tbl_main[[#This Row],[Date]]="","",TEXT(B497,"DDD"))</f>
        <v>Sun</v>
      </c>
      <c r="F497" t="s">
        <v>20</v>
      </c>
      <c r="G497" t="s">
        <v>21</v>
      </c>
      <c r="H497" s="3" t="s">
        <v>22</v>
      </c>
      <c r="I497" s="3" t="s">
        <v>35</v>
      </c>
      <c r="J497" s="3" t="s">
        <v>32</v>
      </c>
      <c r="K497" s="3">
        <f>_xlfn.XLOOKUP(tbl_main[[#This Row],[Service]],tbl_service[Service],tbl_service[Price],"")</f>
        <v>150</v>
      </c>
      <c r="L497" s="3">
        <v>2</v>
      </c>
      <c r="M497" s="3">
        <f>IF(AND(tbl_main[[#This Row],[Price]]="",tbl_main[[#This Row],[Qty]]=""),"",tbl_main[[#This Row],[Price]]*tbl_main[[#This Row],[Qty]])</f>
        <v>300</v>
      </c>
      <c r="N497" s="3">
        <f>_xlfn.LET(_xlpm.x,_xlfn.XLOOKUP(tbl_main[[#This Row],[Service]],tbl_service[Service],tbl_service[Profit],""),
               IF(tbl_main[[#This Row],[Qty]]="","",_xlpm.x*tbl_main[[#This Row],[Qty]]))</f>
        <v>134</v>
      </c>
    </row>
    <row r="498" spans="1:14" x14ac:dyDescent="0.25">
      <c r="A498" t="s">
        <v>540</v>
      </c>
      <c r="B498" s="1">
        <v>45817</v>
      </c>
      <c r="C498">
        <f>IF(tbl_main[[#This Row],[Date]]="","",YEAR(B498))</f>
        <v>2025</v>
      </c>
      <c r="D498" t="str">
        <f>IF(tbl_main[[#This Row],[Date]]="","",TEXT(B498,"mmm"))</f>
        <v>Jun</v>
      </c>
      <c r="E498" t="str">
        <f>IF(tbl_main[[#This Row],[Date]]="","",TEXT(B498,"DDD"))</f>
        <v>Mon</v>
      </c>
      <c r="F498" t="s">
        <v>20</v>
      </c>
      <c r="G498" t="s">
        <v>39</v>
      </c>
      <c r="H498" s="3" t="s">
        <v>18</v>
      </c>
      <c r="I498" s="3" t="s">
        <v>35</v>
      </c>
      <c r="J498" s="3" t="s">
        <v>25</v>
      </c>
      <c r="K498" s="3">
        <f>_xlfn.XLOOKUP(tbl_main[[#This Row],[Service]],tbl_service[Service],tbl_service[Price],"")</f>
        <v>500</v>
      </c>
      <c r="L498" s="3">
        <v>2</v>
      </c>
      <c r="M498" s="3">
        <f>IF(AND(tbl_main[[#This Row],[Price]]="",tbl_main[[#This Row],[Qty]]=""),"",tbl_main[[#This Row],[Price]]*tbl_main[[#This Row],[Qty]])</f>
        <v>1000</v>
      </c>
      <c r="N498" s="3">
        <f>_xlfn.LET(_xlpm.x,_xlfn.XLOOKUP(tbl_main[[#This Row],[Service]],tbl_service[Service],tbl_service[Profit],""),
               IF(tbl_main[[#This Row],[Qty]]="","",_xlpm.x*tbl_main[[#This Row],[Qty]]))</f>
        <v>314</v>
      </c>
    </row>
    <row r="499" spans="1:14" x14ac:dyDescent="0.25">
      <c r="A499" t="s">
        <v>541</v>
      </c>
      <c r="B499" s="1">
        <v>45817</v>
      </c>
      <c r="C499">
        <f>IF(tbl_main[[#This Row],[Date]]="","",YEAR(B499))</f>
        <v>2025</v>
      </c>
      <c r="D499" t="str">
        <f>IF(tbl_main[[#This Row],[Date]]="","",TEXT(B499,"mmm"))</f>
        <v>Jun</v>
      </c>
      <c r="E499" t="str">
        <f>IF(tbl_main[[#This Row],[Date]]="","",TEXT(B499,"DDD"))</f>
        <v>Mon</v>
      </c>
      <c r="F499" t="s">
        <v>13</v>
      </c>
      <c r="G499" t="s">
        <v>33</v>
      </c>
      <c r="H499" s="3" t="s">
        <v>18</v>
      </c>
      <c r="I499" s="3" t="s">
        <v>23</v>
      </c>
      <c r="J499" s="3" t="s">
        <v>17</v>
      </c>
      <c r="K499" s="3">
        <f>_xlfn.XLOOKUP(tbl_main[[#This Row],[Service]],tbl_service[Service],tbl_service[Price],"")</f>
        <v>500</v>
      </c>
      <c r="L499" s="3">
        <v>2</v>
      </c>
      <c r="M499" s="3">
        <f>IF(AND(tbl_main[[#This Row],[Price]]="",tbl_main[[#This Row],[Qty]]=""),"",tbl_main[[#This Row],[Price]]*tbl_main[[#This Row],[Qty]])</f>
        <v>1000</v>
      </c>
      <c r="N499" s="3">
        <f>_xlfn.LET(_xlpm.x,_xlfn.XLOOKUP(tbl_main[[#This Row],[Service]],tbl_service[Service],tbl_service[Profit],""),
               IF(tbl_main[[#This Row],[Qty]]="","",_xlpm.x*tbl_main[[#This Row],[Qty]]))</f>
        <v>314</v>
      </c>
    </row>
    <row r="500" spans="1:14" x14ac:dyDescent="0.25">
      <c r="A500" t="s">
        <v>542</v>
      </c>
      <c r="B500" s="1">
        <v>45817</v>
      </c>
      <c r="C500">
        <f>IF(tbl_main[[#This Row],[Date]]="","",YEAR(B500))</f>
        <v>2025</v>
      </c>
      <c r="D500" t="str">
        <f>IF(tbl_main[[#This Row],[Date]]="","",TEXT(B500,"mmm"))</f>
        <v>Jun</v>
      </c>
      <c r="E500" t="str">
        <f>IF(tbl_main[[#This Row],[Date]]="","",TEXT(B500,"DDD"))</f>
        <v>Mon</v>
      </c>
      <c r="F500" t="s">
        <v>27</v>
      </c>
      <c r="G500" t="s">
        <v>40</v>
      </c>
      <c r="H500" s="3" t="s">
        <v>22</v>
      </c>
      <c r="I500" s="3" t="s">
        <v>37</v>
      </c>
      <c r="J500" s="3" t="s">
        <v>32</v>
      </c>
      <c r="K500" s="3">
        <f>_xlfn.XLOOKUP(tbl_main[[#This Row],[Service]],tbl_service[Service],tbl_service[Price],"")</f>
        <v>150</v>
      </c>
      <c r="L500" s="3">
        <v>1</v>
      </c>
      <c r="M500" s="3">
        <f>IF(AND(tbl_main[[#This Row],[Price]]="",tbl_main[[#This Row],[Qty]]=""),"",tbl_main[[#This Row],[Price]]*tbl_main[[#This Row],[Qty]])</f>
        <v>150</v>
      </c>
      <c r="N500" s="3">
        <f>_xlfn.LET(_xlpm.x,_xlfn.XLOOKUP(tbl_main[[#This Row],[Service]],tbl_service[Service],tbl_service[Profit],""),
               IF(tbl_main[[#This Row],[Qty]]="","",_xlpm.x*tbl_main[[#This Row],[Qty]]))</f>
        <v>67</v>
      </c>
    </row>
    <row r="501" spans="1:14" x14ac:dyDescent="0.25">
      <c r="A501" t="s">
        <v>543</v>
      </c>
      <c r="B501" s="1">
        <v>45818</v>
      </c>
      <c r="C501">
        <f>IF(tbl_main[[#This Row],[Date]]="","",YEAR(B501))</f>
        <v>2025</v>
      </c>
      <c r="D501" t="str">
        <f>IF(tbl_main[[#This Row],[Date]]="","",TEXT(B501,"mmm"))</f>
        <v>Jun</v>
      </c>
      <c r="E501" t="str">
        <f>IF(tbl_main[[#This Row],[Date]]="","",TEXT(B501,"DDD"))</f>
        <v>Tue</v>
      </c>
      <c r="F501" t="s">
        <v>27</v>
      </c>
      <c r="G501" t="s">
        <v>28</v>
      </c>
      <c r="H501" s="3" t="s">
        <v>22</v>
      </c>
      <c r="I501" s="3" t="s">
        <v>38</v>
      </c>
      <c r="J501" s="3" t="s">
        <v>32</v>
      </c>
      <c r="K501" s="3">
        <f>_xlfn.XLOOKUP(tbl_main[[#This Row],[Service]],tbl_service[Service],tbl_service[Price],"")</f>
        <v>150</v>
      </c>
      <c r="L501" s="3">
        <v>2</v>
      </c>
      <c r="M501" s="3">
        <f>IF(AND(tbl_main[[#This Row],[Price]]="",tbl_main[[#This Row],[Qty]]=""),"",tbl_main[[#This Row],[Price]]*tbl_main[[#This Row],[Qty]])</f>
        <v>300</v>
      </c>
      <c r="N501" s="3">
        <f>_xlfn.LET(_xlpm.x,_xlfn.XLOOKUP(tbl_main[[#This Row],[Service]],tbl_service[Service],tbl_service[Profit],""),
               IF(tbl_main[[#This Row],[Qty]]="","",_xlpm.x*tbl_main[[#This Row],[Qty]]))</f>
        <v>134</v>
      </c>
    </row>
    <row r="502" spans="1:14" x14ac:dyDescent="0.25">
      <c r="A502" t="s">
        <v>544</v>
      </c>
      <c r="B502" s="1">
        <v>45818</v>
      </c>
      <c r="C502">
        <f>IF(tbl_main[[#This Row],[Date]]="","",YEAR(B502))</f>
        <v>2025</v>
      </c>
      <c r="D502" t="str">
        <f>IF(tbl_main[[#This Row],[Date]]="","",TEXT(B502,"mmm"))</f>
        <v>Jun</v>
      </c>
      <c r="E502" t="str">
        <f>IF(tbl_main[[#This Row],[Date]]="","",TEXT(B502,"DDD"))</f>
        <v>Tue</v>
      </c>
      <c r="F502" t="s">
        <v>30</v>
      </c>
      <c r="G502" t="s">
        <v>36</v>
      </c>
      <c r="H502" s="3" t="s">
        <v>26</v>
      </c>
      <c r="I502" s="3" t="s">
        <v>16</v>
      </c>
      <c r="J502" s="3" t="s">
        <v>32</v>
      </c>
      <c r="K502" s="3">
        <f>_xlfn.XLOOKUP(tbl_main[[#This Row],[Service]],tbl_service[Service],tbl_service[Price],"")</f>
        <v>200</v>
      </c>
      <c r="L502" s="3">
        <v>1</v>
      </c>
      <c r="M502" s="3">
        <f>IF(AND(tbl_main[[#This Row],[Price]]="",tbl_main[[#This Row],[Qty]]=""),"",tbl_main[[#This Row],[Price]]*tbl_main[[#This Row],[Qty]])</f>
        <v>200</v>
      </c>
      <c r="N502" s="3">
        <f>_xlfn.LET(_xlpm.x,_xlfn.XLOOKUP(tbl_main[[#This Row],[Service]],tbl_service[Service],tbl_service[Profit],""),
               IF(tbl_main[[#This Row],[Qty]]="","",_xlpm.x*tbl_main[[#This Row],[Qty]]))</f>
        <v>90</v>
      </c>
    </row>
    <row r="503" spans="1:14" x14ac:dyDescent="0.25">
      <c r="A503" t="s">
        <v>545</v>
      </c>
      <c r="B503" s="1">
        <v>45818</v>
      </c>
      <c r="C503">
        <f>IF(tbl_main[[#This Row],[Date]]="","",YEAR(B503))</f>
        <v>2025</v>
      </c>
      <c r="D503" t="str">
        <f>IF(tbl_main[[#This Row],[Date]]="","",TEXT(B503,"mmm"))</f>
        <v>Jun</v>
      </c>
      <c r="E503" t="str">
        <f>IF(tbl_main[[#This Row],[Date]]="","",TEXT(B503,"DDD"))</f>
        <v>Tue</v>
      </c>
      <c r="F503" t="s">
        <v>13</v>
      </c>
      <c r="G503" t="s">
        <v>33</v>
      </c>
      <c r="H503" s="3" t="s">
        <v>22</v>
      </c>
      <c r="I503" s="3" t="s">
        <v>19</v>
      </c>
      <c r="J503" s="3" t="s">
        <v>17</v>
      </c>
      <c r="K503" s="3">
        <f>_xlfn.XLOOKUP(tbl_main[[#This Row],[Service]],tbl_service[Service],tbl_service[Price],"")</f>
        <v>150</v>
      </c>
      <c r="L503" s="3">
        <v>2</v>
      </c>
      <c r="M503" s="3">
        <f>IF(AND(tbl_main[[#This Row],[Price]]="",tbl_main[[#This Row],[Qty]]=""),"",tbl_main[[#This Row],[Price]]*tbl_main[[#This Row],[Qty]])</f>
        <v>300</v>
      </c>
      <c r="N503" s="3">
        <f>_xlfn.LET(_xlpm.x,_xlfn.XLOOKUP(tbl_main[[#This Row],[Service]],tbl_service[Service],tbl_service[Profit],""),
               IF(tbl_main[[#This Row],[Qty]]="","",_xlpm.x*tbl_main[[#This Row],[Qty]]))</f>
        <v>134</v>
      </c>
    </row>
    <row r="504" spans="1:14" x14ac:dyDescent="0.25">
      <c r="A504" t="s">
        <v>546</v>
      </c>
      <c r="B504" s="1">
        <v>45818</v>
      </c>
      <c r="C504">
        <f>IF(tbl_main[[#This Row],[Date]]="","",YEAR(B504))</f>
        <v>2025</v>
      </c>
      <c r="D504" t="str">
        <f>IF(tbl_main[[#This Row],[Date]]="","",TEXT(B504,"mmm"))</f>
        <v>Jun</v>
      </c>
      <c r="E504" t="str">
        <f>IF(tbl_main[[#This Row],[Date]]="","",TEXT(B504,"DDD"))</f>
        <v>Tue</v>
      </c>
      <c r="F504" t="s">
        <v>20</v>
      </c>
      <c r="G504" t="s">
        <v>29</v>
      </c>
      <c r="H504" s="3" t="s">
        <v>15</v>
      </c>
      <c r="I504" s="3" t="s">
        <v>35</v>
      </c>
      <c r="J504" s="3" t="s">
        <v>17</v>
      </c>
      <c r="K504" s="3">
        <f>_xlfn.XLOOKUP(tbl_main[[#This Row],[Service]],tbl_service[Service],tbl_service[Price],"")</f>
        <v>500</v>
      </c>
      <c r="L504" s="3">
        <v>2</v>
      </c>
      <c r="M504" s="3">
        <f>IF(AND(tbl_main[[#This Row],[Price]]="",tbl_main[[#This Row],[Qty]]=""),"",tbl_main[[#This Row],[Price]]*tbl_main[[#This Row],[Qty]])</f>
        <v>1000</v>
      </c>
      <c r="N504" s="3">
        <f>_xlfn.LET(_xlpm.x,_xlfn.XLOOKUP(tbl_main[[#This Row],[Service]],tbl_service[Service],tbl_service[Profit],""),
               IF(tbl_main[[#This Row],[Qty]]="","",_xlpm.x*tbl_main[[#This Row],[Qty]]))</f>
        <v>450</v>
      </c>
    </row>
    <row r="505" spans="1:14" x14ac:dyDescent="0.25">
      <c r="A505" t="s">
        <v>547</v>
      </c>
      <c r="B505" s="1">
        <v>45819</v>
      </c>
      <c r="C505">
        <f>IF(tbl_main[[#This Row],[Date]]="","",YEAR(B505))</f>
        <v>2025</v>
      </c>
      <c r="D505" t="str">
        <f>IF(tbl_main[[#This Row],[Date]]="","",TEXT(B505,"mmm"))</f>
        <v>Jun</v>
      </c>
      <c r="E505" t="str">
        <f>IF(tbl_main[[#This Row],[Date]]="","",TEXT(B505,"DDD"))</f>
        <v>Wed</v>
      </c>
      <c r="F505" t="s">
        <v>20</v>
      </c>
      <c r="G505" t="s">
        <v>29</v>
      </c>
      <c r="H505" s="3" t="s">
        <v>18</v>
      </c>
      <c r="I505" s="3" t="s">
        <v>41</v>
      </c>
      <c r="J505" s="3" t="s">
        <v>17</v>
      </c>
      <c r="K505" s="3">
        <f>_xlfn.XLOOKUP(tbl_main[[#This Row],[Service]],tbl_service[Service],tbl_service[Price],"")</f>
        <v>500</v>
      </c>
      <c r="L505" s="3">
        <v>1</v>
      </c>
      <c r="M505" s="3">
        <f>IF(AND(tbl_main[[#This Row],[Price]]="",tbl_main[[#This Row],[Qty]]=""),"",tbl_main[[#This Row],[Price]]*tbl_main[[#This Row],[Qty]])</f>
        <v>500</v>
      </c>
      <c r="N505" s="3">
        <f>_xlfn.LET(_xlpm.x,_xlfn.XLOOKUP(tbl_main[[#This Row],[Service]],tbl_service[Service],tbl_service[Profit],""),
               IF(tbl_main[[#This Row],[Qty]]="","",_xlpm.x*tbl_main[[#This Row],[Qty]]))</f>
        <v>157</v>
      </c>
    </row>
    <row r="506" spans="1:14" x14ac:dyDescent="0.25">
      <c r="A506" t="s">
        <v>548</v>
      </c>
      <c r="B506" s="1">
        <v>45819</v>
      </c>
      <c r="C506">
        <f>IF(tbl_main[[#This Row],[Date]]="","",YEAR(B506))</f>
        <v>2025</v>
      </c>
      <c r="D506" t="str">
        <f>IF(tbl_main[[#This Row],[Date]]="","",TEXT(B506,"mmm"))</f>
        <v>Jun</v>
      </c>
      <c r="E506" t="str">
        <f>IF(tbl_main[[#This Row],[Date]]="","",TEXT(B506,"DDD"))</f>
        <v>Wed</v>
      </c>
      <c r="F506" t="s">
        <v>13</v>
      </c>
      <c r="G506" t="s">
        <v>14</v>
      </c>
      <c r="H506" s="3" t="s">
        <v>24</v>
      </c>
      <c r="I506" s="3" t="s">
        <v>41</v>
      </c>
      <c r="J506" s="3" t="s">
        <v>17</v>
      </c>
      <c r="K506" s="3">
        <f>_xlfn.XLOOKUP(tbl_main[[#This Row],[Service]],tbl_service[Service],tbl_service[Price],"")</f>
        <v>80</v>
      </c>
      <c r="L506" s="3">
        <v>2</v>
      </c>
      <c r="M506" s="3">
        <f>IF(AND(tbl_main[[#This Row],[Price]]="",tbl_main[[#This Row],[Qty]]=""),"",tbl_main[[#This Row],[Price]]*tbl_main[[#This Row],[Qty]])</f>
        <v>160</v>
      </c>
      <c r="N506" s="3">
        <f>_xlfn.LET(_xlpm.x,_xlfn.XLOOKUP(tbl_main[[#This Row],[Service]],tbl_service[Service],tbl_service[Profit],""),
               IF(tbl_main[[#This Row],[Qty]]="","",_xlpm.x*tbl_main[[#This Row],[Qty]]))</f>
        <v>72</v>
      </c>
    </row>
    <row r="507" spans="1:14" x14ac:dyDescent="0.25">
      <c r="A507" t="s">
        <v>549</v>
      </c>
      <c r="B507" s="1">
        <v>45819</v>
      </c>
      <c r="C507">
        <f>IF(tbl_main[[#This Row],[Date]]="","",YEAR(B507))</f>
        <v>2025</v>
      </c>
      <c r="D507" t="str">
        <f>IF(tbl_main[[#This Row],[Date]]="","",TEXT(B507,"mmm"))</f>
        <v>Jun</v>
      </c>
      <c r="E507" t="str">
        <f>IF(tbl_main[[#This Row],[Date]]="","",TEXT(B507,"DDD"))</f>
        <v>Wed</v>
      </c>
      <c r="F507" t="s">
        <v>13</v>
      </c>
      <c r="G507" t="s">
        <v>14</v>
      </c>
      <c r="H507" s="3" t="s">
        <v>18</v>
      </c>
      <c r="I507" s="3" t="s">
        <v>35</v>
      </c>
      <c r="J507" s="3" t="s">
        <v>17</v>
      </c>
      <c r="K507" s="3">
        <f>_xlfn.XLOOKUP(tbl_main[[#This Row],[Service]],tbl_service[Service],tbl_service[Price],"")</f>
        <v>500</v>
      </c>
      <c r="L507" s="3">
        <v>1</v>
      </c>
      <c r="M507" s="3">
        <f>IF(AND(tbl_main[[#This Row],[Price]]="",tbl_main[[#This Row],[Qty]]=""),"",tbl_main[[#This Row],[Price]]*tbl_main[[#This Row],[Qty]])</f>
        <v>500</v>
      </c>
      <c r="N507" s="3">
        <f>_xlfn.LET(_xlpm.x,_xlfn.XLOOKUP(tbl_main[[#This Row],[Service]],tbl_service[Service],tbl_service[Profit],""),
               IF(tbl_main[[#This Row],[Qty]]="","",_xlpm.x*tbl_main[[#This Row],[Qty]]))</f>
        <v>157</v>
      </c>
    </row>
    <row r="508" spans="1:14" x14ac:dyDescent="0.25">
      <c r="A508" t="s">
        <v>550</v>
      </c>
      <c r="B508" s="1">
        <v>45819</v>
      </c>
      <c r="C508">
        <f>IF(tbl_main[[#This Row],[Date]]="","",YEAR(B508))</f>
        <v>2025</v>
      </c>
      <c r="D508" t="str">
        <f>IF(tbl_main[[#This Row],[Date]]="","",TEXT(B508,"mmm"))</f>
        <v>Jun</v>
      </c>
      <c r="E508" t="str">
        <f>IF(tbl_main[[#This Row],[Date]]="","",TEXT(B508,"DDD"))</f>
        <v>Wed</v>
      </c>
      <c r="F508" t="s">
        <v>30</v>
      </c>
      <c r="G508" t="s">
        <v>31</v>
      </c>
      <c r="H508" s="3" t="s">
        <v>15</v>
      </c>
      <c r="I508" s="3" t="s">
        <v>35</v>
      </c>
      <c r="J508" s="3" t="s">
        <v>25</v>
      </c>
      <c r="K508" s="3">
        <f>_xlfn.XLOOKUP(tbl_main[[#This Row],[Service]],tbl_service[Service],tbl_service[Price],"")</f>
        <v>500</v>
      </c>
      <c r="L508" s="3">
        <v>2</v>
      </c>
      <c r="M508" s="3">
        <f>IF(AND(tbl_main[[#This Row],[Price]]="",tbl_main[[#This Row],[Qty]]=""),"",tbl_main[[#This Row],[Price]]*tbl_main[[#This Row],[Qty]])</f>
        <v>1000</v>
      </c>
      <c r="N508" s="3">
        <f>_xlfn.LET(_xlpm.x,_xlfn.XLOOKUP(tbl_main[[#This Row],[Service]],tbl_service[Service],tbl_service[Profit],""),
               IF(tbl_main[[#This Row],[Qty]]="","",_xlpm.x*tbl_main[[#This Row],[Qty]]))</f>
        <v>450</v>
      </c>
    </row>
    <row r="509" spans="1:14" x14ac:dyDescent="0.25">
      <c r="A509" t="s">
        <v>551</v>
      </c>
      <c r="B509" s="1">
        <v>45820</v>
      </c>
      <c r="C509">
        <f>IF(tbl_main[[#This Row],[Date]]="","",YEAR(B509))</f>
        <v>2025</v>
      </c>
      <c r="D509" t="str">
        <f>IF(tbl_main[[#This Row],[Date]]="","",TEXT(B509,"mmm"))</f>
        <v>Jun</v>
      </c>
      <c r="E509" t="str">
        <f>IF(tbl_main[[#This Row],[Date]]="","",TEXT(B509,"DDD"))</f>
        <v>Thu</v>
      </c>
      <c r="F509" t="s">
        <v>30</v>
      </c>
      <c r="G509" t="s">
        <v>31</v>
      </c>
      <c r="H509" s="3" t="s">
        <v>18</v>
      </c>
      <c r="I509" s="3" t="s">
        <v>23</v>
      </c>
      <c r="J509" s="3" t="s">
        <v>25</v>
      </c>
      <c r="K509" s="3">
        <f>_xlfn.XLOOKUP(tbl_main[[#This Row],[Service]],tbl_service[Service],tbl_service[Price],"")</f>
        <v>500</v>
      </c>
      <c r="L509" s="3">
        <v>2</v>
      </c>
      <c r="M509" s="3">
        <f>IF(AND(tbl_main[[#This Row],[Price]]="",tbl_main[[#This Row],[Qty]]=""),"",tbl_main[[#This Row],[Price]]*tbl_main[[#This Row],[Qty]])</f>
        <v>1000</v>
      </c>
      <c r="N509" s="3">
        <f>_xlfn.LET(_xlpm.x,_xlfn.XLOOKUP(tbl_main[[#This Row],[Service]],tbl_service[Service],tbl_service[Profit],""),
               IF(tbl_main[[#This Row],[Qty]]="","",_xlpm.x*tbl_main[[#This Row],[Qty]]))</f>
        <v>314</v>
      </c>
    </row>
    <row r="510" spans="1:14" x14ac:dyDescent="0.25">
      <c r="A510" t="s">
        <v>552</v>
      </c>
      <c r="B510" s="1">
        <v>45820</v>
      </c>
      <c r="C510">
        <f>IF(tbl_main[[#This Row],[Date]]="","",YEAR(B510))</f>
        <v>2025</v>
      </c>
      <c r="D510" t="str">
        <f>IF(tbl_main[[#This Row],[Date]]="","",TEXT(B510,"mmm"))</f>
        <v>Jun</v>
      </c>
      <c r="E510" t="str">
        <f>IF(tbl_main[[#This Row],[Date]]="","",TEXT(B510,"DDD"))</f>
        <v>Thu</v>
      </c>
      <c r="F510" t="s">
        <v>13</v>
      </c>
      <c r="G510" t="s">
        <v>14</v>
      </c>
      <c r="H510" s="3" t="s">
        <v>15</v>
      </c>
      <c r="I510" s="3" t="s">
        <v>37</v>
      </c>
      <c r="J510" s="3" t="s">
        <v>17</v>
      </c>
      <c r="K510" s="3">
        <f>_xlfn.XLOOKUP(tbl_main[[#This Row],[Service]],tbl_service[Service],tbl_service[Price],"")</f>
        <v>500</v>
      </c>
      <c r="L510" s="3">
        <v>1</v>
      </c>
      <c r="M510" s="3">
        <f>IF(AND(tbl_main[[#This Row],[Price]]="",tbl_main[[#This Row],[Qty]]=""),"",tbl_main[[#This Row],[Price]]*tbl_main[[#This Row],[Qty]])</f>
        <v>500</v>
      </c>
      <c r="N510" s="3">
        <f>_xlfn.LET(_xlpm.x,_xlfn.XLOOKUP(tbl_main[[#This Row],[Service]],tbl_service[Service],tbl_service[Profit],""),
               IF(tbl_main[[#This Row],[Qty]]="","",_xlpm.x*tbl_main[[#This Row],[Qty]]))</f>
        <v>225</v>
      </c>
    </row>
    <row r="511" spans="1:14" x14ac:dyDescent="0.25">
      <c r="A511" t="s">
        <v>553</v>
      </c>
      <c r="B511" s="1">
        <v>45820</v>
      </c>
      <c r="C511">
        <f>IF(tbl_main[[#This Row],[Date]]="","",YEAR(B511))</f>
        <v>2025</v>
      </c>
      <c r="D511" t="str">
        <f>IF(tbl_main[[#This Row],[Date]]="","",TEXT(B511,"mmm"))</f>
        <v>Jun</v>
      </c>
      <c r="E511" t="str">
        <f>IF(tbl_main[[#This Row],[Date]]="","",TEXT(B511,"DDD"))</f>
        <v>Thu</v>
      </c>
      <c r="F511" t="s">
        <v>20</v>
      </c>
      <c r="G511" t="s">
        <v>39</v>
      </c>
      <c r="H511" s="3" t="s">
        <v>24</v>
      </c>
      <c r="I511" s="3" t="s">
        <v>38</v>
      </c>
      <c r="J511" s="3" t="s">
        <v>32</v>
      </c>
      <c r="K511" s="3">
        <f>_xlfn.XLOOKUP(tbl_main[[#This Row],[Service]],tbl_service[Service],tbl_service[Price],"")</f>
        <v>80</v>
      </c>
      <c r="L511" s="3">
        <v>2</v>
      </c>
      <c r="M511" s="3">
        <f>IF(AND(tbl_main[[#This Row],[Price]]="",tbl_main[[#This Row],[Qty]]=""),"",tbl_main[[#This Row],[Price]]*tbl_main[[#This Row],[Qty]])</f>
        <v>160</v>
      </c>
      <c r="N511" s="3">
        <f>_xlfn.LET(_xlpm.x,_xlfn.XLOOKUP(tbl_main[[#This Row],[Service]],tbl_service[Service],tbl_service[Profit],""),
               IF(tbl_main[[#This Row],[Qty]]="","",_xlpm.x*tbl_main[[#This Row],[Qty]]))</f>
        <v>72</v>
      </c>
    </row>
    <row r="512" spans="1:14" x14ac:dyDescent="0.25">
      <c r="A512" t="s">
        <v>554</v>
      </c>
      <c r="B512" s="1">
        <v>45820</v>
      </c>
      <c r="C512">
        <f>IF(tbl_main[[#This Row],[Date]]="","",YEAR(B512))</f>
        <v>2025</v>
      </c>
      <c r="D512" t="str">
        <f>IF(tbl_main[[#This Row],[Date]]="","",TEXT(B512,"mmm"))</f>
        <v>Jun</v>
      </c>
      <c r="E512" t="str">
        <f>IF(tbl_main[[#This Row],[Date]]="","",TEXT(B512,"DDD"))</f>
        <v>Thu</v>
      </c>
      <c r="F512" t="s">
        <v>27</v>
      </c>
      <c r="G512" t="s">
        <v>40</v>
      </c>
      <c r="H512" s="3" t="s">
        <v>34</v>
      </c>
      <c r="I512" s="3" t="s">
        <v>16</v>
      </c>
      <c r="J512" s="3" t="s">
        <v>32</v>
      </c>
      <c r="K512" s="3">
        <f>_xlfn.XLOOKUP(tbl_main[[#This Row],[Service]],tbl_service[Service],tbl_service[Price],"")</f>
        <v>100</v>
      </c>
      <c r="L512" s="3">
        <v>2</v>
      </c>
      <c r="M512" s="3">
        <f>IF(AND(tbl_main[[#This Row],[Price]]="",tbl_main[[#This Row],[Qty]]=""),"",tbl_main[[#This Row],[Price]]*tbl_main[[#This Row],[Qty]])</f>
        <v>200</v>
      </c>
      <c r="N512" s="3">
        <f>_xlfn.LET(_xlpm.x,_xlfn.XLOOKUP(tbl_main[[#This Row],[Service]],tbl_service[Service],tbl_service[Profit],""),
               IF(tbl_main[[#This Row],[Qty]]="","",_xlpm.x*tbl_main[[#This Row],[Qty]]))</f>
        <v>90</v>
      </c>
    </row>
    <row r="513" spans="1:14" x14ac:dyDescent="0.25">
      <c r="A513" t="s">
        <v>555</v>
      </c>
      <c r="B513" s="1">
        <v>45821</v>
      </c>
      <c r="C513">
        <f>IF(tbl_main[[#This Row],[Date]]="","",YEAR(B513))</f>
        <v>2025</v>
      </c>
      <c r="D513" t="str">
        <f>IF(tbl_main[[#This Row],[Date]]="","",TEXT(B513,"mmm"))</f>
        <v>Jun</v>
      </c>
      <c r="E513" t="str">
        <f>IF(tbl_main[[#This Row],[Date]]="","",TEXT(B513,"DDD"))</f>
        <v>Fri</v>
      </c>
      <c r="F513" t="s">
        <v>30</v>
      </c>
      <c r="G513" t="s">
        <v>31</v>
      </c>
      <c r="H513" s="3" t="s">
        <v>22</v>
      </c>
      <c r="I513" s="3" t="s">
        <v>19</v>
      </c>
      <c r="J513" s="3" t="s">
        <v>17</v>
      </c>
      <c r="K513" s="3">
        <f>_xlfn.XLOOKUP(tbl_main[[#This Row],[Service]],tbl_service[Service],tbl_service[Price],"")</f>
        <v>150</v>
      </c>
      <c r="L513" s="3">
        <v>2</v>
      </c>
      <c r="M513" s="3">
        <f>IF(AND(tbl_main[[#This Row],[Price]]="",tbl_main[[#This Row],[Qty]]=""),"",tbl_main[[#This Row],[Price]]*tbl_main[[#This Row],[Qty]])</f>
        <v>300</v>
      </c>
      <c r="N513" s="3">
        <f>_xlfn.LET(_xlpm.x,_xlfn.XLOOKUP(tbl_main[[#This Row],[Service]],tbl_service[Service],tbl_service[Profit],""),
               IF(tbl_main[[#This Row],[Qty]]="","",_xlpm.x*tbl_main[[#This Row],[Qty]]))</f>
        <v>134</v>
      </c>
    </row>
    <row r="514" spans="1:14" x14ac:dyDescent="0.25">
      <c r="A514" t="s">
        <v>556</v>
      </c>
      <c r="B514" s="1">
        <v>45821</v>
      </c>
      <c r="C514">
        <f>IF(tbl_main[[#This Row],[Date]]="","",YEAR(B514))</f>
        <v>2025</v>
      </c>
      <c r="D514" t="str">
        <f>IF(tbl_main[[#This Row],[Date]]="","",TEXT(B514,"mmm"))</f>
        <v>Jun</v>
      </c>
      <c r="E514" t="str">
        <f>IF(tbl_main[[#This Row],[Date]]="","",TEXT(B514,"DDD"))</f>
        <v>Fri</v>
      </c>
      <c r="F514" t="s">
        <v>27</v>
      </c>
      <c r="G514" t="s">
        <v>40</v>
      </c>
      <c r="H514" s="3" t="s">
        <v>24</v>
      </c>
      <c r="I514" s="3" t="s">
        <v>35</v>
      </c>
      <c r="J514" s="3" t="s">
        <v>25</v>
      </c>
      <c r="K514" s="3">
        <f>_xlfn.XLOOKUP(tbl_main[[#This Row],[Service]],tbl_service[Service],tbl_service[Price],"")</f>
        <v>80</v>
      </c>
      <c r="L514" s="3">
        <v>1</v>
      </c>
      <c r="M514" s="3">
        <f>IF(AND(tbl_main[[#This Row],[Price]]="",tbl_main[[#This Row],[Qty]]=""),"",tbl_main[[#This Row],[Price]]*tbl_main[[#This Row],[Qty]])</f>
        <v>80</v>
      </c>
      <c r="N514" s="3">
        <f>_xlfn.LET(_xlpm.x,_xlfn.XLOOKUP(tbl_main[[#This Row],[Service]],tbl_service[Service],tbl_service[Profit],""),
               IF(tbl_main[[#This Row],[Qty]]="","",_xlpm.x*tbl_main[[#This Row],[Qty]]))</f>
        <v>36</v>
      </c>
    </row>
    <row r="515" spans="1:14" x14ac:dyDescent="0.25">
      <c r="A515" t="s">
        <v>557</v>
      </c>
      <c r="B515" s="1">
        <v>45822</v>
      </c>
      <c r="C515">
        <f>IF(tbl_main[[#This Row],[Date]]="","",YEAR(B515))</f>
        <v>2025</v>
      </c>
      <c r="D515" t="str">
        <f>IF(tbl_main[[#This Row],[Date]]="","",TEXT(B515,"mmm"))</f>
        <v>Jun</v>
      </c>
      <c r="E515" t="str">
        <f>IF(tbl_main[[#This Row],[Date]]="","",TEXT(B515,"DDD"))</f>
        <v>Sat</v>
      </c>
      <c r="F515" t="s">
        <v>27</v>
      </c>
      <c r="G515" t="s">
        <v>28</v>
      </c>
      <c r="H515" s="3" t="s">
        <v>15</v>
      </c>
      <c r="I515" s="3" t="s">
        <v>41</v>
      </c>
      <c r="J515" s="3" t="s">
        <v>32</v>
      </c>
      <c r="K515" s="3">
        <f>_xlfn.XLOOKUP(tbl_main[[#This Row],[Service]],tbl_service[Service],tbl_service[Price],"")</f>
        <v>500</v>
      </c>
      <c r="L515" s="3">
        <v>2</v>
      </c>
      <c r="M515" s="3">
        <f>IF(AND(tbl_main[[#This Row],[Price]]="",tbl_main[[#This Row],[Qty]]=""),"",tbl_main[[#This Row],[Price]]*tbl_main[[#This Row],[Qty]])</f>
        <v>1000</v>
      </c>
      <c r="N515" s="3">
        <f>_xlfn.LET(_xlpm.x,_xlfn.XLOOKUP(tbl_main[[#This Row],[Service]],tbl_service[Service],tbl_service[Profit],""),
               IF(tbl_main[[#This Row],[Qty]]="","",_xlpm.x*tbl_main[[#This Row],[Qty]]))</f>
        <v>450</v>
      </c>
    </row>
    <row r="516" spans="1:14" x14ac:dyDescent="0.25">
      <c r="A516" t="s">
        <v>558</v>
      </c>
      <c r="B516" s="1">
        <v>45822</v>
      </c>
      <c r="C516">
        <f>IF(tbl_main[[#This Row],[Date]]="","",YEAR(B516))</f>
        <v>2025</v>
      </c>
      <c r="D516" t="str">
        <f>IF(tbl_main[[#This Row],[Date]]="","",TEXT(B516,"mmm"))</f>
        <v>Jun</v>
      </c>
      <c r="E516" t="str">
        <f>IF(tbl_main[[#This Row],[Date]]="","",TEXT(B516,"DDD"))</f>
        <v>Sat</v>
      </c>
      <c r="F516" t="s">
        <v>27</v>
      </c>
      <c r="G516" t="s">
        <v>28</v>
      </c>
      <c r="H516" s="3" t="s">
        <v>18</v>
      </c>
      <c r="I516" s="3" t="s">
        <v>41</v>
      </c>
      <c r="J516" s="3" t="s">
        <v>32</v>
      </c>
      <c r="K516" s="3">
        <f>_xlfn.XLOOKUP(tbl_main[[#This Row],[Service]],tbl_service[Service],tbl_service[Price],"")</f>
        <v>500</v>
      </c>
      <c r="L516" s="3">
        <v>2</v>
      </c>
      <c r="M516" s="3">
        <f>IF(AND(tbl_main[[#This Row],[Price]]="",tbl_main[[#This Row],[Qty]]=""),"",tbl_main[[#This Row],[Price]]*tbl_main[[#This Row],[Qty]])</f>
        <v>1000</v>
      </c>
      <c r="N516" s="3">
        <f>_xlfn.LET(_xlpm.x,_xlfn.XLOOKUP(tbl_main[[#This Row],[Service]],tbl_service[Service],tbl_service[Profit],""),
               IF(tbl_main[[#This Row],[Qty]]="","",_xlpm.x*tbl_main[[#This Row],[Qty]]))</f>
        <v>314</v>
      </c>
    </row>
    <row r="517" spans="1:14" x14ac:dyDescent="0.25">
      <c r="A517" t="s">
        <v>559</v>
      </c>
      <c r="B517" s="1">
        <v>45823</v>
      </c>
      <c r="C517">
        <f>IF(tbl_main[[#This Row],[Date]]="","",YEAR(B517))</f>
        <v>2025</v>
      </c>
      <c r="D517" t="str">
        <f>IF(tbl_main[[#This Row],[Date]]="","",TEXT(B517,"mmm"))</f>
        <v>Jun</v>
      </c>
      <c r="E517" t="str">
        <f>IF(tbl_main[[#This Row],[Date]]="","",TEXT(B517,"DDD"))</f>
        <v>Sun</v>
      </c>
      <c r="F517" t="s">
        <v>27</v>
      </c>
      <c r="G517" t="s">
        <v>40</v>
      </c>
      <c r="H517" s="3" t="s">
        <v>22</v>
      </c>
      <c r="I517" s="3" t="s">
        <v>35</v>
      </c>
      <c r="J517" s="3" t="s">
        <v>25</v>
      </c>
      <c r="K517" s="3">
        <f>_xlfn.XLOOKUP(tbl_main[[#This Row],[Service]],tbl_service[Service],tbl_service[Price],"")</f>
        <v>150</v>
      </c>
      <c r="L517" s="3">
        <v>2</v>
      </c>
      <c r="M517" s="3">
        <f>IF(AND(tbl_main[[#This Row],[Price]]="",tbl_main[[#This Row],[Qty]]=""),"",tbl_main[[#This Row],[Price]]*tbl_main[[#This Row],[Qty]])</f>
        <v>300</v>
      </c>
      <c r="N517" s="3">
        <f>_xlfn.LET(_xlpm.x,_xlfn.XLOOKUP(tbl_main[[#This Row],[Service]],tbl_service[Service],tbl_service[Profit],""),
               IF(tbl_main[[#This Row],[Qty]]="","",_xlpm.x*tbl_main[[#This Row],[Qty]]))</f>
        <v>134</v>
      </c>
    </row>
    <row r="518" spans="1:14" x14ac:dyDescent="0.25">
      <c r="A518" t="s">
        <v>560</v>
      </c>
      <c r="B518" s="1">
        <v>45823</v>
      </c>
      <c r="C518">
        <f>IF(tbl_main[[#This Row],[Date]]="","",YEAR(B518))</f>
        <v>2025</v>
      </c>
      <c r="D518" t="str">
        <f>IF(tbl_main[[#This Row],[Date]]="","",TEXT(B518,"mmm"))</f>
        <v>Jun</v>
      </c>
      <c r="E518" t="str">
        <f>IF(tbl_main[[#This Row],[Date]]="","",TEXT(B518,"DDD"))</f>
        <v>Sun</v>
      </c>
      <c r="F518" t="s">
        <v>27</v>
      </c>
      <c r="G518" t="s">
        <v>28</v>
      </c>
      <c r="H518" s="3" t="s">
        <v>24</v>
      </c>
      <c r="I518" s="3" t="s">
        <v>35</v>
      </c>
      <c r="J518" s="3" t="s">
        <v>32</v>
      </c>
      <c r="K518" s="3">
        <f>_xlfn.XLOOKUP(tbl_main[[#This Row],[Service]],tbl_service[Service],tbl_service[Price],"")</f>
        <v>80</v>
      </c>
      <c r="L518" s="3">
        <v>1</v>
      </c>
      <c r="M518" s="3">
        <f>IF(AND(tbl_main[[#This Row],[Price]]="",tbl_main[[#This Row],[Qty]]=""),"",tbl_main[[#This Row],[Price]]*tbl_main[[#This Row],[Qty]])</f>
        <v>80</v>
      </c>
      <c r="N518" s="3">
        <f>_xlfn.LET(_xlpm.x,_xlfn.XLOOKUP(tbl_main[[#This Row],[Service]],tbl_service[Service],tbl_service[Profit],""),
               IF(tbl_main[[#This Row],[Qty]]="","",_xlpm.x*tbl_main[[#This Row],[Qty]]))</f>
        <v>36</v>
      </c>
    </row>
    <row r="519" spans="1:14" x14ac:dyDescent="0.25">
      <c r="A519" t="s">
        <v>561</v>
      </c>
      <c r="B519" s="1">
        <v>45824</v>
      </c>
      <c r="C519">
        <f>IF(tbl_main[[#This Row],[Date]]="","",YEAR(B519))</f>
        <v>2025</v>
      </c>
      <c r="D519" t="str">
        <f>IF(tbl_main[[#This Row],[Date]]="","",TEXT(B519,"mmm"))</f>
        <v>Jun</v>
      </c>
      <c r="E519" t="str">
        <f>IF(tbl_main[[#This Row],[Date]]="","",TEXT(B519,"DDD"))</f>
        <v>Mon</v>
      </c>
      <c r="F519" t="s">
        <v>20</v>
      </c>
      <c r="G519" t="s">
        <v>39</v>
      </c>
      <c r="H519" s="3" t="s">
        <v>22</v>
      </c>
      <c r="I519" s="3" t="s">
        <v>23</v>
      </c>
      <c r="J519" s="3" t="s">
        <v>32</v>
      </c>
      <c r="K519" s="3">
        <f>_xlfn.XLOOKUP(tbl_main[[#This Row],[Service]],tbl_service[Service],tbl_service[Price],"")</f>
        <v>150</v>
      </c>
      <c r="L519" s="3">
        <v>2</v>
      </c>
      <c r="M519" s="3">
        <f>IF(AND(tbl_main[[#This Row],[Price]]="",tbl_main[[#This Row],[Qty]]=""),"",tbl_main[[#This Row],[Price]]*tbl_main[[#This Row],[Qty]])</f>
        <v>300</v>
      </c>
      <c r="N519" s="3">
        <f>_xlfn.LET(_xlpm.x,_xlfn.XLOOKUP(tbl_main[[#This Row],[Service]],tbl_service[Service],tbl_service[Profit],""),
               IF(tbl_main[[#This Row],[Qty]]="","",_xlpm.x*tbl_main[[#This Row],[Qty]]))</f>
        <v>134</v>
      </c>
    </row>
    <row r="520" spans="1:14" x14ac:dyDescent="0.25">
      <c r="A520" t="s">
        <v>562</v>
      </c>
      <c r="B520" s="1">
        <v>45824</v>
      </c>
      <c r="C520">
        <f>IF(tbl_main[[#This Row],[Date]]="","",YEAR(B520))</f>
        <v>2025</v>
      </c>
      <c r="D520" t="str">
        <f>IF(tbl_main[[#This Row],[Date]]="","",TEXT(B520,"mmm"))</f>
        <v>Jun</v>
      </c>
      <c r="E520" t="str">
        <f>IF(tbl_main[[#This Row],[Date]]="","",TEXT(B520,"DDD"))</f>
        <v>Mon</v>
      </c>
      <c r="F520" t="s">
        <v>30</v>
      </c>
      <c r="G520" t="s">
        <v>36</v>
      </c>
      <c r="H520" s="3" t="s">
        <v>24</v>
      </c>
      <c r="I520" s="3" t="s">
        <v>37</v>
      </c>
      <c r="J520" s="3" t="s">
        <v>32</v>
      </c>
      <c r="K520" s="3">
        <f>_xlfn.XLOOKUP(tbl_main[[#This Row],[Service]],tbl_service[Service],tbl_service[Price],"")</f>
        <v>80</v>
      </c>
      <c r="L520" s="3">
        <v>1</v>
      </c>
      <c r="M520" s="3">
        <f>IF(AND(tbl_main[[#This Row],[Price]]="",tbl_main[[#This Row],[Qty]]=""),"",tbl_main[[#This Row],[Price]]*tbl_main[[#This Row],[Qty]])</f>
        <v>80</v>
      </c>
      <c r="N520" s="3">
        <f>_xlfn.LET(_xlpm.x,_xlfn.XLOOKUP(tbl_main[[#This Row],[Service]],tbl_service[Service],tbl_service[Profit],""),
               IF(tbl_main[[#This Row],[Qty]]="","",_xlpm.x*tbl_main[[#This Row],[Qty]]))</f>
        <v>36</v>
      </c>
    </row>
    <row r="521" spans="1:14" x14ac:dyDescent="0.25">
      <c r="A521" t="s">
        <v>563</v>
      </c>
      <c r="B521" s="1">
        <v>45824</v>
      </c>
      <c r="C521">
        <f>IF(tbl_main[[#This Row],[Date]]="","",YEAR(B521))</f>
        <v>2025</v>
      </c>
      <c r="D521" t="str">
        <f>IF(tbl_main[[#This Row],[Date]]="","",TEXT(B521,"mmm"))</f>
        <v>Jun</v>
      </c>
      <c r="E521" t="str">
        <f>IF(tbl_main[[#This Row],[Date]]="","",TEXT(B521,"DDD"))</f>
        <v>Mon</v>
      </c>
      <c r="F521" t="s">
        <v>27</v>
      </c>
      <c r="G521" t="s">
        <v>40</v>
      </c>
      <c r="H521" s="3" t="s">
        <v>34</v>
      </c>
      <c r="I521" s="3" t="s">
        <v>38</v>
      </c>
      <c r="J521" s="3" t="s">
        <v>17</v>
      </c>
      <c r="K521" s="3">
        <f>_xlfn.XLOOKUP(tbl_main[[#This Row],[Service]],tbl_service[Service],tbl_service[Price],"")</f>
        <v>100</v>
      </c>
      <c r="L521" s="3">
        <v>1</v>
      </c>
      <c r="M521" s="3">
        <f>IF(AND(tbl_main[[#This Row],[Price]]="",tbl_main[[#This Row],[Qty]]=""),"",tbl_main[[#This Row],[Price]]*tbl_main[[#This Row],[Qty]])</f>
        <v>100</v>
      </c>
      <c r="N521" s="3">
        <f>_xlfn.LET(_xlpm.x,_xlfn.XLOOKUP(tbl_main[[#This Row],[Service]],tbl_service[Service],tbl_service[Profit],""),
               IF(tbl_main[[#This Row],[Qty]]="","",_xlpm.x*tbl_main[[#This Row],[Qty]]))</f>
        <v>45</v>
      </c>
    </row>
    <row r="522" spans="1:14" x14ac:dyDescent="0.25">
      <c r="A522" t="s">
        <v>564</v>
      </c>
      <c r="B522" s="1">
        <v>45824</v>
      </c>
      <c r="C522">
        <f>IF(tbl_main[[#This Row],[Date]]="","",YEAR(B522))</f>
        <v>2025</v>
      </c>
      <c r="D522" t="str">
        <f>IF(tbl_main[[#This Row],[Date]]="","",TEXT(B522,"mmm"))</f>
        <v>Jun</v>
      </c>
      <c r="E522" t="str">
        <f>IF(tbl_main[[#This Row],[Date]]="","",TEXT(B522,"DDD"))</f>
        <v>Mon</v>
      </c>
      <c r="F522" t="s">
        <v>30</v>
      </c>
      <c r="G522" t="s">
        <v>36</v>
      </c>
      <c r="H522" s="3" t="s">
        <v>18</v>
      </c>
      <c r="I522" s="3" t="s">
        <v>16</v>
      </c>
      <c r="J522" s="3" t="s">
        <v>32</v>
      </c>
      <c r="K522" s="3">
        <f>_xlfn.XLOOKUP(tbl_main[[#This Row],[Service]],tbl_service[Service],tbl_service[Price],"")</f>
        <v>500</v>
      </c>
      <c r="L522" s="3">
        <v>2</v>
      </c>
      <c r="M522" s="3">
        <f>IF(AND(tbl_main[[#This Row],[Price]]="",tbl_main[[#This Row],[Qty]]=""),"",tbl_main[[#This Row],[Price]]*tbl_main[[#This Row],[Qty]])</f>
        <v>1000</v>
      </c>
      <c r="N522" s="3">
        <f>_xlfn.LET(_xlpm.x,_xlfn.XLOOKUP(tbl_main[[#This Row],[Service]],tbl_service[Service],tbl_service[Profit],""),
               IF(tbl_main[[#This Row],[Qty]]="","",_xlpm.x*tbl_main[[#This Row],[Qty]]))</f>
        <v>314</v>
      </c>
    </row>
    <row r="523" spans="1:14" x14ac:dyDescent="0.25">
      <c r="A523" t="s">
        <v>565</v>
      </c>
      <c r="B523" s="1">
        <v>45825</v>
      </c>
      <c r="C523">
        <f>IF(tbl_main[[#This Row],[Date]]="","",YEAR(B523))</f>
        <v>2025</v>
      </c>
      <c r="D523" t="str">
        <f>IF(tbl_main[[#This Row],[Date]]="","",TEXT(B523,"mmm"))</f>
        <v>Jun</v>
      </c>
      <c r="E523" t="str">
        <f>IF(tbl_main[[#This Row],[Date]]="","",TEXT(B523,"DDD"))</f>
        <v>Tue</v>
      </c>
      <c r="F523" t="s">
        <v>13</v>
      </c>
      <c r="G523" t="s">
        <v>14</v>
      </c>
      <c r="H523" s="3" t="s">
        <v>15</v>
      </c>
      <c r="I523" s="3" t="s">
        <v>19</v>
      </c>
      <c r="J523" s="3" t="s">
        <v>17</v>
      </c>
      <c r="K523" s="3">
        <f>_xlfn.XLOOKUP(tbl_main[[#This Row],[Service]],tbl_service[Service],tbl_service[Price],"")</f>
        <v>500</v>
      </c>
      <c r="L523" s="3">
        <v>2</v>
      </c>
      <c r="M523" s="3">
        <f>IF(AND(tbl_main[[#This Row],[Price]]="",tbl_main[[#This Row],[Qty]]=""),"",tbl_main[[#This Row],[Price]]*tbl_main[[#This Row],[Qty]])</f>
        <v>1000</v>
      </c>
      <c r="N523" s="3">
        <f>_xlfn.LET(_xlpm.x,_xlfn.XLOOKUP(tbl_main[[#This Row],[Service]],tbl_service[Service],tbl_service[Profit],""),
               IF(tbl_main[[#This Row],[Qty]]="","",_xlpm.x*tbl_main[[#This Row],[Qty]]))</f>
        <v>450</v>
      </c>
    </row>
    <row r="524" spans="1:14" x14ac:dyDescent="0.25">
      <c r="A524" t="s">
        <v>566</v>
      </c>
      <c r="B524" s="1">
        <v>45825</v>
      </c>
      <c r="C524">
        <f>IF(tbl_main[[#This Row],[Date]]="","",YEAR(B524))</f>
        <v>2025</v>
      </c>
      <c r="D524" t="str">
        <f>IF(tbl_main[[#This Row],[Date]]="","",TEXT(B524,"mmm"))</f>
        <v>Jun</v>
      </c>
      <c r="E524" t="str">
        <f>IF(tbl_main[[#This Row],[Date]]="","",TEXT(B524,"DDD"))</f>
        <v>Tue</v>
      </c>
      <c r="F524" t="s">
        <v>20</v>
      </c>
      <c r="G524" t="s">
        <v>39</v>
      </c>
      <c r="H524" s="3" t="s">
        <v>24</v>
      </c>
      <c r="I524" s="3" t="s">
        <v>35</v>
      </c>
      <c r="J524" s="3" t="s">
        <v>25</v>
      </c>
      <c r="K524" s="3">
        <f>_xlfn.XLOOKUP(tbl_main[[#This Row],[Service]],tbl_service[Service],tbl_service[Price],"")</f>
        <v>80</v>
      </c>
      <c r="L524" s="3">
        <v>1</v>
      </c>
      <c r="M524" s="3">
        <f>IF(AND(tbl_main[[#This Row],[Price]]="",tbl_main[[#This Row],[Qty]]=""),"",tbl_main[[#This Row],[Price]]*tbl_main[[#This Row],[Qty]])</f>
        <v>80</v>
      </c>
      <c r="N524" s="3">
        <f>_xlfn.LET(_xlpm.x,_xlfn.XLOOKUP(tbl_main[[#This Row],[Service]],tbl_service[Service],tbl_service[Profit],""),
               IF(tbl_main[[#This Row],[Qty]]="","",_xlpm.x*tbl_main[[#This Row],[Qty]]))</f>
        <v>36</v>
      </c>
    </row>
    <row r="525" spans="1:14" x14ac:dyDescent="0.25">
      <c r="A525" t="s">
        <v>567</v>
      </c>
      <c r="B525" s="1">
        <v>45826</v>
      </c>
      <c r="C525">
        <f>IF(tbl_main[[#This Row],[Date]]="","",YEAR(B525))</f>
        <v>2025</v>
      </c>
      <c r="D525" t="str">
        <f>IF(tbl_main[[#This Row],[Date]]="","",TEXT(B525,"mmm"))</f>
        <v>Jun</v>
      </c>
      <c r="E525" t="str">
        <f>IF(tbl_main[[#This Row],[Date]]="","",TEXT(B525,"DDD"))</f>
        <v>Wed</v>
      </c>
      <c r="F525" t="s">
        <v>13</v>
      </c>
      <c r="G525" t="s">
        <v>14</v>
      </c>
      <c r="H525" s="3" t="s">
        <v>34</v>
      </c>
      <c r="I525" s="3" t="s">
        <v>41</v>
      </c>
      <c r="J525" s="3" t="s">
        <v>32</v>
      </c>
      <c r="K525" s="3">
        <f>_xlfn.XLOOKUP(tbl_main[[#This Row],[Service]],tbl_service[Service],tbl_service[Price],"")</f>
        <v>100</v>
      </c>
      <c r="L525" s="3">
        <v>1</v>
      </c>
      <c r="M525" s="3">
        <f>IF(AND(tbl_main[[#This Row],[Price]]="",tbl_main[[#This Row],[Qty]]=""),"",tbl_main[[#This Row],[Price]]*tbl_main[[#This Row],[Qty]])</f>
        <v>100</v>
      </c>
      <c r="N525" s="3">
        <f>_xlfn.LET(_xlpm.x,_xlfn.XLOOKUP(tbl_main[[#This Row],[Service]],tbl_service[Service],tbl_service[Profit],""),
               IF(tbl_main[[#This Row],[Qty]]="","",_xlpm.x*tbl_main[[#This Row],[Qty]]))</f>
        <v>45</v>
      </c>
    </row>
    <row r="526" spans="1:14" x14ac:dyDescent="0.25">
      <c r="A526" t="s">
        <v>568</v>
      </c>
      <c r="B526" s="1">
        <v>45826</v>
      </c>
      <c r="C526">
        <f>IF(tbl_main[[#This Row],[Date]]="","",YEAR(B526))</f>
        <v>2025</v>
      </c>
      <c r="D526" t="str">
        <f>IF(tbl_main[[#This Row],[Date]]="","",TEXT(B526,"mmm"))</f>
        <v>Jun</v>
      </c>
      <c r="E526" t="str">
        <f>IF(tbl_main[[#This Row],[Date]]="","",TEXT(B526,"DDD"))</f>
        <v>Wed</v>
      </c>
      <c r="F526" t="s">
        <v>30</v>
      </c>
      <c r="G526" t="s">
        <v>36</v>
      </c>
      <c r="H526" s="3" t="s">
        <v>22</v>
      </c>
      <c r="I526" s="3" t="s">
        <v>41</v>
      </c>
      <c r="J526" s="3" t="s">
        <v>32</v>
      </c>
      <c r="K526" s="3">
        <f>_xlfn.XLOOKUP(tbl_main[[#This Row],[Service]],tbl_service[Service],tbl_service[Price],"")</f>
        <v>150</v>
      </c>
      <c r="L526" s="3">
        <v>2</v>
      </c>
      <c r="M526" s="3">
        <f>IF(AND(tbl_main[[#This Row],[Price]]="",tbl_main[[#This Row],[Qty]]=""),"",tbl_main[[#This Row],[Price]]*tbl_main[[#This Row],[Qty]])</f>
        <v>300</v>
      </c>
      <c r="N526" s="3">
        <f>_xlfn.LET(_xlpm.x,_xlfn.XLOOKUP(tbl_main[[#This Row],[Service]],tbl_service[Service],tbl_service[Profit],""),
               IF(tbl_main[[#This Row],[Qty]]="","",_xlpm.x*tbl_main[[#This Row],[Qty]]))</f>
        <v>134</v>
      </c>
    </row>
    <row r="527" spans="1:14" x14ac:dyDescent="0.25">
      <c r="A527" t="s">
        <v>569</v>
      </c>
      <c r="B527" s="1">
        <v>45826</v>
      </c>
      <c r="C527">
        <f>IF(tbl_main[[#This Row],[Date]]="","",YEAR(B527))</f>
        <v>2025</v>
      </c>
      <c r="D527" t="str">
        <f>IF(tbl_main[[#This Row],[Date]]="","",TEXT(B527,"mmm"))</f>
        <v>Jun</v>
      </c>
      <c r="E527" t="str">
        <f>IF(tbl_main[[#This Row],[Date]]="","",TEXT(B527,"DDD"))</f>
        <v>Wed</v>
      </c>
      <c r="F527" t="s">
        <v>13</v>
      </c>
      <c r="G527" t="s">
        <v>14</v>
      </c>
      <c r="H527" s="3" t="s">
        <v>24</v>
      </c>
      <c r="I527" s="3" t="s">
        <v>35</v>
      </c>
      <c r="J527" s="3" t="s">
        <v>17</v>
      </c>
      <c r="K527" s="3">
        <f>_xlfn.XLOOKUP(tbl_main[[#This Row],[Service]],tbl_service[Service],tbl_service[Price],"")</f>
        <v>80</v>
      </c>
      <c r="L527" s="3">
        <v>1</v>
      </c>
      <c r="M527" s="3">
        <f>IF(AND(tbl_main[[#This Row],[Price]]="",tbl_main[[#This Row],[Qty]]=""),"",tbl_main[[#This Row],[Price]]*tbl_main[[#This Row],[Qty]])</f>
        <v>80</v>
      </c>
      <c r="N527" s="3">
        <f>_xlfn.LET(_xlpm.x,_xlfn.XLOOKUP(tbl_main[[#This Row],[Service]],tbl_service[Service],tbl_service[Profit],""),
               IF(tbl_main[[#This Row],[Qty]]="","",_xlpm.x*tbl_main[[#This Row],[Qty]]))</f>
        <v>36</v>
      </c>
    </row>
    <row r="528" spans="1:14" x14ac:dyDescent="0.25">
      <c r="A528" t="s">
        <v>570</v>
      </c>
      <c r="B528" s="1">
        <v>45827</v>
      </c>
      <c r="C528">
        <f>IF(tbl_main[[#This Row],[Date]]="","",YEAR(B528))</f>
        <v>2025</v>
      </c>
      <c r="D528" t="str">
        <f>IF(tbl_main[[#This Row],[Date]]="","",TEXT(B528,"mmm"))</f>
        <v>Jun</v>
      </c>
      <c r="E528" t="str">
        <f>IF(tbl_main[[#This Row],[Date]]="","",TEXT(B528,"DDD"))</f>
        <v>Thu</v>
      </c>
      <c r="F528" t="s">
        <v>13</v>
      </c>
      <c r="G528" t="s">
        <v>33</v>
      </c>
      <c r="H528" s="3" t="s">
        <v>15</v>
      </c>
      <c r="I528" s="3" t="s">
        <v>35</v>
      </c>
      <c r="J528" s="3" t="s">
        <v>17</v>
      </c>
      <c r="K528" s="3">
        <f>_xlfn.XLOOKUP(tbl_main[[#This Row],[Service]],tbl_service[Service],tbl_service[Price],"")</f>
        <v>500</v>
      </c>
      <c r="L528" s="3">
        <v>1</v>
      </c>
      <c r="M528" s="3">
        <f>IF(AND(tbl_main[[#This Row],[Price]]="",tbl_main[[#This Row],[Qty]]=""),"",tbl_main[[#This Row],[Price]]*tbl_main[[#This Row],[Qty]])</f>
        <v>500</v>
      </c>
      <c r="N528" s="3">
        <f>_xlfn.LET(_xlpm.x,_xlfn.XLOOKUP(tbl_main[[#This Row],[Service]],tbl_service[Service],tbl_service[Profit],""),
               IF(tbl_main[[#This Row],[Qty]]="","",_xlpm.x*tbl_main[[#This Row],[Qty]]))</f>
        <v>225</v>
      </c>
    </row>
    <row r="529" spans="1:14" x14ac:dyDescent="0.25">
      <c r="A529" t="s">
        <v>571</v>
      </c>
      <c r="B529" s="1">
        <v>45827</v>
      </c>
      <c r="C529">
        <f>IF(tbl_main[[#This Row],[Date]]="","",YEAR(B529))</f>
        <v>2025</v>
      </c>
      <c r="D529" t="str">
        <f>IF(tbl_main[[#This Row],[Date]]="","",TEXT(B529,"mmm"))</f>
        <v>Jun</v>
      </c>
      <c r="E529" t="str">
        <f>IF(tbl_main[[#This Row],[Date]]="","",TEXT(B529,"DDD"))</f>
        <v>Thu</v>
      </c>
      <c r="F529" t="s">
        <v>27</v>
      </c>
      <c r="G529" t="s">
        <v>40</v>
      </c>
      <c r="H529" s="3" t="s">
        <v>26</v>
      </c>
      <c r="I529" s="3" t="s">
        <v>23</v>
      </c>
      <c r="J529" s="3" t="s">
        <v>32</v>
      </c>
      <c r="K529" s="3">
        <f>_xlfn.XLOOKUP(tbl_main[[#This Row],[Service]],tbl_service[Service],tbl_service[Price],"")</f>
        <v>200</v>
      </c>
      <c r="L529" s="3">
        <v>2</v>
      </c>
      <c r="M529" s="3">
        <f>IF(AND(tbl_main[[#This Row],[Price]]="",tbl_main[[#This Row],[Qty]]=""),"",tbl_main[[#This Row],[Price]]*tbl_main[[#This Row],[Qty]])</f>
        <v>400</v>
      </c>
      <c r="N529" s="3">
        <f>_xlfn.LET(_xlpm.x,_xlfn.XLOOKUP(tbl_main[[#This Row],[Service]],tbl_service[Service],tbl_service[Profit],""),
               IF(tbl_main[[#This Row],[Qty]]="","",_xlpm.x*tbl_main[[#This Row],[Qty]]))</f>
        <v>180</v>
      </c>
    </row>
    <row r="530" spans="1:14" x14ac:dyDescent="0.25">
      <c r="A530" t="s">
        <v>572</v>
      </c>
      <c r="B530" s="1">
        <v>45828</v>
      </c>
      <c r="C530">
        <f>IF(tbl_main[[#This Row],[Date]]="","",YEAR(B530))</f>
        <v>2025</v>
      </c>
      <c r="D530" t="str">
        <f>IF(tbl_main[[#This Row],[Date]]="","",TEXT(B530,"mmm"))</f>
        <v>Jun</v>
      </c>
      <c r="E530" t="str">
        <f>IF(tbl_main[[#This Row],[Date]]="","",TEXT(B530,"DDD"))</f>
        <v>Fri</v>
      </c>
      <c r="F530" t="s">
        <v>13</v>
      </c>
      <c r="G530" t="s">
        <v>33</v>
      </c>
      <c r="H530" s="3" t="s">
        <v>15</v>
      </c>
      <c r="I530" s="3" t="s">
        <v>37</v>
      </c>
      <c r="J530" s="3" t="s">
        <v>25</v>
      </c>
      <c r="K530" s="3">
        <f>_xlfn.XLOOKUP(tbl_main[[#This Row],[Service]],tbl_service[Service],tbl_service[Price],"")</f>
        <v>500</v>
      </c>
      <c r="L530" s="3">
        <v>2</v>
      </c>
      <c r="M530" s="3">
        <f>IF(AND(tbl_main[[#This Row],[Price]]="",tbl_main[[#This Row],[Qty]]=""),"",tbl_main[[#This Row],[Price]]*tbl_main[[#This Row],[Qty]])</f>
        <v>1000</v>
      </c>
      <c r="N530" s="3">
        <f>_xlfn.LET(_xlpm.x,_xlfn.XLOOKUP(tbl_main[[#This Row],[Service]],tbl_service[Service],tbl_service[Profit],""),
               IF(tbl_main[[#This Row],[Qty]]="","",_xlpm.x*tbl_main[[#This Row],[Qty]]))</f>
        <v>450</v>
      </c>
    </row>
    <row r="531" spans="1:14" x14ac:dyDescent="0.25">
      <c r="A531" t="s">
        <v>573</v>
      </c>
      <c r="B531" s="1">
        <v>45828</v>
      </c>
      <c r="C531">
        <f>IF(tbl_main[[#This Row],[Date]]="","",YEAR(B531))</f>
        <v>2025</v>
      </c>
      <c r="D531" t="str">
        <f>IF(tbl_main[[#This Row],[Date]]="","",TEXT(B531,"mmm"))</f>
        <v>Jun</v>
      </c>
      <c r="E531" t="str">
        <f>IF(tbl_main[[#This Row],[Date]]="","",TEXT(B531,"DDD"))</f>
        <v>Fri</v>
      </c>
      <c r="F531" t="s">
        <v>20</v>
      </c>
      <c r="G531" t="s">
        <v>39</v>
      </c>
      <c r="H531" s="3" t="s">
        <v>24</v>
      </c>
      <c r="I531" s="3" t="s">
        <v>38</v>
      </c>
      <c r="J531" s="3" t="s">
        <v>25</v>
      </c>
      <c r="K531" s="3">
        <f>_xlfn.XLOOKUP(tbl_main[[#This Row],[Service]],tbl_service[Service],tbl_service[Price],"")</f>
        <v>80</v>
      </c>
      <c r="L531" s="3">
        <v>2</v>
      </c>
      <c r="M531" s="3">
        <f>IF(AND(tbl_main[[#This Row],[Price]]="",tbl_main[[#This Row],[Qty]]=""),"",tbl_main[[#This Row],[Price]]*tbl_main[[#This Row],[Qty]])</f>
        <v>160</v>
      </c>
      <c r="N531" s="3">
        <f>_xlfn.LET(_xlpm.x,_xlfn.XLOOKUP(tbl_main[[#This Row],[Service]],tbl_service[Service],tbl_service[Profit],""),
               IF(tbl_main[[#This Row],[Qty]]="","",_xlpm.x*tbl_main[[#This Row],[Qty]]))</f>
        <v>72</v>
      </c>
    </row>
    <row r="532" spans="1:14" x14ac:dyDescent="0.25">
      <c r="A532" t="s">
        <v>574</v>
      </c>
      <c r="B532" s="1">
        <v>45829</v>
      </c>
      <c r="C532">
        <f>IF(tbl_main[[#This Row],[Date]]="","",YEAR(B532))</f>
        <v>2025</v>
      </c>
      <c r="D532" t="str">
        <f>IF(tbl_main[[#This Row],[Date]]="","",TEXT(B532,"mmm"))</f>
        <v>Jun</v>
      </c>
      <c r="E532" t="str">
        <f>IF(tbl_main[[#This Row],[Date]]="","",TEXT(B532,"DDD"))</f>
        <v>Sat</v>
      </c>
      <c r="F532" t="s">
        <v>27</v>
      </c>
      <c r="G532" t="s">
        <v>40</v>
      </c>
      <c r="H532" s="3" t="s">
        <v>24</v>
      </c>
      <c r="I532" s="3" t="s">
        <v>16</v>
      </c>
      <c r="J532" s="3" t="s">
        <v>32</v>
      </c>
      <c r="K532" s="3">
        <f>_xlfn.XLOOKUP(tbl_main[[#This Row],[Service]],tbl_service[Service],tbl_service[Price],"")</f>
        <v>80</v>
      </c>
      <c r="L532" s="3">
        <v>2</v>
      </c>
      <c r="M532" s="3">
        <f>IF(AND(tbl_main[[#This Row],[Price]]="",tbl_main[[#This Row],[Qty]]=""),"",tbl_main[[#This Row],[Price]]*tbl_main[[#This Row],[Qty]])</f>
        <v>160</v>
      </c>
      <c r="N532" s="3">
        <f>_xlfn.LET(_xlpm.x,_xlfn.XLOOKUP(tbl_main[[#This Row],[Service]],tbl_service[Service],tbl_service[Profit],""),
               IF(tbl_main[[#This Row],[Qty]]="","",_xlpm.x*tbl_main[[#This Row],[Qty]]))</f>
        <v>72</v>
      </c>
    </row>
    <row r="533" spans="1:14" x14ac:dyDescent="0.25">
      <c r="A533" t="s">
        <v>575</v>
      </c>
      <c r="B533" s="1">
        <v>45829</v>
      </c>
      <c r="C533">
        <f>IF(tbl_main[[#This Row],[Date]]="","",YEAR(B533))</f>
        <v>2025</v>
      </c>
      <c r="D533" t="str">
        <f>IF(tbl_main[[#This Row],[Date]]="","",TEXT(B533,"mmm"))</f>
        <v>Jun</v>
      </c>
      <c r="E533" t="str">
        <f>IF(tbl_main[[#This Row],[Date]]="","",TEXT(B533,"DDD"))</f>
        <v>Sat</v>
      </c>
      <c r="F533" t="s">
        <v>30</v>
      </c>
      <c r="G533" t="s">
        <v>36</v>
      </c>
      <c r="H533" s="3" t="s">
        <v>15</v>
      </c>
      <c r="I533" s="3" t="s">
        <v>19</v>
      </c>
      <c r="J533" s="3" t="s">
        <v>32</v>
      </c>
      <c r="K533" s="3">
        <f>_xlfn.XLOOKUP(tbl_main[[#This Row],[Service]],tbl_service[Service],tbl_service[Price],"")</f>
        <v>500</v>
      </c>
      <c r="L533" s="3">
        <v>1</v>
      </c>
      <c r="M533" s="3">
        <f>IF(AND(tbl_main[[#This Row],[Price]]="",tbl_main[[#This Row],[Qty]]=""),"",tbl_main[[#This Row],[Price]]*tbl_main[[#This Row],[Qty]])</f>
        <v>500</v>
      </c>
      <c r="N533" s="3">
        <f>_xlfn.LET(_xlpm.x,_xlfn.XLOOKUP(tbl_main[[#This Row],[Service]],tbl_service[Service],tbl_service[Profit],""),
               IF(tbl_main[[#This Row],[Qty]]="","",_xlpm.x*tbl_main[[#This Row],[Qty]]))</f>
        <v>225</v>
      </c>
    </row>
    <row r="534" spans="1:14" x14ac:dyDescent="0.25">
      <c r="A534" t="s">
        <v>576</v>
      </c>
      <c r="B534" s="1">
        <v>45830</v>
      </c>
      <c r="C534">
        <f>IF(tbl_main[[#This Row],[Date]]="","",YEAR(B534))</f>
        <v>2025</v>
      </c>
      <c r="D534" t="str">
        <f>IF(tbl_main[[#This Row],[Date]]="","",TEXT(B534,"mmm"))</f>
        <v>Jun</v>
      </c>
      <c r="E534" t="str">
        <f>IF(tbl_main[[#This Row],[Date]]="","",TEXT(B534,"DDD"))</f>
        <v>Sun</v>
      </c>
      <c r="F534" t="s">
        <v>27</v>
      </c>
      <c r="G534" t="s">
        <v>40</v>
      </c>
      <c r="H534" s="3" t="s">
        <v>15</v>
      </c>
      <c r="I534" s="3" t="s">
        <v>35</v>
      </c>
      <c r="J534" s="3" t="s">
        <v>32</v>
      </c>
      <c r="K534" s="3">
        <f>_xlfn.XLOOKUP(tbl_main[[#This Row],[Service]],tbl_service[Service],tbl_service[Price],"")</f>
        <v>500</v>
      </c>
      <c r="L534" s="3">
        <v>2</v>
      </c>
      <c r="M534" s="3">
        <f>IF(AND(tbl_main[[#This Row],[Price]]="",tbl_main[[#This Row],[Qty]]=""),"",tbl_main[[#This Row],[Price]]*tbl_main[[#This Row],[Qty]])</f>
        <v>1000</v>
      </c>
      <c r="N534" s="3">
        <f>_xlfn.LET(_xlpm.x,_xlfn.XLOOKUP(tbl_main[[#This Row],[Service]],tbl_service[Service],tbl_service[Profit],""),
               IF(tbl_main[[#This Row],[Qty]]="","",_xlpm.x*tbl_main[[#This Row],[Qty]]))</f>
        <v>450</v>
      </c>
    </row>
    <row r="535" spans="1:14" x14ac:dyDescent="0.25">
      <c r="A535" t="s">
        <v>577</v>
      </c>
      <c r="B535" s="1">
        <v>45830</v>
      </c>
      <c r="C535">
        <f>IF(tbl_main[[#This Row],[Date]]="","",YEAR(B535))</f>
        <v>2025</v>
      </c>
      <c r="D535" t="str">
        <f>IF(tbl_main[[#This Row],[Date]]="","",TEXT(B535,"mmm"))</f>
        <v>Jun</v>
      </c>
      <c r="E535" t="str">
        <f>IF(tbl_main[[#This Row],[Date]]="","",TEXT(B535,"DDD"))</f>
        <v>Sun</v>
      </c>
      <c r="F535" t="s">
        <v>13</v>
      </c>
      <c r="G535" t="s">
        <v>33</v>
      </c>
      <c r="H535" s="3" t="s">
        <v>15</v>
      </c>
      <c r="I535" s="3" t="s">
        <v>41</v>
      </c>
      <c r="J535" s="3" t="s">
        <v>32</v>
      </c>
      <c r="K535" s="3">
        <f>_xlfn.XLOOKUP(tbl_main[[#This Row],[Service]],tbl_service[Service],tbl_service[Price],"")</f>
        <v>500</v>
      </c>
      <c r="L535" s="3">
        <v>1</v>
      </c>
      <c r="M535" s="3">
        <f>IF(AND(tbl_main[[#This Row],[Price]]="",tbl_main[[#This Row],[Qty]]=""),"",tbl_main[[#This Row],[Price]]*tbl_main[[#This Row],[Qty]])</f>
        <v>500</v>
      </c>
      <c r="N535" s="3">
        <f>_xlfn.LET(_xlpm.x,_xlfn.XLOOKUP(tbl_main[[#This Row],[Service]],tbl_service[Service],tbl_service[Profit],""),
               IF(tbl_main[[#This Row],[Qty]]="","",_xlpm.x*tbl_main[[#This Row],[Qty]]))</f>
        <v>225</v>
      </c>
    </row>
    <row r="536" spans="1:14" x14ac:dyDescent="0.25">
      <c r="A536" t="s">
        <v>578</v>
      </c>
      <c r="B536" s="1">
        <v>45830</v>
      </c>
      <c r="C536">
        <f>IF(tbl_main[[#This Row],[Date]]="","",YEAR(B536))</f>
        <v>2025</v>
      </c>
      <c r="D536" t="str">
        <f>IF(tbl_main[[#This Row],[Date]]="","",TEXT(B536,"mmm"))</f>
        <v>Jun</v>
      </c>
      <c r="E536" t="str">
        <f>IF(tbl_main[[#This Row],[Date]]="","",TEXT(B536,"DDD"))</f>
        <v>Sun</v>
      </c>
      <c r="F536" t="s">
        <v>27</v>
      </c>
      <c r="G536" t="s">
        <v>40</v>
      </c>
      <c r="H536" s="3" t="s">
        <v>18</v>
      </c>
      <c r="I536" s="3" t="s">
        <v>41</v>
      </c>
      <c r="J536" s="3" t="s">
        <v>25</v>
      </c>
      <c r="K536" s="3">
        <f>_xlfn.XLOOKUP(tbl_main[[#This Row],[Service]],tbl_service[Service],tbl_service[Price],"")</f>
        <v>500</v>
      </c>
      <c r="L536" s="3">
        <v>2</v>
      </c>
      <c r="M536" s="3">
        <f>IF(AND(tbl_main[[#This Row],[Price]]="",tbl_main[[#This Row],[Qty]]=""),"",tbl_main[[#This Row],[Price]]*tbl_main[[#This Row],[Qty]])</f>
        <v>1000</v>
      </c>
      <c r="N536" s="3">
        <f>_xlfn.LET(_xlpm.x,_xlfn.XLOOKUP(tbl_main[[#This Row],[Service]],tbl_service[Service],tbl_service[Profit],""),
               IF(tbl_main[[#This Row],[Qty]]="","",_xlpm.x*tbl_main[[#This Row],[Qty]]))</f>
        <v>314</v>
      </c>
    </row>
    <row r="537" spans="1:14" x14ac:dyDescent="0.25">
      <c r="A537" t="s">
        <v>579</v>
      </c>
      <c r="B537" s="1">
        <v>45831</v>
      </c>
      <c r="C537">
        <f>IF(tbl_main[[#This Row],[Date]]="","",YEAR(B537))</f>
        <v>2025</v>
      </c>
      <c r="D537" t="str">
        <f>IF(tbl_main[[#This Row],[Date]]="","",TEXT(B537,"mmm"))</f>
        <v>Jun</v>
      </c>
      <c r="E537" t="str">
        <f>IF(tbl_main[[#This Row],[Date]]="","",TEXT(B537,"DDD"))</f>
        <v>Mon</v>
      </c>
      <c r="F537" t="s">
        <v>30</v>
      </c>
      <c r="G537" t="s">
        <v>31</v>
      </c>
      <c r="H537" s="3" t="s">
        <v>15</v>
      </c>
      <c r="I537" s="3" t="s">
        <v>35</v>
      </c>
      <c r="J537" s="3" t="s">
        <v>17</v>
      </c>
      <c r="K537" s="3">
        <f>_xlfn.XLOOKUP(tbl_main[[#This Row],[Service]],tbl_service[Service],tbl_service[Price],"")</f>
        <v>500</v>
      </c>
      <c r="L537" s="3">
        <v>2</v>
      </c>
      <c r="M537" s="3">
        <f>IF(AND(tbl_main[[#This Row],[Price]]="",tbl_main[[#This Row],[Qty]]=""),"",tbl_main[[#This Row],[Price]]*tbl_main[[#This Row],[Qty]])</f>
        <v>1000</v>
      </c>
      <c r="N537" s="3">
        <f>_xlfn.LET(_xlpm.x,_xlfn.XLOOKUP(tbl_main[[#This Row],[Service]],tbl_service[Service],tbl_service[Profit],""),
               IF(tbl_main[[#This Row],[Qty]]="","",_xlpm.x*tbl_main[[#This Row],[Qty]]))</f>
        <v>450</v>
      </c>
    </row>
    <row r="538" spans="1:14" x14ac:dyDescent="0.25">
      <c r="A538" t="s">
        <v>580</v>
      </c>
      <c r="B538" s="1">
        <v>45831</v>
      </c>
      <c r="C538">
        <f>IF(tbl_main[[#This Row],[Date]]="","",YEAR(B538))</f>
        <v>2025</v>
      </c>
      <c r="D538" t="str">
        <f>IF(tbl_main[[#This Row],[Date]]="","",TEXT(B538,"mmm"))</f>
        <v>Jun</v>
      </c>
      <c r="E538" t="str">
        <f>IF(tbl_main[[#This Row],[Date]]="","",TEXT(B538,"DDD"))</f>
        <v>Mon</v>
      </c>
      <c r="F538" t="s">
        <v>20</v>
      </c>
      <c r="G538" t="s">
        <v>21</v>
      </c>
      <c r="H538" s="3" t="s">
        <v>24</v>
      </c>
      <c r="I538" s="3" t="s">
        <v>35</v>
      </c>
      <c r="J538" s="3" t="s">
        <v>25</v>
      </c>
      <c r="K538" s="3">
        <f>_xlfn.XLOOKUP(tbl_main[[#This Row],[Service]],tbl_service[Service],tbl_service[Price],"")</f>
        <v>80</v>
      </c>
      <c r="L538" s="3">
        <v>2</v>
      </c>
      <c r="M538" s="3">
        <f>IF(AND(tbl_main[[#This Row],[Price]]="",tbl_main[[#This Row],[Qty]]=""),"",tbl_main[[#This Row],[Price]]*tbl_main[[#This Row],[Qty]])</f>
        <v>160</v>
      </c>
      <c r="N538" s="3">
        <f>_xlfn.LET(_xlpm.x,_xlfn.XLOOKUP(tbl_main[[#This Row],[Service]],tbl_service[Service],tbl_service[Profit],""),
               IF(tbl_main[[#This Row],[Qty]]="","",_xlpm.x*tbl_main[[#This Row],[Qty]]))</f>
        <v>72</v>
      </c>
    </row>
    <row r="539" spans="1:14" x14ac:dyDescent="0.25">
      <c r="A539" t="s">
        <v>581</v>
      </c>
      <c r="B539" s="1">
        <v>45832</v>
      </c>
      <c r="C539">
        <f>IF(tbl_main[[#This Row],[Date]]="","",YEAR(B539))</f>
        <v>2025</v>
      </c>
      <c r="D539" t="str">
        <f>IF(tbl_main[[#This Row],[Date]]="","",TEXT(B539,"mmm"))</f>
        <v>Jun</v>
      </c>
      <c r="E539" t="str">
        <f>IF(tbl_main[[#This Row],[Date]]="","",TEXT(B539,"DDD"))</f>
        <v>Tue</v>
      </c>
      <c r="F539" t="s">
        <v>20</v>
      </c>
      <c r="G539" t="s">
        <v>29</v>
      </c>
      <c r="H539" s="3" t="s">
        <v>26</v>
      </c>
      <c r="I539" s="3" t="s">
        <v>23</v>
      </c>
      <c r="J539" s="3" t="s">
        <v>17</v>
      </c>
      <c r="K539" s="3">
        <f>_xlfn.XLOOKUP(tbl_main[[#This Row],[Service]],tbl_service[Service],tbl_service[Price],"")</f>
        <v>200</v>
      </c>
      <c r="L539" s="3">
        <v>1</v>
      </c>
      <c r="M539" s="3">
        <f>IF(AND(tbl_main[[#This Row],[Price]]="",tbl_main[[#This Row],[Qty]]=""),"",tbl_main[[#This Row],[Price]]*tbl_main[[#This Row],[Qty]])</f>
        <v>200</v>
      </c>
      <c r="N539" s="3">
        <f>_xlfn.LET(_xlpm.x,_xlfn.XLOOKUP(tbl_main[[#This Row],[Service]],tbl_service[Service],tbl_service[Profit],""),
               IF(tbl_main[[#This Row],[Qty]]="","",_xlpm.x*tbl_main[[#This Row],[Qty]]))</f>
        <v>90</v>
      </c>
    </row>
    <row r="540" spans="1:14" x14ac:dyDescent="0.25">
      <c r="A540" t="s">
        <v>582</v>
      </c>
      <c r="B540" s="1">
        <v>45832</v>
      </c>
      <c r="C540">
        <f>IF(tbl_main[[#This Row],[Date]]="","",YEAR(B540))</f>
        <v>2025</v>
      </c>
      <c r="D540" t="str">
        <f>IF(tbl_main[[#This Row],[Date]]="","",TEXT(B540,"mmm"))</f>
        <v>Jun</v>
      </c>
      <c r="E540" t="str">
        <f>IF(tbl_main[[#This Row],[Date]]="","",TEXT(B540,"DDD"))</f>
        <v>Tue</v>
      </c>
      <c r="F540" t="s">
        <v>13</v>
      </c>
      <c r="G540" t="s">
        <v>14</v>
      </c>
      <c r="H540" s="3" t="s">
        <v>22</v>
      </c>
      <c r="I540" s="3" t="s">
        <v>37</v>
      </c>
      <c r="J540" s="3" t="s">
        <v>32</v>
      </c>
      <c r="K540" s="3">
        <f>_xlfn.XLOOKUP(tbl_main[[#This Row],[Service]],tbl_service[Service],tbl_service[Price],"")</f>
        <v>150</v>
      </c>
      <c r="L540" s="3">
        <v>2</v>
      </c>
      <c r="M540" s="3">
        <f>IF(AND(tbl_main[[#This Row],[Price]]="",tbl_main[[#This Row],[Qty]]=""),"",tbl_main[[#This Row],[Price]]*tbl_main[[#This Row],[Qty]])</f>
        <v>300</v>
      </c>
      <c r="N540" s="3">
        <f>_xlfn.LET(_xlpm.x,_xlfn.XLOOKUP(tbl_main[[#This Row],[Service]],tbl_service[Service],tbl_service[Profit],""),
               IF(tbl_main[[#This Row],[Qty]]="","",_xlpm.x*tbl_main[[#This Row],[Qty]]))</f>
        <v>134</v>
      </c>
    </row>
    <row r="541" spans="1:14" x14ac:dyDescent="0.25">
      <c r="A541" t="s">
        <v>583</v>
      </c>
      <c r="B541" s="1">
        <v>45832</v>
      </c>
      <c r="C541">
        <f>IF(tbl_main[[#This Row],[Date]]="","",YEAR(B541))</f>
        <v>2025</v>
      </c>
      <c r="D541" t="str">
        <f>IF(tbl_main[[#This Row],[Date]]="","",TEXT(B541,"mmm"))</f>
        <v>Jun</v>
      </c>
      <c r="E541" t="str">
        <f>IF(tbl_main[[#This Row],[Date]]="","",TEXT(B541,"DDD"))</f>
        <v>Tue</v>
      </c>
      <c r="F541" t="s">
        <v>20</v>
      </c>
      <c r="G541" t="s">
        <v>21</v>
      </c>
      <c r="H541" s="3" t="s">
        <v>26</v>
      </c>
      <c r="I541" s="3" t="s">
        <v>38</v>
      </c>
      <c r="J541" s="3" t="s">
        <v>32</v>
      </c>
      <c r="K541" s="3">
        <f>_xlfn.XLOOKUP(tbl_main[[#This Row],[Service]],tbl_service[Service],tbl_service[Price],"")</f>
        <v>200</v>
      </c>
      <c r="L541" s="3">
        <v>2</v>
      </c>
      <c r="M541" s="3">
        <f>IF(AND(tbl_main[[#This Row],[Price]]="",tbl_main[[#This Row],[Qty]]=""),"",tbl_main[[#This Row],[Price]]*tbl_main[[#This Row],[Qty]])</f>
        <v>400</v>
      </c>
      <c r="N541" s="3">
        <f>_xlfn.LET(_xlpm.x,_xlfn.XLOOKUP(tbl_main[[#This Row],[Service]],tbl_service[Service],tbl_service[Profit],""),
               IF(tbl_main[[#This Row],[Qty]]="","",_xlpm.x*tbl_main[[#This Row],[Qty]]))</f>
        <v>180</v>
      </c>
    </row>
    <row r="542" spans="1:14" x14ac:dyDescent="0.25">
      <c r="A542" t="s">
        <v>584</v>
      </c>
      <c r="B542" s="1">
        <v>45832</v>
      </c>
      <c r="C542">
        <f>IF(tbl_main[[#This Row],[Date]]="","",YEAR(B542))</f>
        <v>2025</v>
      </c>
      <c r="D542" t="str">
        <f>IF(tbl_main[[#This Row],[Date]]="","",TEXT(B542,"mmm"))</f>
        <v>Jun</v>
      </c>
      <c r="E542" t="str">
        <f>IF(tbl_main[[#This Row],[Date]]="","",TEXT(B542,"DDD"))</f>
        <v>Tue</v>
      </c>
      <c r="F542" t="s">
        <v>13</v>
      </c>
      <c r="G542" t="s">
        <v>33</v>
      </c>
      <c r="H542" s="3" t="s">
        <v>18</v>
      </c>
      <c r="I542" s="3" t="s">
        <v>16</v>
      </c>
      <c r="J542" s="3" t="s">
        <v>17</v>
      </c>
      <c r="K542" s="3">
        <f>_xlfn.XLOOKUP(tbl_main[[#This Row],[Service]],tbl_service[Service],tbl_service[Price],"")</f>
        <v>500</v>
      </c>
      <c r="L542" s="3">
        <v>2</v>
      </c>
      <c r="M542" s="3">
        <f>IF(AND(tbl_main[[#This Row],[Price]]="",tbl_main[[#This Row],[Qty]]=""),"",tbl_main[[#This Row],[Price]]*tbl_main[[#This Row],[Qty]])</f>
        <v>1000</v>
      </c>
      <c r="N542" s="3">
        <f>_xlfn.LET(_xlpm.x,_xlfn.XLOOKUP(tbl_main[[#This Row],[Service]],tbl_service[Service],tbl_service[Profit],""),
               IF(tbl_main[[#This Row],[Qty]]="","",_xlpm.x*tbl_main[[#This Row],[Qty]]))</f>
        <v>314</v>
      </c>
    </row>
    <row r="543" spans="1:14" x14ac:dyDescent="0.25">
      <c r="A543" t="s">
        <v>585</v>
      </c>
      <c r="B543" s="1">
        <v>45833</v>
      </c>
      <c r="C543">
        <f>IF(tbl_main[[#This Row],[Date]]="","",YEAR(B543))</f>
        <v>2025</v>
      </c>
      <c r="D543" t="str">
        <f>IF(tbl_main[[#This Row],[Date]]="","",TEXT(B543,"mmm"))</f>
        <v>Jun</v>
      </c>
      <c r="E543" t="str">
        <f>IF(tbl_main[[#This Row],[Date]]="","",TEXT(B543,"DDD"))</f>
        <v>Wed</v>
      </c>
      <c r="F543" t="s">
        <v>20</v>
      </c>
      <c r="G543" t="s">
        <v>21</v>
      </c>
      <c r="H543" s="3" t="s">
        <v>22</v>
      </c>
      <c r="I543" s="3" t="s">
        <v>19</v>
      </c>
      <c r="J543" s="3" t="s">
        <v>25</v>
      </c>
      <c r="K543" s="3">
        <f>_xlfn.XLOOKUP(tbl_main[[#This Row],[Service]],tbl_service[Service],tbl_service[Price],"")</f>
        <v>150</v>
      </c>
      <c r="L543" s="3">
        <v>2</v>
      </c>
      <c r="M543" s="3">
        <f>IF(AND(tbl_main[[#This Row],[Price]]="",tbl_main[[#This Row],[Qty]]=""),"",tbl_main[[#This Row],[Price]]*tbl_main[[#This Row],[Qty]])</f>
        <v>300</v>
      </c>
      <c r="N543" s="3">
        <f>_xlfn.LET(_xlpm.x,_xlfn.XLOOKUP(tbl_main[[#This Row],[Service]],tbl_service[Service],tbl_service[Profit],""),
               IF(tbl_main[[#This Row],[Qty]]="","",_xlpm.x*tbl_main[[#This Row],[Qty]]))</f>
        <v>134</v>
      </c>
    </row>
    <row r="544" spans="1:14" x14ac:dyDescent="0.25">
      <c r="A544" t="s">
        <v>586</v>
      </c>
      <c r="B544" s="1">
        <v>45833</v>
      </c>
      <c r="C544">
        <f>IF(tbl_main[[#This Row],[Date]]="","",YEAR(B544))</f>
        <v>2025</v>
      </c>
      <c r="D544" t="str">
        <f>IF(tbl_main[[#This Row],[Date]]="","",TEXT(B544,"mmm"))</f>
        <v>Jun</v>
      </c>
      <c r="E544" t="str">
        <f>IF(tbl_main[[#This Row],[Date]]="","",TEXT(B544,"DDD"))</f>
        <v>Wed</v>
      </c>
      <c r="F544" t="s">
        <v>20</v>
      </c>
      <c r="G544" t="s">
        <v>39</v>
      </c>
      <c r="H544" s="3" t="s">
        <v>26</v>
      </c>
      <c r="I544" s="3" t="s">
        <v>35</v>
      </c>
      <c r="J544" s="3" t="s">
        <v>17</v>
      </c>
      <c r="K544" s="3">
        <f>_xlfn.XLOOKUP(tbl_main[[#This Row],[Service]],tbl_service[Service],tbl_service[Price],"")</f>
        <v>200</v>
      </c>
      <c r="L544" s="3">
        <v>1</v>
      </c>
      <c r="M544" s="3">
        <f>IF(AND(tbl_main[[#This Row],[Price]]="",tbl_main[[#This Row],[Qty]]=""),"",tbl_main[[#This Row],[Price]]*tbl_main[[#This Row],[Qty]])</f>
        <v>200</v>
      </c>
      <c r="N544" s="3">
        <f>_xlfn.LET(_xlpm.x,_xlfn.XLOOKUP(tbl_main[[#This Row],[Service]],tbl_service[Service],tbl_service[Profit],""),
               IF(tbl_main[[#This Row],[Qty]]="","",_xlpm.x*tbl_main[[#This Row],[Qty]]))</f>
        <v>90</v>
      </c>
    </row>
    <row r="545" spans="1:14" x14ac:dyDescent="0.25">
      <c r="A545" t="s">
        <v>587</v>
      </c>
      <c r="B545" s="1">
        <v>45834</v>
      </c>
      <c r="C545">
        <f>IF(tbl_main[[#This Row],[Date]]="","",YEAR(B545))</f>
        <v>2025</v>
      </c>
      <c r="D545" t="str">
        <f>IF(tbl_main[[#This Row],[Date]]="","",TEXT(B545,"mmm"))</f>
        <v>Jun</v>
      </c>
      <c r="E545" t="str">
        <f>IF(tbl_main[[#This Row],[Date]]="","",TEXT(B545,"DDD"))</f>
        <v>Thu</v>
      </c>
      <c r="F545" t="s">
        <v>27</v>
      </c>
      <c r="G545" t="s">
        <v>28</v>
      </c>
      <c r="H545" s="3" t="s">
        <v>34</v>
      </c>
      <c r="I545" s="3" t="s">
        <v>41</v>
      </c>
      <c r="J545" s="3" t="s">
        <v>32</v>
      </c>
      <c r="K545" s="3">
        <f>_xlfn.XLOOKUP(tbl_main[[#This Row],[Service]],tbl_service[Service],tbl_service[Price],"")</f>
        <v>100</v>
      </c>
      <c r="L545" s="3">
        <v>1</v>
      </c>
      <c r="M545" s="3">
        <f>IF(AND(tbl_main[[#This Row],[Price]]="",tbl_main[[#This Row],[Qty]]=""),"",tbl_main[[#This Row],[Price]]*tbl_main[[#This Row],[Qty]])</f>
        <v>100</v>
      </c>
      <c r="N545" s="3">
        <f>_xlfn.LET(_xlpm.x,_xlfn.XLOOKUP(tbl_main[[#This Row],[Service]],tbl_service[Service],tbl_service[Profit],""),
               IF(tbl_main[[#This Row],[Qty]]="","",_xlpm.x*tbl_main[[#This Row],[Qty]]))</f>
        <v>45</v>
      </c>
    </row>
    <row r="546" spans="1:14" x14ac:dyDescent="0.25">
      <c r="A546" t="s">
        <v>588</v>
      </c>
      <c r="B546" s="1">
        <v>45834</v>
      </c>
      <c r="C546">
        <f>IF(tbl_main[[#This Row],[Date]]="","",YEAR(B546))</f>
        <v>2025</v>
      </c>
      <c r="D546" t="str">
        <f>IF(tbl_main[[#This Row],[Date]]="","",TEXT(B546,"mmm"))</f>
        <v>Jun</v>
      </c>
      <c r="E546" t="str">
        <f>IF(tbl_main[[#This Row],[Date]]="","",TEXT(B546,"DDD"))</f>
        <v>Thu</v>
      </c>
      <c r="F546" t="s">
        <v>20</v>
      </c>
      <c r="G546" t="s">
        <v>39</v>
      </c>
      <c r="H546" s="3" t="s">
        <v>18</v>
      </c>
      <c r="I546" s="3" t="s">
        <v>41</v>
      </c>
      <c r="J546" s="3" t="s">
        <v>17</v>
      </c>
      <c r="K546" s="3">
        <f>_xlfn.XLOOKUP(tbl_main[[#This Row],[Service]],tbl_service[Service],tbl_service[Price],"")</f>
        <v>500</v>
      </c>
      <c r="L546" s="3">
        <v>2</v>
      </c>
      <c r="M546" s="3">
        <f>IF(AND(tbl_main[[#This Row],[Price]]="",tbl_main[[#This Row],[Qty]]=""),"",tbl_main[[#This Row],[Price]]*tbl_main[[#This Row],[Qty]])</f>
        <v>1000</v>
      </c>
      <c r="N546" s="3">
        <f>_xlfn.LET(_xlpm.x,_xlfn.XLOOKUP(tbl_main[[#This Row],[Service]],tbl_service[Service],tbl_service[Profit],""),
               IF(tbl_main[[#This Row],[Qty]]="","",_xlpm.x*tbl_main[[#This Row],[Qty]]))</f>
        <v>314</v>
      </c>
    </row>
    <row r="547" spans="1:14" x14ac:dyDescent="0.25">
      <c r="A547" t="s">
        <v>589</v>
      </c>
      <c r="B547" s="1">
        <v>45835</v>
      </c>
      <c r="C547">
        <f>IF(tbl_main[[#This Row],[Date]]="","",YEAR(B547))</f>
        <v>2025</v>
      </c>
      <c r="D547" t="str">
        <f>IF(tbl_main[[#This Row],[Date]]="","",TEXT(B547,"mmm"))</f>
        <v>Jun</v>
      </c>
      <c r="E547" t="str">
        <f>IF(tbl_main[[#This Row],[Date]]="","",TEXT(B547,"DDD"))</f>
        <v>Fri</v>
      </c>
      <c r="F547" t="s">
        <v>20</v>
      </c>
      <c r="G547" t="s">
        <v>29</v>
      </c>
      <c r="H547" s="3" t="s">
        <v>15</v>
      </c>
      <c r="I547" s="3" t="s">
        <v>35</v>
      </c>
      <c r="J547" s="3" t="s">
        <v>17</v>
      </c>
      <c r="K547" s="3">
        <f>_xlfn.XLOOKUP(tbl_main[[#This Row],[Service]],tbl_service[Service],tbl_service[Price],"")</f>
        <v>500</v>
      </c>
      <c r="L547" s="3">
        <v>2</v>
      </c>
      <c r="M547" s="3">
        <f>IF(AND(tbl_main[[#This Row],[Price]]="",tbl_main[[#This Row],[Qty]]=""),"",tbl_main[[#This Row],[Price]]*tbl_main[[#This Row],[Qty]])</f>
        <v>1000</v>
      </c>
      <c r="N547" s="3">
        <f>_xlfn.LET(_xlpm.x,_xlfn.XLOOKUP(tbl_main[[#This Row],[Service]],tbl_service[Service],tbl_service[Profit],""),
               IF(tbl_main[[#This Row],[Qty]]="","",_xlpm.x*tbl_main[[#This Row],[Qty]]))</f>
        <v>450</v>
      </c>
    </row>
    <row r="548" spans="1:14" x14ac:dyDescent="0.25">
      <c r="A548" t="s">
        <v>590</v>
      </c>
      <c r="B548" s="1">
        <v>45835</v>
      </c>
      <c r="C548">
        <f>IF(tbl_main[[#This Row],[Date]]="","",YEAR(B548))</f>
        <v>2025</v>
      </c>
      <c r="D548" t="str">
        <f>IF(tbl_main[[#This Row],[Date]]="","",TEXT(B548,"mmm"))</f>
        <v>Jun</v>
      </c>
      <c r="E548" t="str">
        <f>IF(tbl_main[[#This Row],[Date]]="","",TEXT(B548,"DDD"))</f>
        <v>Fri</v>
      </c>
      <c r="F548" t="s">
        <v>30</v>
      </c>
      <c r="G548" t="s">
        <v>31</v>
      </c>
      <c r="H548" s="3" t="s">
        <v>18</v>
      </c>
      <c r="I548" s="3" t="s">
        <v>35</v>
      </c>
      <c r="J548" s="3" t="s">
        <v>17</v>
      </c>
      <c r="K548" s="3">
        <f>_xlfn.XLOOKUP(tbl_main[[#This Row],[Service]],tbl_service[Service],tbl_service[Price],"")</f>
        <v>500</v>
      </c>
      <c r="L548" s="3">
        <v>1</v>
      </c>
      <c r="M548" s="3">
        <f>IF(AND(tbl_main[[#This Row],[Price]]="",tbl_main[[#This Row],[Qty]]=""),"",tbl_main[[#This Row],[Price]]*tbl_main[[#This Row],[Qty]])</f>
        <v>500</v>
      </c>
      <c r="N548" s="3">
        <f>_xlfn.LET(_xlpm.x,_xlfn.XLOOKUP(tbl_main[[#This Row],[Service]],tbl_service[Service],tbl_service[Profit],""),
               IF(tbl_main[[#This Row],[Qty]]="","",_xlpm.x*tbl_main[[#This Row],[Qty]]))</f>
        <v>157</v>
      </c>
    </row>
    <row r="549" spans="1:14" x14ac:dyDescent="0.25">
      <c r="A549" t="s">
        <v>591</v>
      </c>
      <c r="B549" s="1">
        <v>45835</v>
      </c>
      <c r="C549">
        <f>IF(tbl_main[[#This Row],[Date]]="","",YEAR(B549))</f>
        <v>2025</v>
      </c>
      <c r="D549" t="str">
        <f>IF(tbl_main[[#This Row],[Date]]="","",TEXT(B549,"mmm"))</f>
        <v>Jun</v>
      </c>
      <c r="E549" t="str">
        <f>IF(tbl_main[[#This Row],[Date]]="","",TEXT(B549,"DDD"))</f>
        <v>Fri</v>
      </c>
      <c r="F549" t="s">
        <v>30</v>
      </c>
      <c r="G549" t="s">
        <v>36</v>
      </c>
      <c r="H549" s="3" t="s">
        <v>26</v>
      </c>
      <c r="I549" s="3" t="s">
        <v>23</v>
      </c>
      <c r="J549" s="3" t="s">
        <v>17</v>
      </c>
      <c r="K549" s="3">
        <f>_xlfn.XLOOKUP(tbl_main[[#This Row],[Service]],tbl_service[Service],tbl_service[Price],"")</f>
        <v>200</v>
      </c>
      <c r="L549" s="3">
        <v>1</v>
      </c>
      <c r="M549" s="3">
        <f>IF(AND(tbl_main[[#This Row],[Price]]="",tbl_main[[#This Row],[Qty]]=""),"",tbl_main[[#This Row],[Price]]*tbl_main[[#This Row],[Qty]])</f>
        <v>200</v>
      </c>
      <c r="N549" s="3">
        <f>_xlfn.LET(_xlpm.x,_xlfn.XLOOKUP(tbl_main[[#This Row],[Service]],tbl_service[Service],tbl_service[Profit],""),
               IF(tbl_main[[#This Row],[Qty]]="","",_xlpm.x*tbl_main[[#This Row],[Qty]]))</f>
        <v>90</v>
      </c>
    </row>
    <row r="550" spans="1:14" x14ac:dyDescent="0.25">
      <c r="A550" t="s">
        <v>592</v>
      </c>
      <c r="B550" s="1">
        <v>45836</v>
      </c>
      <c r="C550">
        <f>IF(tbl_main[[#This Row],[Date]]="","",YEAR(B550))</f>
        <v>2025</v>
      </c>
      <c r="D550" t="str">
        <f>IF(tbl_main[[#This Row],[Date]]="","",TEXT(B550,"mmm"))</f>
        <v>Jun</v>
      </c>
      <c r="E550" t="str">
        <f>IF(tbl_main[[#This Row],[Date]]="","",TEXT(B550,"DDD"))</f>
        <v>Sat</v>
      </c>
      <c r="F550" t="s">
        <v>27</v>
      </c>
      <c r="G550" t="s">
        <v>40</v>
      </c>
      <c r="H550" s="3" t="s">
        <v>18</v>
      </c>
      <c r="I550" s="3" t="s">
        <v>37</v>
      </c>
      <c r="J550" s="3" t="s">
        <v>25</v>
      </c>
      <c r="K550" s="3">
        <f>_xlfn.XLOOKUP(tbl_main[[#This Row],[Service]],tbl_service[Service],tbl_service[Price],"")</f>
        <v>500</v>
      </c>
      <c r="L550" s="3">
        <v>1</v>
      </c>
      <c r="M550" s="3">
        <f>IF(AND(tbl_main[[#This Row],[Price]]="",tbl_main[[#This Row],[Qty]]=""),"",tbl_main[[#This Row],[Price]]*tbl_main[[#This Row],[Qty]])</f>
        <v>500</v>
      </c>
      <c r="N550" s="3">
        <f>_xlfn.LET(_xlpm.x,_xlfn.XLOOKUP(tbl_main[[#This Row],[Service]],tbl_service[Service],tbl_service[Profit],""),
               IF(tbl_main[[#This Row],[Qty]]="","",_xlpm.x*tbl_main[[#This Row],[Qty]]))</f>
        <v>157</v>
      </c>
    </row>
    <row r="551" spans="1:14" x14ac:dyDescent="0.25">
      <c r="A551" t="s">
        <v>593</v>
      </c>
      <c r="B551" s="1">
        <v>45836</v>
      </c>
      <c r="C551">
        <f>IF(tbl_main[[#This Row],[Date]]="","",YEAR(B551))</f>
        <v>2025</v>
      </c>
      <c r="D551" t="str">
        <f>IF(tbl_main[[#This Row],[Date]]="","",TEXT(B551,"mmm"))</f>
        <v>Jun</v>
      </c>
      <c r="E551" t="str">
        <f>IF(tbl_main[[#This Row],[Date]]="","",TEXT(B551,"DDD"))</f>
        <v>Sat</v>
      </c>
      <c r="F551" t="s">
        <v>13</v>
      </c>
      <c r="G551" t="s">
        <v>14</v>
      </c>
      <c r="H551" s="3" t="s">
        <v>26</v>
      </c>
      <c r="I551" s="3" t="s">
        <v>38</v>
      </c>
      <c r="J551" s="3" t="s">
        <v>32</v>
      </c>
      <c r="K551" s="3">
        <f>_xlfn.XLOOKUP(tbl_main[[#This Row],[Service]],tbl_service[Service],tbl_service[Price],"")</f>
        <v>200</v>
      </c>
      <c r="L551" s="3">
        <v>1</v>
      </c>
      <c r="M551" s="3">
        <f>IF(AND(tbl_main[[#This Row],[Price]]="",tbl_main[[#This Row],[Qty]]=""),"",tbl_main[[#This Row],[Price]]*tbl_main[[#This Row],[Qty]])</f>
        <v>200</v>
      </c>
      <c r="N551" s="3">
        <f>_xlfn.LET(_xlpm.x,_xlfn.XLOOKUP(tbl_main[[#This Row],[Service]],tbl_service[Service],tbl_service[Profit],""),
               IF(tbl_main[[#This Row],[Qty]]="","",_xlpm.x*tbl_main[[#This Row],[Qty]]))</f>
        <v>90</v>
      </c>
    </row>
    <row r="552" spans="1:14" x14ac:dyDescent="0.25">
      <c r="A552" t="s">
        <v>594</v>
      </c>
      <c r="B552" s="1">
        <v>45836</v>
      </c>
      <c r="C552">
        <f>IF(tbl_main[[#This Row],[Date]]="","",YEAR(B552))</f>
        <v>2025</v>
      </c>
      <c r="D552" t="str">
        <f>IF(tbl_main[[#This Row],[Date]]="","",TEXT(B552,"mmm"))</f>
        <v>Jun</v>
      </c>
      <c r="E552" t="str">
        <f>IF(tbl_main[[#This Row],[Date]]="","",TEXT(B552,"DDD"))</f>
        <v>Sat</v>
      </c>
      <c r="F552" t="s">
        <v>30</v>
      </c>
      <c r="G552" t="s">
        <v>36</v>
      </c>
      <c r="H552" s="3" t="s">
        <v>22</v>
      </c>
      <c r="I552" s="3" t="s">
        <v>16</v>
      </c>
      <c r="J552" s="3" t="s">
        <v>17</v>
      </c>
      <c r="K552" s="3">
        <f>_xlfn.XLOOKUP(tbl_main[[#This Row],[Service]],tbl_service[Service],tbl_service[Price],"")</f>
        <v>150</v>
      </c>
      <c r="L552" s="3">
        <v>2</v>
      </c>
      <c r="M552" s="3">
        <f>IF(AND(tbl_main[[#This Row],[Price]]="",tbl_main[[#This Row],[Qty]]=""),"",tbl_main[[#This Row],[Price]]*tbl_main[[#This Row],[Qty]])</f>
        <v>300</v>
      </c>
      <c r="N552" s="3">
        <f>_xlfn.LET(_xlpm.x,_xlfn.XLOOKUP(tbl_main[[#This Row],[Service]],tbl_service[Service],tbl_service[Profit],""),
               IF(tbl_main[[#This Row],[Qty]]="","",_xlpm.x*tbl_main[[#This Row],[Qty]]))</f>
        <v>134</v>
      </c>
    </row>
    <row r="553" spans="1:14" x14ac:dyDescent="0.25">
      <c r="A553" t="s">
        <v>595</v>
      </c>
      <c r="B553" s="1">
        <v>45837</v>
      </c>
      <c r="C553">
        <f>IF(tbl_main[[#This Row],[Date]]="","",YEAR(B553))</f>
        <v>2025</v>
      </c>
      <c r="D553" t="str">
        <f>IF(tbl_main[[#This Row],[Date]]="","",TEXT(B553,"mmm"))</f>
        <v>Jun</v>
      </c>
      <c r="E553" t="str">
        <f>IF(tbl_main[[#This Row],[Date]]="","",TEXT(B553,"DDD"))</f>
        <v>Sun</v>
      </c>
      <c r="F553" t="s">
        <v>30</v>
      </c>
      <c r="G553" t="s">
        <v>36</v>
      </c>
      <c r="H553" s="3" t="s">
        <v>18</v>
      </c>
      <c r="I553" s="3" t="s">
        <v>19</v>
      </c>
      <c r="J553" s="3" t="s">
        <v>17</v>
      </c>
      <c r="K553" s="3">
        <f>_xlfn.XLOOKUP(tbl_main[[#This Row],[Service]],tbl_service[Service],tbl_service[Price],"")</f>
        <v>500</v>
      </c>
      <c r="L553" s="3">
        <v>1</v>
      </c>
      <c r="M553" s="3">
        <f>IF(AND(tbl_main[[#This Row],[Price]]="",tbl_main[[#This Row],[Qty]]=""),"",tbl_main[[#This Row],[Price]]*tbl_main[[#This Row],[Qty]])</f>
        <v>500</v>
      </c>
      <c r="N553" s="3">
        <f>_xlfn.LET(_xlpm.x,_xlfn.XLOOKUP(tbl_main[[#This Row],[Service]],tbl_service[Service],tbl_service[Profit],""),
               IF(tbl_main[[#This Row],[Qty]]="","",_xlpm.x*tbl_main[[#This Row],[Qty]]))</f>
        <v>157</v>
      </c>
    </row>
    <row r="554" spans="1:14" x14ac:dyDescent="0.25">
      <c r="A554" t="s">
        <v>596</v>
      </c>
      <c r="B554" s="1">
        <v>45837</v>
      </c>
      <c r="C554">
        <f>IF(tbl_main[[#This Row],[Date]]="","",YEAR(B554))</f>
        <v>2025</v>
      </c>
      <c r="D554" t="str">
        <f>IF(tbl_main[[#This Row],[Date]]="","",TEXT(B554,"mmm"))</f>
        <v>Jun</v>
      </c>
      <c r="E554" t="str">
        <f>IF(tbl_main[[#This Row],[Date]]="","",TEXT(B554,"DDD"))</f>
        <v>Sun</v>
      </c>
      <c r="F554" t="s">
        <v>13</v>
      </c>
      <c r="G554" t="s">
        <v>33</v>
      </c>
      <c r="H554" s="3" t="s">
        <v>24</v>
      </c>
      <c r="I554" s="3" t="s">
        <v>35</v>
      </c>
      <c r="J554" s="3" t="s">
        <v>17</v>
      </c>
      <c r="K554" s="3">
        <f>_xlfn.XLOOKUP(tbl_main[[#This Row],[Service]],tbl_service[Service],tbl_service[Price],"")</f>
        <v>80</v>
      </c>
      <c r="L554" s="3">
        <v>1</v>
      </c>
      <c r="M554" s="3">
        <f>IF(AND(tbl_main[[#This Row],[Price]]="",tbl_main[[#This Row],[Qty]]=""),"",tbl_main[[#This Row],[Price]]*tbl_main[[#This Row],[Qty]])</f>
        <v>80</v>
      </c>
      <c r="N554" s="3">
        <f>_xlfn.LET(_xlpm.x,_xlfn.XLOOKUP(tbl_main[[#This Row],[Service]],tbl_service[Service],tbl_service[Profit],""),
               IF(tbl_main[[#This Row],[Qty]]="","",_xlpm.x*tbl_main[[#This Row],[Qty]]))</f>
        <v>36</v>
      </c>
    </row>
    <row r="555" spans="1:14" x14ac:dyDescent="0.25">
      <c r="A555" t="s">
        <v>597</v>
      </c>
      <c r="B555" s="1">
        <v>45838</v>
      </c>
      <c r="C555">
        <f>IF(tbl_main[[#This Row],[Date]]="","",YEAR(B555))</f>
        <v>2025</v>
      </c>
      <c r="D555" t="str">
        <f>IF(tbl_main[[#This Row],[Date]]="","",TEXT(B555,"mmm"))</f>
        <v>Jun</v>
      </c>
      <c r="E555" t="str">
        <f>IF(tbl_main[[#This Row],[Date]]="","",TEXT(B555,"DDD"))</f>
        <v>Mon</v>
      </c>
      <c r="F555" t="s">
        <v>13</v>
      </c>
      <c r="G555" t="s">
        <v>33</v>
      </c>
      <c r="H555" s="3" t="s">
        <v>26</v>
      </c>
      <c r="I555" s="3" t="s">
        <v>41</v>
      </c>
      <c r="J555" s="3" t="s">
        <v>32</v>
      </c>
      <c r="K555" s="3">
        <f>_xlfn.XLOOKUP(tbl_main[[#This Row],[Service]],tbl_service[Service],tbl_service[Price],"")</f>
        <v>200</v>
      </c>
      <c r="L555" s="3">
        <v>2</v>
      </c>
      <c r="M555" s="3">
        <f>IF(AND(tbl_main[[#This Row],[Price]]="",tbl_main[[#This Row],[Qty]]=""),"",tbl_main[[#This Row],[Price]]*tbl_main[[#This Row],[Qty]])</f>
        <v>400</v>
      </c>
      <c r="N555" s="3">
        <f>_xlfn.LET(_xlpm.x,_xlfn.XLOOKUP(tbl_main[[#This Row],[Service]],tbl_service[Service],tbl_service[Profit],""),
               IF(tbl_main[[#This Row],[Qty]]="","",_xlpm.x*tbl_main[[#This Row],[Qty]]))</f>
        <v>180</v>
      </c>
    </row>
    <row r="556" spans="1:14" x14ac:dyDescent="0.25">
      <c r="A556" t="s">
        <v>598</v>
      </c>
      <c r="B556" s="1">
        <v>45838</v>
      </c>
      <c r="C556">
        <f>IF(tbl_main[[#This Row],[Date]]="","",YEAR(B556))</f>
        <v>2025</v>
      </c>
      <c r="D556" t="str">
        <f>IF(tbl_main[[#This Row],[Date]]="","",TEXT(B556,"mmm"))</f>
        <v>Jun</v>
      </c>
      <c r="E556" t="str">
        <f>IF(tbl_main[[#This Row],[Date]]="","",TEXT(B556,"DDD"))</f>
        <v>Mon</v>
      </c>
      <c r="F556" t="s">
        <v>27</v>
      </c>
      <c r="G556" t="s">
        <v>40</v>
      </c>
      <c r="H556" s="3" t="s">
        <v>34</v>
      </c>
      <c r="I556" s="3" t="s">
        <v>41</v>
      </c>
      <c r="J556" s="3" t="s">
        <v>32</v>
      </c>
      <c r="K556" s="3">
        <f>_xlfn.XLOOKUP(tbl_main[[#This Row],[Service]],tbl_service[Service],tbl_service[Price],"")</f>
        <v>100</v>
      </c>
      <c r="L556" s="3">
        <v>1</v>
      </c>
      <c r="M556" s="3">
        <f>IF(AND(tbl_main[[#This Row],[Price]]="",tbl_main[[#This Row],[Qty]]=""),"",tbl_main[[#This Row],[Price]]*tbl_main[[#This Row],[Qty]])</f>
        <v>100</v>
      </c>
      <c r="N556" s="3">
        <f>_xlfn.LET(_xlpm.x,_xlfn.XLOOKUP(tbl_main[[#This Row],[Service]],tbl_service[Service],tbl_service[Profit],""),
               IF(tbl_main[[#This Row],[Qty]]="","",_xlpm.x*tbl_main[[#This Row],[Qty]]))</f>
        <v>45</v>
      </c>
    </row>
    <row r="557" spans="1:14" x14ac:dyDescent="0.25">
      <c r="A557" t="s">
        <v>599</v>
      </c>
      <c r="B557" s="1">
        <v>45839</v>
      </c>
      <c r="C557">
        <f>IF(tbl_main[[#This Row],[Date]]="","",YEAR(B557))</f>
        <v>2025</v>
      </c>
      <c r="D557" t="str">
        <f>IF(tbl_main[[#This Row],[Date]]="","",TEXT(B557,"mmm"))</f>
        <v>Jul</v>
      </c>
      <c r="E557" t="str">
        <f>IF(tbl_main[[#This Row],[Date]]="","",TEXT(B557,"DDD"))</f>
        <v>Tue</v>
      </c>
      <c r="F557" t="s">
        <v>30</v>
      </c>
      <c r="G557" t="s">
        <v>36</v>
      </c>
      <c r="H557" s="3" t="s">
        <v>18</v>
      </c>
      <c r="I557" s="3" t="s">
        <v>35</v>
      </c>
      <c r="J557" s="3" t="s">
        <v>25</v>
      </c>
      <c r="K557" s="3">
        <f>_xlfn.XLOOKUP(tbl_main[[#This Row],[Service]],tbl_service[Service],tbl_service[Price],"")</f>
        <v>500</v>
      </c>
      <c r="L557" s="3">
        <v>2</v>
      </c>
      <c r="M557" s="3">
        <f>IF(AND(tbl_main[[#This Row],[Price]]="",tbl_main[[#This Row],[Qty]]=""),"",tbl_main[[#This Row],[Price]]*tbl_main[[#This Row],[Qty]])</f>
        <v>1000</v>
      </c>
      <c r="N557" s="3">
        <f>_xlfn.LET(_xlpm.x,_xlfn.XLOOKUP(tbl_main[[#This Row],[Service]],tbl_service[Service],tbl_service[Profit],""),
               IF(tbl_main[[#This Row],[Qty]]="","",_xlpm.x*tbl_main[[#This Row],[Qty]]))</f>
        <v>314</v>
      </c>
    </row>
    <row r="558" spans="1:14" x14ac:dyDescent="0.25">
      <c r="A558" t="s">
        <v>600</v>
      </c>
      <c r="B558" s="1">
        <v>45839</v>
      </c>
      <c r="C558">
        <f>IF(tbl_main[[#This Row],[Date]]="","",YEAR(B558))</f>
        <v>2025</v>
      </c>
      <c r="D558" t="str">
        <f>IF(tbl_main[[#This Row],[Date]]="","",TEXT(B558,"mmm"))</f>
        <v>Jul</v>
      </c>
      <c r="E558" t="str">
        <f>IF(tbl_main[[#This Row],[Date]]="","",TEXT(B558,"DDD"))</f>
        <v>Tue</v>
      </c>
      <c r="F558" t="s">
        <v>13</v>
      </c>
      <c r="G558" t="s">
        <v>33</v>
      </c>
      <c r="H558" s="3" t="s">
        <v>18</v>
      </c>
      <c r="I558" s="3" t="s">
        <v>35</v>
      </c>
      <c r="J558" s="3" t="s">
        <v>17</v>
      </c>
      <c r="K558" s="3">
        <f>_xlfn.XLOOKUP(tbl_main[[#This Row],[Service]],tbl_service[Service],tbl_service[Price],"")</f>
        <v>500</v>
      </c>
      <c r="L558" s="3">
        <v>1</v>
      </c>
      <c r="M558" s="3">
        <f>IF(AND(tbl_main[[#This Row],[Price]]="",tbl_main[[#This Row],[Qty]]=""),"",tbl_main[[#This Row],[Price]]*tbl_main[[#This Row],[Qty]])</f>
        <v>500</v>
      </c>
      <c r="N558" s="3">
        <f>_xlfn.LET(_xlpm.x,_xlfn.XLOOKUP(tbl_main[[#This Row],[Service]],tbl_service[Service],tbl_service[Profit],""),
               IF(tbl_main[[#This Row],[Qty]]="","",_xlpm.x*tbl_main[[#This Row],[Qty]]))</f>
        <v>157</v>
      </c>
    </row>
    <row r="559" spans="1:14" x14ac:dyDescent="0.25">
      <c r="A559" t="s">
        <v>601</v>
      </c>
      <c r="B559" s="1">
        <v>45840</v>
      </c>
      <c r="C559">
        <f>IF(tbl_main[[#This Row],[Date]]="","",YEAR(B559))</f>
        <v>2025</v>
      </c>
      <c r="D559" t="str">
        <f>IF(tbl_main[[#This Row],[Date]]="","",TEXT(B559,"mmm"))</f>
        <v>Jul</v>
      </c>
      <c r="E559" t="str">
        <f>IF(tbl_main[[#This Row],[Date]]="","",TEXT(B559,"DDD"))</f>
        <v>Wed</v>
      </c>
      <c r="F559" t="s">
        <v>20</v>
      </c>
      <c r="G559" t="s">
        <v>39</v>
      </c>
      <c r="H559" s="3" t="s">
        <v>22</v>
      </c>
      <c r="I559" s="3" t="s">
        <v>23</v>
      </c>
      <c r="J559" s="3" t="s">
        <v>17</v>
      </c>
      <c r="K559" s="3">
        <f>_xlfn.XLOOKUP(tbl_main[[#This Row],[Service]],tbl_service[Service],tbl_service[Price],"")</f>
        <v>150</v>
      </c>
      <c r="L559" s="3">
        <v>1</v>
      </c>
      <c r="M559" s="3">
        <f>IF(AND(tbl_main[[#This Row],[Price]]="",tbl_main[[#This Row],[Qty]]=""),"",tbl_main[[#This Row],[Price]]*tbl_main[[#This Row],[Qty]])</f>
        <v>150</v>
      </c>
      <c r="N559" s="3">
        <f>_xlfn.LET(_xlpm.x,_xlfn.XLOOKUP(tbl_main[[#This Row],[Service]],tbl_service[Service],tbl_service[Profit],""),
               IF(tbl_main[[#This Row],[Qty]]="","",_xlpm.x*tbl_main[[#This Row],[Qty]]))</f>
        <v>67</v>
      </c>
    </row>
    <row r="560" spans="1:14" x14ac:dyDescent="0.25">
      <c r="A560" t="s">
        <v>602</v>
      </c>
      <c r="B560" s="1">
        <v>45840</v>
      </c>
      <c r="C560">
        <f>IF(tbl_main[[#This Row],[Date]]="","",YEAR(B560))</f>
        <v>2025</v>
      </c>
      <c r="D560" t="str">
        <f>IF(tbl_main[[#This Row],[Date]]="","",TEXT(B560,"mmm"))</f>
        <v>Jul</v>
      </c>
      <c r="E560" t="str">
        <f>IF(tbl_main[[#This Row],[Date]]="","",TEXT(B560,"DDD"))</f>
        <v>Wed</v>
      </c>
      <c r="F560" t="s">
        <v>30</v>
      </c>
      <c r="G560" t="s">
        <v>31</v>
      </c>
      <c r="H560" s="3" t="s">
        <v>34</v>
      </c>
      <c r="I560" s="3" t="s">
        <v>37</v>
      </c>
      <c r="J560" s="3" t="s">
        <v>17</v>
      </c>
      <c r="K560" s="3">
        <f>_xlfn.XLOOKUP(tbl_main[[#This Row],[Service]],tbl_service[Service],tbl_service[Price],"")</f>
        <v>100</v>
      </c>
      <c r="L560" s="3">
        <v>2</v>
      </c>
      <c r="M560" s="3">
        <f>IF(AND(tbl_main[[#This Row],[Price]]="",tbl_main[[#This Row],[Qty]]=""),"",tbl_main[[#This Row],[Price]]*tbl_main[[#This Row],[Qty]])</f>
        <v>200</v>
      </c>
      <c r="N560" s="3">
        <f>_xlfn.LET(_xlpm.x,_xlfn.XLOOKUP(tbl_main[[#This Row],[Service]],tbl_service[Service],tbl_service[Profit],""),
               IF(tbl_main[[#This Row],[Qty]]="","",_xlpm.x*tbl_main[[#This Row],[Qty]]))</f>
        <v>90</v>
      </c>
    </row>
    <row r="561" spans="1:14" x14ac:dyDescent="0.25">
      <c r="A561" t="s">
        <v>603</v>
      </c>
      <c r="B561" s="1">
        <v>45840</v>
      </c>
      <c r="C561">
        <f>IF(tbl_main[[#This Row],[Date]]="","",YEAR(B561))</f>
        <v>2025</v>
      </c>
      <c r="D561" t="str">
        <f>IF(tbl_main[[#This Row],[Date]]="","",TEXT(B561,"mmm"))</f>
        <v>Jul</v>
      </c>
      <c r="E561" t="str">
        <f>IF(tbl_main[[#This Row],[Date]]="","",TEXT(B561,"DDD"))</f>
        <v>Wed</v>
      </c>
      <c r="F561" t="s">
        <v>27</v>
      </c>
      <c r="G561" t="s">
        <v>40</v>
      </c>
      <c r="H561" s="3" t="s">
        <v>22</v>
      </c>
      <c r="I561" s="3" t="s">
        <v>38</v>
      </c>
      <c r="J561" s="3" t="s">
        <v>32</v>
      </c>
      <c r="K561" s="3">
        <f>_xlfn.XLOOKUP(tbl_main[[#This Row],[Service]],tbl_service[Service],tbl_service[Price],"")</f>
        <v>150</v>
      </c>
      <c r="L561" s="3">
        <v>1</v>
      </c>
      <c r="M561" s="3">
        <f>IF(AND(tbl_main[[#This Row],[Price]]="",tbl_main[[#This Row],[Qty]]=""),"",tbl_main[[#This Row],[Price]]*tbl_main[[#This Row],[Qty]])</f>
        <v>150</v>
      </c>
      <c r="N561" s="3">
        <f>_xlfn.LET(_xlpm.x,_xlfn.XLOOKUP(tbl_main[[#This Row],[Service]],tbl_service[Service],tbl_service[Profit],""),
               IF(tbl_main[[#This Row],[Qty]]="","",_xlpm.x*tbl_main[[#This Row],[Qty]]))</f>
        <v>67</v>
      </c>
    </row>
    <row r="562" spans="1:14" x14ac:dyDescent="0.25">
      <c r="A562" t="s">
        <v>604</v>
      </c>
      <c r="B562" s="1">
        <v>45841</v>
      </c>
      <c r="C562">
        <f>IF(tbl_main[[#This Row],[Date]]="","",YEAR(B562))</f>
        <v>2025</v>
      </c>
      <c r="D562" t="str">
        <f>IF(tbl_main[[#This Row],[Date]]="","",TEXT(B562,"mmm"))</f>
        <v>Jul</v>
      </c>
      <c r="E562" t="str">
        <f>IF(tbl_main[[#This Row],[Date]]="","",TEXT(B562,"DDD"))</f>
        <v>Thu</v>
      </c>
      <c r="F562" t="s">
        <v>13</v>
      </c>
      <c r="G562" t="s">
        <v>33</v>
      </c>
      <c r="H562" s="3" t="s">
        <v>24</v>
      </c>
      <c r="I562" s="3" t="s">
        <v>16</v>
      </c>
      <c r="J562" s="3" t="s">
        <v>17</v>
      </c>
      <c r="K562" s="3">
        <f>_xlfn.XLOOKUP(tbl_main[[#This Row],[Service]],tbl_service[Service],tbl_service[Price],"")</f>
        <v>80</v>
      </c>
      <c r="L562" s="3">
        <v>1</v>
      </c>
      <c r="M562" s="3">
        <f>IF(AND(tbl_main[[#This Row],[Price]]="",tbl_main[[#This Row],[Qty]]=""),"",tbl_main[[#This Row],[Price]]*tbl_main[[#This Row],[Qty]])</f>
        <v>80</v>
      </c>
      <c r="N562" s="3">
        <f>_xlfn.LET(_xlpm.x,_xlfn.XLOOKUP(tbl_main[[#This Row],[Service]],tbl_service[Service],tbl_service[Profit],""),
               IF(tbl_main[[#This Row],[Qty]]="","",_xlpm.x*tbl_main[[#This Row],[Qty]]))</f>
        <v>36</v>
      </c>
    </row>
    <row r="563" spans="1:14" x14ac:dyDescent="0.25">
      <c r="A563" t="s">
        <v>605</v>
      </c>
      <c r="B563" s="1">
        <v>45841</v>
      </c>
      <c r="C563">
        <f>IF(tbl_main[[#This Row],[Date]]="","",YEAR(B563))</f>
        <v>2025</v>
      </c>
      <c r="D563" t="str">
        <f>IF(tbl_main[[#This Row],[Date]]="","",TEXT(B563,"mmm"))</f>
        <v>Jul</v>
      </c>
      <c r="E563" t="str">
        <f>IF(tbl_main[[#This Row],[Date]]="","",TEXT(B563,"DDD"))</f>
        <v>Thu</v>
      </c>
      <c r="F563" t="s">
        <v>13</v>
      </c>
      <c r="G563" t="s">
        <v>14</v>
      </c>
      <c r="H563" s="3" t="s">
        <v>22</v>
      </c>
      <c r="I563" s="3" t="s">
        <v>19</v>
      </c>
      <c r="J563" s="3" t="s">
        <v>25</v>
      </c>
      <c r="K563" s="3">
        <f>_xlfn.XLOOKUP(tbl_main[[#This Row],[Service]],tbl_service[Service],tbl_service[Price],"")</f>
        <v>150</v>
      </c>
      <c r="L563" s="3">
        <v>1</v>
      </c>
      <c r="M563" s="3">
        <f>IF(AND(tbl_main[[#This Row],[Price]]="",tbl_main[[#This Row],[Qty]]=""),"",tbl_main[[#This Row],[Price]]*tbl_main[[#This Row],[Qty]])</f>
        <v>150</v>
      </c>
      <c r="N563" s="3">
        <f>_xlfn.LET(_xlpm.x,_xlfn.XLOOKUP(tbl_main[[#This Row],[Service]],tbl_service[Service],tbl_service[Profit],""),
               IF(tbl_main[[#This Row],[Qty]]="","",_xlpm.x*tbl_main[[#This Row],[Qty]]))</f>
        <v>67</v>
      </c>
    </row>
    <row r="564" spans="1:14" x14ac:dyDescent="0.25">
      <c r="A564" t="s">
        <v>606</v>
      </c>
      <c r="B564" s="1">
        <v>45841</v>
      </c>
      <c r="C564">
        <f>IF(tbl_main[[#This Row],[Date]]="","",YEAR(B564))</f>
        <v>2025</v>
      </c>
      <c r="D564" t="str">
        <f>IF(tbl_main[[#This Row],[Date]]="","",TEXT(B564,"mmm"))</f>
        <v>Jul</v>
      </c>
      <c r="E564" t="str">
        <f>IF(tbl_main[[#This Row],[Date]]="","",TEXT(B564,"DDD"))</f>
        <v>Thu</v>
      </c>
      <c r="F564" t="s">
        <v>20</v>
      </c>
      <c r="G564" t="s">
        <v>39</v>
      </c>
      <c r="H564" s="3" t="s">
        <v>22</v>
      </c>
      <c r="I564" s="3" t="s">
        <v>35</v>
      </c>
      <c r="J564" s="3" t="s">
        <v>25</v>
      </c>
      <c r="K564" s="3">
        <f>_xlfn.XLOOKUP(tbl_main[[#This Row],[Service]],tbl_service[Service],tbl_service[Price],"")</f>
        <v>150</v>
      </c>
      <c r="L564" s="3">
        <v>1</v>
      </c>
      <c r="M564" s="3">
        <f>IF(AND(tbl_main[[#This Row],[Price]]="",tbl_main[[#This Row],[Qty]]=""),"",tbl_main[[#This Row],[Price]]*tbl_main[[#This Row],[Qty]])</f>
        <v>150</v>
      </c>
      <c r="N564" s="3">
        <f>_xlfn.LET(_xlpm.x,_xlfn.XLOOKUP(tbl_main[[#This Row],[Service]],tbl_service[Service],tbl_service[Profit],""),
               IF(tbl_main[[#This Row],[Qty]]="","",_xlpm.x*tbl_main[[#This Row],[Qty]]))</f>
        <v>67</v>
      </c>
    </row>
    <row r="565" spans="1:14" x14ac:dyDescent="0.25">
      <c r="A565" t="s">
        <v>607</v>
      </c>
      <c r="B565" s="1">
        <v>45841</v>
      </c>
      <c r="C565">
        <f>IF(tbl_main[[#This Row],[Date]]="","",YEAR(B565))</f>
        <v>2025</v>
      </c>
      <c r="D565" t="str">
        <f>IF(tbl_main[[#This Row],[Date]]="","",TEXT(B565,"mmm"))</f>
        <v>Jul</v>
      </c>
      <c r="E565" t="str">
        <f>IF(tbl_main[[#This Row],[Date]]="","",TEXT(B565,"DDD"))</f>
        <v>Thu</v>
      </c>
      <c r="F565" t="s">
        <v>30</v>
      </c>
      <c r="G565" t="s">
        <v>36</v>
      </c>
      <c r="H565" s="3" t="s">
        <v>15</v>
      </c>
      <c r="I565" s="3" t="s">
        <v>41</v>
      </c>
      <c r="J565" s="3" t="s">
        <v>25</v>
      </c>
      <c r="K565" s="3">
        <f>_xlfn.XLOOKUP(tbl_main[[#This Row],[Service]],tbl_service[Service],tbl_service[Price],"")</f>
        <v>500</v>
      </c>
      <c r="L565" s="3">
        <v>1</v>
      </c>
      <c r="M565" s="3">
        <f>IF(AND(tbl_main[[#This Row],[Price]]="",tbl_main[[#This Row],[Qty]]=""),"",tbl_main[[#This Row],[Price]]*tbl_main[[#This Row],[Qty]])</f>
        <v>500</v>
      </c>
      <c r="N565" s="3">
        <f>_xlfn.LET(_xlpm.x,_xlfn.XLOOKUP(tbl_main[[#This Row],[Service]],tbl_service[Service],tbl_service[Profit],""),
               IF(tbl_main[[#This Row],[Qty]]="","",_xlpm.x*tbl_main[[#This Row],[Qty]]))</f>
        <v>225</v>
      </c>
    </row>
    <row r="566" spans="1:14" x14ac:dyDescent="0.25">
      <c r="A566" t="s">
        <v>608</v>
      </c>
      <c r="B566" s="1">
        <v>45842</v>
      </c>
      <c r="C566">
        <f>IF(tbl_main[[#This Row],[Date]]="","",YEAR(B566))</f>
        <v>2025</v>
      </c>
      <c r="D566" t="str">
        <f>IF(tbl_main[[#This Row],[Date]]="","",TEXT(B566,"mmm"))</f>
        <v>Jul</v>
      </c>
      <c r="E566" t="str">
        <f>IF(tbl_main[[#This Row],[Date]]="","",TEXT(B566,"DDD"))</f>
        <v>Fri</v>
      </c>
      <c r="F566" t="s">
        <v>13</v>
      </c>
      <c r="G566" t="s">
        <v>33</v>
      </c>
      <c r="H566" s="3" t="s">
        <v>18</v>
      </c>
      <c r="I566" s="3" t="s">
        <v>41</v>
      </c>
      <c r="J566" s="3" t="s">
        <v>32</v>
      </c>
      <c r="K566" s="3">
        <f>_xlfn.XLOOKUP(tbl_main[[#This Row],[Service]],tbl_service[Service],tbl_service[Price],"")</f>
        <v>500</v>
      </c>
      <c r="L566" s="3">
        <v>1</v>
      </c>
      <c r="M566" s="3">
        <f>IF(AND(tbl_main[[#This Row],[Price]]="",tbl_main[[#This Row],[Qty]]=""),"",tbl_main[[#This Row],[Price]]*tbl_main[[#This Row],[Qty]])</f>
        <v>500</v>
      </c>
      <c r="N566" s="3">
        <f>_xlfn.LET(_xlpm.x,_xlfn.XLOOKUP(tbl_main[[#This Row],[Service]],tbl_service[Service],tbl_service[Profit],""),
               IF(tbl_main[[#This Row],[Qty]]="","",_xlpm.x*tbl_main[[#This Row],[Qty]]))</f>
        <v>157</v>
      </c>
    </row>
    <row r="567" spans="1:14" x14ac:dyDescent="0.25">
      <c r="A567" t="s">
        <v>609</v>
      </c>
      <c r="B567" s="1">
        <v>45842</v>
      </c>
      <c r="C567">
        <f>IF(tbl_main[[#This Row],[Date]]="","",YEAR(B567))</f>
        <v>2025</v>
      </c>
      <c r="D567" t="str">
        <f>IF(tbl_main[[#This Row],[Date]]="","",TEXT(B567,"mmm"))</f>
        <v>Jul</v>
      </c>
      <c r="E567" t="str">
        <f>IF(tbl_main[[#This Row],[Date]]="","",TEXT(B567,"DDD"))</f>
        <v>Fri</v>
      </c>
      <c r="F567" t="s">
        <v>30</v>
      </c>
      <c r="G567" t="s">
        <v>36</v>
      </c>
      <c r="H567" s="3" t="s">
        <v>22</v>
      </c>
      <c r="I567" s="3" t="s">
        <v>35</v>
      </c>
      <c r="J567" s="3" t="s">
        <v>17</v>
      </c>
      <c r="K567" s="3">
        <f>_xlfn.XLOOKUP(tbl_main[[#This Row],[Service]],tbl_service[Service],tbl_service[Price],"")</f>
        <v>150</v>
      </c>
      <c r="L567" s="3">
        <v>1</v>
      </c>
      <c r="M567" s="3">
        <f>IF(AND(tbl_main[[#This Row],[Price]]="",tbl_main[[#This Row],[Qty]]=""),"",tbl_main[[#This Row],[Price]]*tbl_main[[#This Row],[Qty]])</f>
        <v>150</v>
      </c>
      <c r="N567" s="3">
        <f>_xlfn.LET(_xlpm.x,_xlfn.XLOOKUP(tbl_main[[#This Row],[Service]],tbl_service[Service],tbl_service[Profit],""),
               IF(tbl_main[[#This Row],[Qty]]="","",_xlpm.x*tbl_main[[#This Row],[Qty]]))</f>
        <v>67</v>
      </c>
    </row>
    <row r="568" spans="1:14" x14ac:dyDescent="0.25">
      <c r="A568" t="s">
        <v>610</v>
      </c>
      <c r="B568" s="1">
        <v>45843</v>
      </c>
      <c r="C568">
        <f>IF(tbl_main[[#This Row],[Date]]="","",YEAR(B568))</f>
        <v>2025</v>
      </c>
      <c r="D568" t="str">
        <f>IF(tbl_main[[#This Row],[Date]]="","",TEXT(B568,"mmm"))</f>
        <v>Jul</v>
      </c>
      <c r="E568" t="str">
        <f>IF(tbl_main[[#This Row],[Date]]="","",TEXT(B568,"DDD"))</f>
        <v>Sat</v>
      </c>
      <c r="F568" t="s">
        <v>20</v>
      </c>
      <c r="G568" t="s">
        <v>29</v>
      </c>
      <c r="H568" s="3" t="s">
        <v>18</v>
      </c>
      <c r="I568" s="3" t="s">
        <v>35</v>
      </c>
      <c r="J568" s="3" t="s">
        <v>32</v>
      </c>
      <c r="K568" s="3">
        <f>_xlfn.XLOOKUP(tbl_main[[#This Row],[Service]],tbl_service[Service],tbl_service[Price],"")</f>
        <v>500</v>
      </c>
      <c r="L568" s="3">
        <v>2</v>
      </c>
      <c r="M568" s="3">
        <f>IF(AND(tbl_main[[#This Row],[Price]]="",tbl_main[[#This Row],[Qty]]=""),"",tbl_main[[#This Row],[Price]]*tbl_main[[#This Row],[Qty]])</f>
        <v>1000</v>
      </c>
      <c r="N568" s="3">
        <f>_xlfn.LET(_xlpm.x,_xlfn.XLOOKUP(tbl_main[[#This Row],[Service]],tbl_service[Service],tbl_service[Profit],""),
               IF(tbl_main[[#This Row],[Qty]]="","",_xlpm.x*tbl_main[[#This Row],[Qty]]))</f>
        <v>314</v>
      </c>
    </row>
    <row r="569" spans="1:14" x14ac:dyDescent="0.25">
      <c r="A569" t="s">
        <v>611</v>
      </c>
      <c r="B569" s="1">
        <v>45843</v>
      </c>
      <c r="C569">
        <f>IF(tbl_main[[#This Row],[Date]]="","",YEAR(B569))</f>
        <v>2025</v>
      </c>
      <c r="D569" t="str">
        <f>IF(tbl_main[[#This Row],[Date]]="","",TEXT(B569,"mmm"))</f>
        <v>Jul</v>
      </c>
      <c r="E569" t="str">
        <f>IF(tbl_main[[#This Row],[Date]]="","",TEXT(B569,"DDD"))</f>
        <v>Sat</v>
      </c>
      <c r="F569" t="s">
        <v>13</v>
      </c>
      <c r="G569" t="s">
        <v>33</v>
      </c>
      <c r="H569" s="3" t="s">
        <v>18</v>
      </c>
      <c r="I569" s="3" t="s">
        <v>23</v>
      </c>
      <c r="J569" s="3" t="s">
        <v>17</v>
      </c>
      <c r="K569" s="3">
        <f>_xlfn.XLOOKUP(tbl_main[[#This Row],[Service]],tbl_service[Service],tbl_service[Price],"")</f>
        <v>500</v>
      </c>
      <c r="L569" s="3">
        <v>2</v>
      </c>
      <c r="M569" s="3">
        <f>IF(AND(tbl_main[[#This Row],[Price]]="",tbl_main[[#This Row],[Qty]]=""),"",tbl_main[[#This Row],[Price]]*tbl_main[[#This Row],[Qty]])</f>
        <v>1000</v>
      </c>
      <c r="N569" s="3">
        <f>_xlfn.LET(_xlpm.x,_xlfn.XLOOKUP(tbl_main[[#This Row],[Service]],tbl_service[Service],tbl_service[Profit],""),
               IF(tbl_main[[#This Row],[Qty]]="","",_xlpm.x*tbl_main[[#This Row],[Qty]]))</f>
        <v>314</v>
      </c>
    </row>
    <row r="570" spans="1:14" x14ac:dyDescent="0.25">
      <c r="A570" t="s">
        <v>612</v>
      </c>
      <c r="B570" s="1">
        <v>45843</v>
      </c>
      <c r="C570">
        <f>IF(tbl_main[[#This Row],[Date]]="","",YEAR(B570))</f>
        <v>2025</v>
      </c>
      <c r="D570" t="str">
        <f>IF(tbl_main[[#This Row],[Date]]="","",TEXT(B570,"mmm"))</f>
        <v>Jul</v>
      </c>
      <c r="E570" t="str">
        <f>IF(tbl_main[[#This Row],[Date]]="","",TEXT(B570,"DDD"))</f>
        <v>Sat</v>
      </c>
      <c r="F570" t="s">
        <v>27</v>
      </c>
      <c r="G570" t="s">
        <v>40</v>
      </c>
      <c r="H570" s="3" t="s">
        <v>15</v>
      </c>
      <c r="I570" s="3" t="s">
        <v>37</v>
      </c>
      <c r="J570" s="3" t="s">
        <v>17</v>
      </c>
      <c r="K570" s="3">
        <f>_xlfn.XLOOKUP(tbl_main[[#This Row],[Service]],tbl_service[Service],tbl_service[Price],"")</f>
        <v>500</v>
      </c>
      <c r="L570" s="3">
        <v>2</v>
      </c>
      <c r="M570" s="3">
        <f>IF(AND(tbl_main[[#This Row],[Price]]="",tbl_main[[#This Row],[Qty]]=""),"",tbl_main[[#This Row],[Price]]*tbl_main[[#This Row],[Qty]])</f>
        <v>1000</v>
      </c>
      <c r="N570" s="3">
        <f>_xlfn.LET(_xlpm.x,_xlfn.XLOOKUP(tbl_main[[#This Row],[Service]],tbl_service[Service],tbl_service[Profit],""),
               IF(tbl_main[[#This Row],[Qty]]="","",_xlpm.x*tbl_main[[#This Row],[Qty]]))</f>
        <v>450</v>
      </c>
    </row>
    <row r="571" spans="1:14" x14ac:dyDescent="0.25">
      <c r="A571" t="s">
        <v>613</v>
      </c>
      <c r="B571" s="1">
        <v>45843</v>
      </c>
      <c r="C571">
        <f>IF(tbl_main[[#This Row],[Date]]="","",YEAR(B571))</f>
        <v>2025</v>
      </c>
      <c r="D571" t="str">
        <f>IF(tbl_main[[#This Row],[Date]]="","",TEXT(B571,"mmm"))</f>
        <v>Jul</v>
      </c>
      <c r="E571" t="str">
        <f>IF(tbl_main[[#This Row],[Date]]="","",TEXT(B571,"DDD"))</f>
        <v>Sat</v>
      </c>
      <c r="F571" t="s">
        <v>20</v>
      </c>
      <c r="G571" t="s">
        <v>39</v>
      </c>
      <c r="H571" s="3" t="s">
        <v>15</v>
      </c>
      <c r="I571" s="3" t="s">
        <v>38</v>
      </c>
      <c r="J571" s="3" t="s">
        <v>32</v>
      </c>
      <c r="K571" s="3">
        <f>_xlfn.XLOOKUP(tbl_main[[#This Row],[Service]],tbl_service[Service],tbl_service[Price],"")</f>
        <v>500</v>
      </c>
      <c r="L571" s="3">
        <v>2</v>
      </c>
      <c r="M571" s="3">
        <f>IF(AND(tbl_main[[#This Row],[Price]]="",tbl_main[[#This Row],[Qty]]=""),"",tbl_main[[#This Row],[Price]]*tbl_main[[#This Row],[Qty]])</f>
        <v>1000</v>
      </c>
      <c r="N571" s="3">
        <f>_xlfn.LET(_xlpm.x,_xlfn.XLOOKUP(tbl_main[[#This Row],[Service]],tbl_service[Service],tbl_service[Profit],""),
               IF(tbl_main[[#This Row],[Qty]]="","",_xlpm.x*tbl_main[[#This Row],[Qty]]))</f>
        <v>450</v>
      </c>
    </row>
    <row r="572" spans="1:14" x14ac:dyDescent="0.25">
      <c r="A572" t="s">
        <v>614</v>
      </c>
      <c r="B572" s="1">
        <v>45844</v>
      </c>
      <c r="C572">
        <f>IF(tbl_main[[#This Row],[Date]]="","",YEAR(B572))</f>
        <v>2025</v>
      </c>
      <c r="D572" t="str">
        <f>IF(tbl_main[[#This Row],[Date]]="","",TEXT(B572,"mmm"))</f>
        <v>Jul</v>
      </c>
      <c r="E572" t="str">
        <f>IF(tbl_main[[#This Row],[Date]]="","",TEXT(B572,"DDD"))</f>
        <v>Sun</v>
      </c>
      <c r="F572" t="s">
        <v>30</v>
      </c>
      <c r="G572" t="s">
        <v>36</v>
      </c>
      <c r="H572" s="3" t="s">
        <v>18</v>
      </c>
      <c r="I572" s="3" t="s">
        <v>16</v>
      </c>
      <c r="J572" s="3" t="s">
        <v>17</v>
      </c>
      <c r="K572" s="3">
        <f>_xlfn.XLOOKUP(tbl_main[[#This Row],[Service]],tbl_service[Service],tbl_service[Price],"")</f>
        <v>500</v>
      </c>
      <c r="L572" s="3">
        <v>1</v>
      </c>
      <c r="M572" s="3">
        <f>IF(AND(tbl_main[[#This Row],[Price]]="",tbl_main[[#This Row],[Qty]]=""),"",tbl_main[[#This Row],[Price]]*tbl_main[[#This Row],[Qty]])</f>
        <v>500</v>
      </c>
      <c r="N572" s="3">
        <f>_xlfn.LET(_xlpm.x,_xlfn.XLOOKUP(tbl_main[[#This Row],[Service]],tbl_service[Service],tbl_service[Profit],""),
               IF(tbl_main[[#This Row],[Qty]]="","",_xlpm.x*tbl_main[[#This Row],[Qty]]))</f>
        <v>157</v>
      </c>
    </row>
    <row r="573" spans="1:14" x14ac:dyDescent="0.25">
      <c r="A573" t="s">
        <v>615</v>
      </c>
      <c r="B573" s="1">
        <v>45844</v>
      </c>
      <c r="C573">
        <f>IF(tbl_main[[#This Row],[Date]]="","",YEAR(B573))</f>
        <v>2025</v>
      </c>
      <c r="D573" t="str">
        <f>IF(tbl_main[[#This Row],[Date]]="","",TEXT(B573,"mmm"))</f>
        <v>Jul</v>
      </c>
      <c r="E573" t="str">
        <f>IF(tbl_main[[#This Row],[Date]]="","",TEXT(B573,"DDD"))</f>
        <v>Sun</v>
      </c>
      <c r="F573" t="s">
        <v>30</v>
      </c>
      <c r="G573" t="s">
        <v>36</v>
      </c>
      <c r="H573" s="3" t="s">
        <v>34</v>
      </c>
      <c r="I573" s="3" t="s">
        <v>19</v>
      </c>
      <c r="J573" s="3" t="s">
        <v>32</v>
      </c>
      <c r="K573" s="3">
        <f>_xlfn.XLOOKUP(tbl_main[[#This Row],[Service]],tbl_service[Service],tbl_service[Price],"")</f>
        <v>100</v>
      </c>
      <c r="L573" s="3">
        <v>2</v>
      </c>
      <c r="M573" s="3">
        <f>IF(AND(tbl_main[[#This Row],[Price]]="",tbl_main[[#This Row],[Qty]]=""),"",tbl_main[[#This Row],[Price]]*tbl_main[[#This Row],[Qty]])</f>
        <v>200</v>
      </c>
      <c r="N573" s="3">
        <f>_xlfn.LET(_xlpm.x,_xlfn.XLOOKUP(tbl_main[[#This Row],[Service]],tbl_service[Service],tbl_service[Profit],""),
               IF(tbl_main[[#This Row],[Qty]]="","",_xlpm.x*tbl_main[[#This Row],[Qty]]))</f>
        <v>90</v>
      </c>
    </row>
    <row r="574" spans="1:14" x14ac:dyDescent="0.25">
      <c r="A574" t="s">
        <v>616</v>
      </c>
      <c r="B574" s="1">
        <v>45844</v>
      </c>
      <c r="C574">
        <f>IF(tbl_main[[#This Row],[Date]]="","",YEAR(B574))</f>
        <v>2025</v>
      </c>
      <c r="D574" t="str">
        <f>IF(tbl_main[[#This Row],[Date]]="","",TEXT(B574,"mmm"))</f>
        <v>Jul</v>
      </c>
      <c r="E574" t="str">
        <f>IF(tbl_main[[#This Row],[Date]]="","",TEXT(B574,"DDD"))</f>
        <v>Sun</v>
      </c>
      <c r="F574" t="s">
        <v>13</v>
      </c>
      <c r="G574" t="s">
        <v>14</v>
      </c>
      <c r="H574" s="3" t="s">
        <v>18</v>
      </c>
      <c r="I574" s="3" t="s">
        <v>35</v>
      </c>
      <c r="J574" s="3" t="s">
        <v>25</v>
      </c>
      <c r="K574" s="3">
        <f>_xlfn.XLOOKUP(tbl_main[[#This Row],[Service]],tbl_service[Service],tbl_service[Price],"")</f>
        <v>500</v>
      </c>
      <c r="L574" s="3">
        <v>1</v>
      </c>
      <c r="M574" s="3">
        <f>IF(AND(tbl_main[[#This Row],[Price]]="",tbl_main[[#This Row],[Qty]]=""),"",tbl_main[[#This Row],[Price]]*tbl_main[[#This Row],[Qty]])</f>
        <v>500</v>
      </c>
      <c r="N574" s="3">
        <f>_xlfn.LET(_xlpm.x,_xlfn.XLOOKUP(tbl_main[[#This Row],[Service]],tbl_service[Service],tbl_service[Profit],""),
               IF(tbl_main[[#This Row],[Qty]]="","",_xlpm.x*tbl_main[[#This Row],[Qty]]))</f>
        <v>157</v>
      </c>
    </row>
    <row r="575" spans="1:14" x14ac:dyDescent="0.25">
      <c r="A575" t="s">
        <v>617</v>
      </c>
      <c r="B575" s="1">
        <v>45844</v>
      </c>
      <c r="C575">
        <f>IF(tbl_main[[#This Row],[Date]]="","",YEAR(B575))</f>
        <v>2025</v>
      </c>
      <c r="D575" t="str">
        <f>IF(tbl_main[[#This Row],[Date]]="","",TEXT(B575,"mmm"))</f>
        <v>Jul</v>
      </c>
      <c r="E575" t="str">
        <f>IF(tbl_main[[#This Row],[Date]]="","",TEXT(B575,"DDD"))</f>
        <v>Sun</v>
      </c>
      <c r="F575" t="s">
        <v>20</v>
      </c>
      <c r="G575" t="s">
        <v>39</v>
      </c>
      <c r="H575" s="3" t="s">
        <v>18</v>
      </c>
      <c r="I575" s="3" t="s">
        <v>41</v>
      </c>
      <c r="J575" s="3" t="s">
        <v>25</v>
      </c>
      <c r="K575" s="3">
        <f>_xlfn.XLOOKUP(tbl_main[[#This Row],[Service]],tbl_service[Service],tbl_service[Price],"")</f>
        <v>500</v>
      </c>
      <c r="L575" s="3">
        <v>2</v>
      </c>
      <c r="M575" s="3">
        <f>IF(AND(tbl_main[[#This Row],[Price]]="",tbl_main[[#This Row],[Qty]]=""),"",tbl_main[[#This Row],[Price]]*tbl_main[[#This Row],[Qty]])</f>
        <v>1000</v>
      </c>
      <c r="N575" s="3">
        <f>_xlfn.LET(_xlpm.x,_xlfn.XLOOKUP(tbl_main[[#This Row],[Service]],tbl_service[Service],tbl_service[Profit],""),
               IF(tbl_main[[#This Row],[Qty]]="","",_xlpm.x*tbl_main[[#This Row],[Qty]]))</f>
        <v>314</v>
      </c>
    </row>
    <row r="576" spans="1:14" x14ac:dyDescent="0.25">
      <c r="A576" t="s">
        <v>618</v>
      </c>
      <c r="B576" s="1">
        <v>45845</v>
      </c>
      <c r="C576">
        <f>IF(tbl_main[[#This Row],[Date]]="","",YEAR(B576))</f>
        <v>2025</v>
      </c>
      <c r="D576" t="str">
        <f>IF(tbl_main[[#This Row],[Date]]="","",TEXT(B576,"mmm"))</f>
        <v>Jul</v>
      </c>
      <c r="E576" t="str">
        <f>IF(tbl_main[[#This Row],[Date]]="","",TEXT(B576,"DDD"))</f>
        <v>Mon</v>
      </c>
      <c r="F576" t="s">
        <v>27</v>
      </c>
      <c r="G576" t="s">
        <v>28</v>
      </c>
      <c r="H576" s="3" t="s">
        <v>24</v>
      </c>
      <c r="I576" s="3" t="s">
        <v>41</v>
      </c>
      <c r="J576" s="3" t="s">
        <v>17</v>
      </c>
      <c r="K576" s="3">
        <f>_xlfn.XLOOKUP(tbl_main[[#This Row],[Service]],tbl_service[Service],tbl_service[Price],"")</f>
        <v>80</v>
      </c>
      <c r="L576" s="3">
        <v>1</v>
      </c>
      <c r="M576" s="3">
        <f>IF(AND(tbl_main[[#This Row],[Price]]="",tbl_main[[#This Row],[Qty]]=""),"",tbl_main[[#This Row],[Price]]*tbl_main[[#This Row],[Qty]])</f>
        <v>80</v>
      </c>
      <c r="N576" s="3">
        <f>_xlfn.LET(_xlpm.x,_xlfn.XLOOKUP(tbl_main[[#This Row],[Service]],tbl_service[Service],tbl_service[Profit],""),
               IF(tbl_main[[#This Row],[Qty]]="","",_xlpm.x*tbl_main[[#This Row],[Qty]]))</f>
        <v>36</v>
      </c>
    </row>
    <row r="577" spans="1:14" x14ac:dyDescent="0.25">
      <c r="A577" t="s">
        <v>619</v>
      </c>
      <c r="B577" s="1">
        <v>45845</v>
      </c>
      <c r="C577">
        <f>IF(tbl_main[[#This Row],[Date]]="","",YEAR(B577))</f>
        <v>2025</v>
      </c>
      <c r="D577" t="str">
        <f>IF(tbl_main[[#This Row],[Date]]="","",TEXT(B577,"mmm"))</f>
        <v>Jul</v>
      </c>
      <c r="E577" t="str">
        <f>IF(tbl_main[[#This Row],[Date]]="","",TEXT(B577,"DDD"))</f>
        <v>Mon</v>
      </c>
      <c r="F577" t="s">
        <v>13</v>
      </c>
      <c r="G577" t="s">
        <v>14</v>
      </c>
      <c r="H577" s="3" t="s">
        <v>18</v>
      </c>
      <c r="I577" s="3" t="s">
        <v>35</v>
      </c>
      <c r="J577" s="3" t="s">
        <v>25</v>
      </c>
      <c r="K577" s="3">
        <f>_xlfn.XLOOKUP(tbl_main[[#This Row],[Service]],tbl_service[Service],tbl_service[Price],"")</f>
        <v>500</v>
      </c>
      <c r="L577" s="3">
        <v>1</v>
      </c>
      <c r="M577" s="3">
        <f>IF(AND(tbl_main[[#This Row],[Price]]="",tbl_main[[#This Row],[Qty]]=""),"",tbl_main[[#This Row],[Price]]*tbl_main[[#This Row],[Qty]])</f>
        <v>500</v>
      </c>
      <c r="N577" s="3">
        <f>_xlfn.LET(_xlpm.x,_xlfn.XLOOKUP(tbl_main[[#This Row],[Service]],tbl_service[Service],tbl_service[Profit],""),
               IF(tbl_main[[#This Row],[Qty]]="","",_xlpm.x*tbl_main[[#This Row],[Qty]]))</f>
        <v>157</v>
      </c>
    </row>
    <row r="578" spans="1:14" x14ac:dyDescent="0.25">
      <c r="A578" t="s">
        <v>620</v>
      </c>
      <c r="B578" s="1">
        <v>45845</v>
      </c>
      <c r="C578">
        <f>IF(tbl_main[[#This Row],[Date]]="","",YEAR(B578))</f>
        <v>2025</v>
      </c>
      <c r="D578" t="str">
        <f>IF(tbl_main[[#This Row],[Date]]="","",TEXT(B578,"mmm"))</f>
        <v>Jul</v>
      </c>
      <c r="E578" t="str">
        <f>IF(tbl_main[[#This Row],[Date]]="","",TEXT(B578,"DDD"))</f>
        <v>Mon</v>
      </c>
      <c r="F578" t="s">
        <v>27</v>
      </c>
      <c r="G578" t="s">
        <v>28</v>
      </c>
      <c r="H578" s="3" t="s">
        <v>18</v>
      </c>
      <c r="I578" s="3" t="s">
        <v>35</v>
      </c>
      <c r="J578" s="3" t="s">
        <v>32</v>
      </c>
      <c r="K578" s="3">
        <f>_xlfn.XLOOKUP(tbl_main[[#This Row],[Service]],tbl_service[Service],tbl_service[Price],"")</f>
        <v>500</v>
      </c>
      <c r="L578" s="3">
        <v>1</v>
      </c>
      <c r="M578" s="3">
        <f>IF(AND(tbl_main[[#This Row],[Price]]="",tbl_main[[#This Row],[Qty]]=""),"",tbl_main[[#This Row],[Price]]*tbl_main[[#This Row],[Qty]])</f>
        <v>500</v>
      </c>
      <c r="N578" s="3">
        <f>_xlfn.LET(_xlpm.x,_xlfn.XLOOKUP(tbl_main[[#This Row],[Service]],tbl_service[Service],tbl_service[Profit],""),
               IF(tbl_main[[#This Row],[Qty]]="","",_xlpm.x*tbl_main[[#This Row],[Qty]]))</f>
        <v>157</v>
      </c>
    </row>
    <row r="579" spans="1:14" x14ac:dyDescent="0.25">
      <c r="A579" t="s">
        <v>621</v>
      </c>
      <c r="B579" s="1">
        <v>45846</v>
      </c>
      <c r="C579">
        <f>IF(tbl_main[[#This Row],[Date]]="","",YEAR(B579))</f>
        <v>2025</v>
      </c>
      <c r="D579" t="str">
        <f>IF(tbl_main[[#This Row],[Date]]="","",TEXT(B579,"mmm"))</f>
        <v>Jul</v>
      </c>
      <c r="E579" t="str">
        <f>IF(tbl_main[[#This Row],[Date]]="","",TEXT(B579,"DDD"))</f>
        <v>Tue</v>
      </c>
      <c r="F579" t="s">
        <v>30</v>
      </c>
      <c r="G579" t="s">
        <v>31</v>
      </c>
      <c r="H579" s="3" t="s">
        <v>24</v>
      </c>
      <c r="I579" s="3" t="s">
        <v>23</v>
      </c>
      <c r="J579" s="3" t="s">
        <v>25</v>
      </c>
      <c r="K579" s="3">
        <f>_xlfn.XLOOKUP(tbl_main[[#This Row],[Service]],tbl_service[Service],tbl_service[Price],"")</f>
        <v>80</v>
      </c>
      <c r="L579" s="3">
        <v>1</v>
      </c>
      <c r="M579" s="3">
        <f>IF(AND(tbl_main[[#This Row],[Price]]="",tbl_main[[#This Row],[Qty]]=""),"",tbl_main[[#This Row],[Price]]*tbl_main[[#This Row],[Qty]])</f>
        <v>80</v>
      </c>
      <c r="N579" s="3">
        <f>_xlfn.LET(_xlpm.x,_xlfn.XLOOKUP(tbl_main[[#This Row],[Service]],tbl_service[Service],tbl_service[Profit],""),
               IF(tbl_main[[#This Row],[Qty]]="","",_xlpm.x*tbl_main[[#This Row],[Qty]]))</f>
        <v>36</v>
      </c>
    </row>
    <row r="580" spans="1:14" x14ac:dyDescent="0.25">
      <c r="A580" t="s">
        <v>622</v>
      </c>
      <c r="B580" s="1">
        <v>45846</v>
      </c>
      <c r="C580">
        <f>IF(tbl_main[[#This Row],[Date]]="","",YEAR(B580))</f>
        <v>2025</v>
      </c>
      <c r="D580" t="str">
        <f>IF(tbl_main[[#This Row],[Date]]="","",TEXT(B580,"mmm"))</f>
        <v>Jul</v>
      </c>
      <c r="E580" t="str">
        <f>IF(tbl_main[[#This Row],[Date]]="","",TEXT(B580,"DDD"))</f>
        <v>Tue</v>
      </c>
      <c r="F580" t="s">
        <v>13</v>
      </c>
      <c r="G580" t="s">
        <v>14</v>
      </c>
      <c r="H580" s="3" t="s">
        <v>22</v>
      </c>
      <c r="I580" s="3" t="s">
        <v>37</v>
      </c>
      <c r="J580" s="3" t="s">
        <v>32</v>
      </c>
      <c r="K580" s="3">
        <f>_xlfn.XLOOKUP(tbl_main[[#This Row],[Service]],tbl_service[Service],tbl_service[Price],"")</f>
        <v>150</v>
      </c>
      <c r="L580" s="3">
        <v>1</v>
      </c>
      <c r="M580" s="3">
        <f>IF(AND(tbl_main[[#This Row],[Price]]="",tbl_main[[#This Row],[Qty]]=""),"",tbl_main[[#This Row],[Price]]*tbl_main[[#This Row],[Qty]])</f>
        <v>150</v>
      </c>
      <c r="N580" s="3">
        <f>_xlfn.LET(_xlpm.x,_xlfn.XLOOKUP(tbl_main[[#This Row],[Service]],tbl_service[Service],tbl_service[Profit],""),
               IF(tbl_main[[#This Row],[Qty]]="","",_xlpm.x*tbl_main[[#This Row],[Qty]]))</f>
        <v>67</v>
      </c>
    </row>
    <row r="581" spans="1:14" x14ac:dyDescent="0.25">
      <c r="A581" t="s">
        <v>623</v>
      </c>
      <c r="B581" s="1">
        <v>45847</v>
      </c>
      <c r="C581">
        <f>IF(tbl_main[[#This Row],[Date]]="","",YEAR(B581))</f>
        <v>2025</v>
      </c>
      <c r="D581" t="str">
        <f>IF(tbl_main[[#This Row],[Date]]="","",TEXT(B581,"mmm"))</f>
        <v>Jul</v>
      </c>
      <c r="E581" t="str">
        <f>IF(tbl_main[[#This Row],[Date]]="","",TEXT(B581,"DDD"))</f>
        <v>Wed</v>
      </c>
      <c r="F581" t="s">
        <v>13</v>
      </c>
      <c r="G581" t="s">
        <v>14</v>
      </c>
      <c r="H581" s="3" t="s">
        <v>24</v>
      </c>
      <c r="I581" s="3" t="s">
        <v>38</v>
      </c>
      <c r="J581" s="3" t="s">
        <v>25</v>
      </c>
      <c r="K581" s="3">
        <f>_xlfn.XLOOKUP(tbl_main[[#This Row],[Service]],tbl_service[Service],tbl_service[Price],"")</f>
        <v>80</v>
      </c>
      <c r="L581" s="3">
        <v>1</v>
      </c>
      <c r="M581" s="3">
        <f>IF(AND(tbl_main[[#This Row],[Price]]="",tbl_main[[#This Row],[Qty]]=""),"",tbl_main[[#This Row],[Price]]*tbl_main[[#This Row],[Qty]])</f>
        <v>80</v>
      </c>
      <c r="N581" s="3">
        <f>_xlfn.LET(_xlpm.x,_xlfn.XLOOKUP(tbl_main[[#This Row],[Service]],tbl_service[Service],tbl_service[Profit],""),
               IF(tbl_main[[#This Row],[Qty]]="","",_xlpm.x*tbl_main[[#This Row],[Qty]]))</f>
        <v>36</v>
      </c>
    </row>
    <row r="582" spans="1:14" x14ac:dyDescent="0.25">
      <c r="A582" t="s">
        <v>624</v>
      </c>
      <c r="B582" s="1">
        <v>45847</v>
      </c>
      <c r="C582">
        <f>IF(tbl_main[[#This Row],[Date]]="","",YEAR(B582))</f>
        <v>2025</v>
      </c>
      <c r="D582" t="str">
        <f>IF(tbl_main[[#This Row],[Date]]="","",TEXT(B582,"mmm"))</f>
        <v>Jul</v>
      </c>
      <c r="E582" t="str">
        <f>IF(tbl_main[[#This Row],[Date]]="","",TEXT(B582,"DDD"))</f>
        <v>Wed</v>
      </c>
      <c r="F582" t="s">
        <v>13</v>
      </c>
      <c r="G582" t="s">
        <v>33</v>
      </c>
      <c r="H582" s="3" t="s">
        <v>26</v>
      </c>
      <c r="I582" s="3" t="s">
        <v>16</v>
      </c>
      <c r="J582" s="3" t="s">
        <v>32</v>
      </c>
      <c r="K582" s="3">
        <f>_xlfn.XLOOKUP(tbl_main[[#This Row],[Service]],tbl_service[Service],tbl_service[Price],"")</f>
        <v>200</v>
      </c>
      <c r="L582" s="3">
        <v>2</v>
      </c>
      <c r="M582" s="3">
        <f>IF(AND(tbl_main[[#This Row],[Price]]="",tbl_main[[#This Row],[Qty]]=""),"",tbl_main[[#This Row],[Price]]*tbl_main[[#This Row],[Qty]])</f>
        <v>400</v>
      </c>
      <c r="N582" s="3">
        <f>_xlfn.LET(_xlpm.x,_xlfn.XLOOKUP(tbl_main[[#This Row],[Service]],tbl_service[Service],tbl_service[Profit],""),
               IF(tbl_main[[#This Row],[Qty]]="","",_xlpm.x*tbl_main[[#This Row],[Qty]]))</f>
        <v>180</v>
      </c>
    </row>
    <row r="583" spans="1:14" x14ac:dyDescent="0.25">
      <c r="A583" t="s">
        <v>625</v>
      </c>
      <c r="B583" s="1">
        <v>45848</v>
      </c>
      <c r="C583">
        <f>IF(tbl_main[[#This Row],[Date]]="","",YEAR(B583))</f>
        <v>2025</v>
      </c>
      <c r="D583" t="str">
        <f>IF(tbl_main[[#This Row],[Date]]="","",TEXT(B583,"mmm"))</f>
        <v>Jul</v>
      </c>
      <c r="E583" t="str">
        <f>IF(tbl_main[[#This Row],[Date]]="","",TEXT(B583,"DDD"))</f>
        <v>Thu</v>
      </c>
      <c r="F583" t="s">
        <v>30</v>
      </c>
      <c r="G583" t="s">
        <v>31</v>
      </c>
      <c r="H583" s="3" t="s">
        <v>18</v>
      </c>
      <c r="I583" s="3" t="s">
        <v>19</v>
      </c>
      <c r="J583" s="3" t="s">
        <v>17</v>
      </c>
      <c r="K583" s="3">
        <f>_xlfn.XLOOKUP(tbl_main[[#This Row],[Service]],tbl_service[Service],tbl_service[Price],"")</f>
        <v>500</v>
      </c>
      <c r="L583" s="3">
        <v>2</v>
      </c>
      <c r="M583" s="3">
        <f>IF(AND(tbl_main[[#This Row],[Price]]="",tbl_main[[#This Row],[Qty]]=""),"",tbl_main[[#This Row],[Price]]*tbl_main[[#This Row],[Qty]])</f>
        <v>1000</v>
      </c>
      <c r="N583" s="3">
        <f>_xlfn.LET(_xlpm.x,_xlfn.XLOOKUP(tbl_main[[#This Row],[Service]],tbl_service[Service],tbl_service[Profit],""),
               IF(tbl_main[[#This Row],[Qty]]="","",_xlpm.x*tbl_main[[#This Row],[Qty]]))</f>
        <v>314</v>
      </c>
    </row>
    <row r="584" spans="1:14" x14ac:dyDescent="0.25">
      <c r="A584" t="s">
        <v>626</v>
      </c>
      <c r="B584" s="1">
        <v>45848</v>
      </c>
      <c r="C584">
        <f>IF(tbl_main[[#This Row],[Date]]="","",YEAR(B584))</f>
        <v>2025</v>
      </c>
      <c r="D584" t="str">
        <f>IF(tbl_main[[#This Row],[Date]]="","",TEXT(B584,"mmm"))</f>
        <v>Jul</v>
      </c>
      <c r="E584" t="str">
        <f>IF(tbl_main[[#This Row],[Date]]="","",TEXT(B584,"DDD"))</f>
        <v>Thu</v>
      </c>
      <c r="F584" t="s">
        <v>27</v>
      </c>
      <c r="G584" t="s">
        <v>40</v>
      </c>
      <c r="H584" s="3" t="s">
        <v>18</v>
      </c>
      <c r="I584" s="3" t="s">
        <v>35</v>
      </c>
      <c r="J584" s="3" t="s">
        <v>17</v>
      </c>
      <c r="K584" s="3">
        <f>_xlfn.XLOOKUP(tbl_main[[#This Row],[Service]],tbl_service[Service],tbl_service[Price],"")</f>
        <v>500</v>
      </c>
      <c r="L584" s="3">
        <v>1</v>
      </c>
      <c r="M584" s="3">
        <f>IF(AND(tbl_main[[#This Row],[Price]]="",tbl_main[[#This Row],[Qty]]=""),"",tbl_main[[#This Row],[Price]]*tbl_main[[#This Row],[Qty]])</f>
        <v>500</v>
      </c>
      <c r="N584" s="3">
        <f>_xlfn.LET(_xlpm.x,_xlfn.XLOOKUP(tbl_main[[#This Row],[Service]],tbl_service[Service],tbl_service[Profit],""),
               IF(tbl_main[[#This Row],[Qty]]="","",_xlpm.x*tbl_main[[#This Row],[Qty]]))</f>
        <v>157</v>
      </c>
    </row>
    <row r="585" spans="1:14" x14ac:dyDescent="0.25">
      <c r="A585" t="s">
        <v>627</v>
      </c>
      <c r="B585" s="1">
        <v>45849</v>
      </c>
      <c r="C585">
        <f>IF(tbl_main[[#This Row],[Date]]="","",YEAR(B585))</f>
        <v>2025</v>
      </c>
      <c r="D585" t="str">
        <f>IF(tbl_main[[#This Row],[Date]]="","",TEXT(B585,"mmm"))</f>
        <v>Jul</v>
      </c>
      <c r="E585" t="str">
        <f>IF(tbl_main[[#This Row],[Date]]="","",TEXT(B585,"DDD"))</f>
        <v>Fri</v>
      </c>
      <c r="F585" t="s">
        <v>13</v>
      </c>
      <c r="G585" t="s">
        <v>14</v>
      </c>
      <c r="H585" s="3" t="s">
        <v>15</v>
      </c>
      <c r="I585" s="3" t="s">
        <v>41</v>
      </c>
      <c r="J585" s="3" t="s">
        <v>17</v>
      </c>
      <c r="K585" s="3">
        <f>_xlfn.XLOOKUP(tbl_main[[#This Row],[Service]],tbl_service[Service],tbl_service[Price],"")</f>
        <v>500</v>
      </c>
      <c r="L585" s="3">
        <v>1</v>
      </c>
      <c r="M585" s="3">
        <f>IF(AND(tbl_main[[#This Row],[Price]]="",tbl_main[[#This Row],[Qty]]=""),"",tbl_main[[#This Row],[Price]]*tbl_main[[#This Row],[Qty]])</f>
        <v>500</v>
      </c>
      <c r="N585" s="3">
        <f>_xlfn.LET(_xlpm.x,_xlfn.XLOOKUP(tbl_main[[#This Row],[Service]],tbl_service[Service],tbl_service[Profit],""),
               IF(tbl_main[[#This Row],[Qty]]="","",_xlpm.x*tbl_main[[#This Row],[Qty]]))</f>
        <v>225</v>
      </c>
    </row>
    <row r="586" spans="1:14" x14ac:dyDescent="0.25">
      <c r="A586" t="s">
        <v>628</v>
      </c>
      <c r="B586" s="1">
        <v>45849</v>
      </c>
      <c r="C586">
        <f>IF(tbl_main[[#This Row],[Date]]="","",YEAR(B586))</f>
        <v>2025</v>
      </c>
      <c r="D586" t="str">
        <f>IF(tbl_main[[#This Row],[Date]]="","",TEXT(B586,"mmm"))</f>
        <v>Jul</v>
      </c>
      <c r="E586" t="str">
        <f>IF(tbl_main[[#This Row],[Date]]="","",TEXT(B586,"DDD"))</f>
        <v>Fri</v>
      </c>
      <c r="F586" t="s">
        <v>20</v>
      </c>
      <c r="G586" t="s">
        <v>39</v>
      </c>
      <c r="H586" s="3" t="s">
        <v>26</v>
      </c>
      <c r="I586" s="3" t="s">
        <v>41</v>
      </c>
      <c r="J586" s="3" t="s">
        <v>32</v>
      </c>
      <c r="K586" s="3">
        <f>_xlfn.XLOOKUP(tbl_main[[#This Row],[Service]],tbl_service[Service],tbl_service[Price],"")</f>
        <v>200</v>
      </c>
      <c r="L586" s="3">
        <v>2</v>
      </c>
      <c r="M586" s="3">
        <f>IF(AND(tbl_main[[#This Row],[Price]]="",tbl_main[[#This Row],[Qty]]=""),"",tbl_main[[#This Row],[Price]]*tbl_main[[#This Row],[Qty]])</f>
        <v>400</v>
      </c>
      <c r="N586" s="3">
        <f>_xlfn.LET(_xlpm.x,_xlfn.XLOOKUP(tbl_main[[#This Row],[Service]],tbl_service[Service],tbl_service[Profit],""),
               IF(tbl_main[[#This Row],[Qty]]="","",_xlpm.x*tbl_main[[#This Row],[Qty]]))</f>
        <v>180</v>
      </c>
    </row>
    <row r="587" spans="1:14" x14ac:dyDescent="0.25">
      <c r="A587" t="s">
        <v>629</v>
      </c>
      <c r="B587" s="1">
        <v>45849</v>
      </c>
      <c r="C587">
        <f>IF(tbl_main[[#This Row],[Date]]="","",YEAR(B587))</f>
        <v>2025</v>
      </c>
      <c r="D587" t="str">
        <f>IF(tbl_main[[#This Row],[Date]]="","",TEXT(B587,"mmm"))</f>
        <v>Jul</v>
      </c>
      <c r="E587" t="str">
        <f>IF(tbl_main[[#This Row],[Date]]="","",TEXT(B587,"DDD"))</f>
        <v>Fri</v>
      </c>
      <c r="F587" t="s">
        <v>20</v>
      </c>
      <c r="G587" t="s">
        <v>21</v>
      </c>
      <c r="H587" s="3" t="s">
        <v>18</v>
      </c>
      <c r="I587" s="3" t="s">
        <v>35</v>
      </c>
      <c r="J587" s="3" t="s">
        <v>32</v>
      </c>
      <c r="K587" s="3">
        <f>_xlfn.XLOOKUP(tbl_main[[#This Row],[Service]],tbl_service[Service],tbl_service[Price],"")</f>
        <v>500</v>
      </c>
      <c r="L587" s="3">
        <v>2</v>
      </c>
      <c r="M587" s="3">
        <f>IF(AND(tbl_main[[#This Row],[Price]]="",tbl_main[[#This Row],[Qty]]=""),"",tbl_main[[#This Row],[Price]]*tbl_main[[#This Row],[Qty]])</f>
        <v>1000</v>
      </c>
      <c r="N587" s="3">
        <f>_xlfn.LET(_xlpm.x,_xlfn.XLOOKUP(tbl_main[[#This Row],[Service]],tbl_service[Service],tbl_service[Profit],""),
               IF(tbl_main[[#This Row],[Qty]]="","",_xlpm.x*tbl_main[[#This Row],[Qty]]))</f>
        <v>314</v>
      </c>
    </row>
    <row r="588" spans="1:14" x14ac:dyDescent="0.25">
      <c r="A588" t="s">
        <v>630</v>
      </c>
      <c r="B588" s="1">
        <v>45850</v>
      </c>
      <c r="C588">
        <f>IF(tbl_main[[#This Row],[Date]]="","",YEAR(B588))</f>
        <v>2025</v>
      </c>
      <c r="D588" t="str">
        <f>IF(tbl_main[[#This Row],[Date]]="","",TEXT(B588,"mmm"))</f>
        <v>Jul</v>
      </c>
      <c r="E588" t="str">
        <f>IF(tbl_main[[#This Row],[Date]]="","",TEXT(B588,"DDD"))</f>
        <v>Sat</v>
      </c>
      <c r="F588" t="s">
        <v>20</v>
      </c>
      <c r="G588" t="s">
        <v>29</v>
      </c>
      <c r="H588" s="3" t="s">
        <v>26</v>
      </c>
      <c r="I588" s="3" t="s">
        <v>35</v>
      </c>
      <c r="J588" s="3" t="s">
        <v>17</v>
      </c>
      <c r="K588" s="3">
        <f>_xlfn.XLOOKUP(tbl_main[[#This Row],[Service]],tbl_service[Service],tbl_service[Price],"")</f>
        <v>200</v>
      </c>
      <c r="L588" s="3">
        <v>1</v>
      </c>
      <c r="M588" s="3">
        <f>IF(AND(tbl_main[[#This Row],[Price]]="",tbl_main[[#This Row],[Qty]]=""),"",tbl_main[[#This Row],[Price]]*tbl_main[[#This Row],[Qty]])</f>
        <v>200</v>
      </c>
      <c r="N588" s="3">
        <f>_xlfn.LET(_xlpm.x,_xlfn.XLOOKUP(tbl_main[[#This Row],[Service]],tbl_service[Service],tbl_service[Profit],""),
               IF(tbl_main[[#This Row],[Qty]]="","",_xlpm.x*tbl_main[[#This Row],[Qty]]))</f>
        <v>90</v>
      </c>
    </row>
    <row r="589" spans="1:14" x14ac:dyDescent="0.25">
      <c r="A589" t="s">
        <v>631</v>
      </c>
      <c r="B589" s="1">
        <v>45850</v>
      </c>
      <c r="C589">
        <f>IF(tbl_main[[#This Row],[Date]]="","",YEAR(B589))</f>
        <v>2025</v>
      </c>
      <c r="D589" t="str">
        <f>IF(tbl_main[[#This Row],[Date]]="","",TEXT(B589,"mmm"))</f>
        <v>Jul</v>
      </c>
      <c r="E589" t="str">
        <f>IF(tbl_main[[#This Row],[Date]]="","",TEXT(B589,"DDD"))</f>
        <v>Sat</v>
      </c>
      <c r="F589" t="s">
        <v>27</v>
      </c>
      <c r="G589" t="s">
        <v>28</v>
      </c>
      <c r="H589" s="3" t="s">
        <v>34</v>
      </c>
      <c r="I589" s="3" t="s">
        <v>23</v>
      </c>
      <c r="J589" s="3" t="s">
        <v>17</v>
      </c>
      <c r="K589" s="3">
        <f>_xlfn.XLOOKUP(tbl_main[[#This Row],[Service]],tbl_service[Service],tbl_service[Price],"")</f>
        <v>100</v>
      </c>
      <c r="L589" s="3">
        <v>1</v>
      </c>
      <c r="M589" s="3">
        <f>IF(AND(tbl_main[[#This Row],[Price]]="",tbl_main[[#This Row],[Qty]]=""),"",tbl_main[[#This Row],[Price]]*tbl_main[[#This Row],[Qty]])</f>
        <v>100</v>
      </c>
      <c r="N589" s="3">
        <f>_xlfn.LET(_xlpm.x,_xlfn.XLOOKUP(tbl_main[[#This Row],[Service]],tbl_service[Service],tbl_service[Profit],""),
               IF(tbl_main[[#This Row],[Qty]]="","",_xlpm.x*tbl_main[[#This Row],[Qty]]))</f>
        <v>45</v>
      </c>
    </row>
    <row r="590" spans="1:14" x14ac:dyDescent="0.25">
      <c r="A590" t="s">
        <v>632</v>
      </c>
      <c r="B590" s="1">
        <v>45850</v>
      </c>
      <c r="C590">
        <f>IF(tbl_main[[#This Row],[Date]]="","",YEAR(B590))</f>
        <v>2025</v>
      </c>
      <c r="D590" t="str">
        <f>IF(tbl_main[[#This Row],[Date]]="","",TEXT(B590,"mmm"))</f>
        <v>Jul</v>
      </c>
      <c r="E590" t="str">
        <f>IF(tbl_main[[#This Row],[Date]]="","",TEXT(B590,"DDD"))</f>
        <v>Sat</v>
      </c>
      <c r="F590" t="s">
        <v>27</v>
      </c>
      <c r="G590" t="s">
        <v>28</v>
      </c>
      <c r="H590" s="3" t="s">
        <v>18</v>
      </c>
      <c r="I590" s="3" t="s">
        <v>37</v>
      </c>
      <c r="J590" s="3" t="s">
        <v>17</v>
      </c>
      <c r="K590" s="3">
        <f>_xlfn.XLOOKUP(tbl_main[[#This Row],[Service]],tbl_service[Service],tbl_service[Price],"")</f>
        <v>500</v>
      </c>
      <c r="L590" s="3">
        <v>1</v>
      </c>
      <c r="M590" s="3">
        <f>IF(AND(tbl_main[[#This Row],[Price]]="",tbl_main[[#This Row],[Qty]]=""),"",tbl_main[[#This Row],[Price]]*tbl_main[[#This Row],[Qty]])</f>
        <v>500</v>
      </c>
      <c r="N590" s="3">
        <f>_xlfn.LET(_xlpm.x,_xlfn.XLOOKUP(tbl_main[[#This Row],[Service]],tbl_service[Service],tbl_service[Profit],""),
               IF(tbl_main[[#This Row],[Qty]]="","",_xlpm.x*tbl_main[[#This Row],[Qty]]))</f>
        <v>157</v>
      </c>
    </row>
    <row r="591" spans="1:14" x14ac:dyDescent="0.25">
      <c r="A591" t="s">
        <v>633</v>
      </c>
      <c r="B591" s="1">
        <v>45851</v>
      </c>
      <c r="C591">
        <f>IF(tbl_main[[#This Row],[Date]]="","",YEAR(B591))</f>
        <v>2025</v>
      </c>
      <c r="D591" t="str">
        <f>IF(tbl_main[[#This Row],[Date]]="","",TEXT(B591,"mmm"))</f>
        <v>Jul</v>
      </c>
      <c r="E591" t="str">
        <f>IF(tbl_main[[#This Row],[Date]]="","",TEXT(B591,"DDD"))</f>
        <v>Sun</v>
      </c>
      <c r="F591" t="s">
        <v>27</v>
      </c>
      <c r="G591" t="s">
        <v>40</v>
      </c>
      <c r="H591" s="3" t="s">
        <v>26</v>
      </c>
      <c r="I591" s="3" t="s">
        <v>38</v>
      </c>
      <c r="J591" s="3" t="s">
        <v>17</v>
      </c>
      <c r="K591" s="3">
        <f>_xlfn.XLOOKUP(tbl_main[[#This Row],[Service]],tbl_service[Service],tbl_service[Price],"")</f>
        <v>200</v>
      </c>
      <c r="L591" s="3">
        <v>1</v>
      </c>
      <c r="M591" s="3">
        <f>IF(AND(tbl_main[[#This Row],[Price]]="",tbl_main[[#This Row],[Qty]]=""),"",tbl_main[[#This Row],[Price]]*tbl_main[[#This Row],[Qty]])</f>
        <v>200</v>
      </c>
      <c r="N591" s="3">
        <f>_xlfn.LET(_xlpm.x,_xlfn.XLOOKUP(tbl_main[[#This Row],[Service]],tbl_service[Service],tbl_service[Profit],""),
               IF(tbl_main[[#This Row],[Qty]]="","",_xlpm.x*tbl_main[[#This Row],[Qty]]))</f>
        <v>90</v>
      </c>
    </row>
    <row r="592" spans="1:14" x14ac:dyDescent="0.25">
      <c r="A592" t="s">
        <v>634</v>
      </c>
      <c r="B592" s="1">
        <v>45851</v>
      </c>
      <c r="C592">
        <f>IF(tbl_main[[#This Row],[Date]]="","",YEAR(B592))</f>
        <v>2025</v>
      </c>
      <c r="D592" t="str">
        <f>IF(tbl_main[[#This Row],[Date]]="","",TEXT(B592,"mmm"))</f>
        <v>Jul</v>
      </c>
      <c r="E592" t="str">
        <f>IF(tbl_main[[#This Row],[Date]]="","",TEXT(B592,"DDD"))</f>
        <v>Sun</v>
      </c>
      <c r="F592" t="s">
        <v>13</v>
      </c>
      <c r="G592" t="s">
        <v>33</v>
      </c>
      <c r="H592" s="3" t="s">
        <v>18</v>
      </c>
      <c r="I592" s="3" t="s">
        <v>16</v>
      </c>
      <c r="J592" s="3" t="s">
        <v>32</v>
      </c>
      <c r="K592" s="3">
        <f>_xlfn.XLOOKUP(tbl_main[[#This Row],[Service]],tbl_service[Service],tbl_service[Price],"")</f>
        <v>500</v>
      </c>
      <c r="L592" s="3">
        <v>2</v>
      </c>
      <c r="M592" s="3">
        <f>IF(AND(tbl_main[[#This Row],[Price]]="",tbl_main[[#This Row],[Qty]]=""),"",tbl_main[[#This Row],[Price]]*tbl_main[[#This Row],[Qty]])</f>
        <v>1000</v>
      </c>
      <c r="N592" s="3">
        <f>_xlfn.LET(_xlpm.x,_xlfn.XLOOKUP(tbl_main[[#This Row],[Service]],tbl_service[Service],tbl_service[Profit],""),
               IF(tbl_main[[#This Row],[Qty]]="","",_xlpm.x*tbl_main[[#This Row],[Qty]]))</f>
        <v>314</v>
      </c>
    </row>
    <row r="593" spans="1:14" x14ac:dyDescent="0.25">
      <c r="A593" t="s">
        <v>635</v>
      </c>
      <c r="B593" s="1">
        <v>45851</v>
      </c>
      <c r="C593">
        <f>IF(tbl_main[[#This Row],[Date]]="","",YEAR(B593))</f>
        <v>2025</v>
      </c>
      <c r="D593" t="str">
        <f>IF(tbl_main[[#This Row],[Date]]="","",TEXT(B593,"mmm"))</f>
        <v>Jul</v>
      </c>
      <c r="E593" t="str">
        <f>IF(tbl_main[[#This Row],[Date]]="","",TEXT(B593,"DDD"))</f>
        <v>Sun</v>
      </c>
      <c r="F593" t="s">
        <v>27</v>
      </c>
      <c r="G593" t="s">
        <v>40</v>
      </c>
      <c r="H593" s="3" t="s">
        <v>22</v>
      </c>
      <c r="I593" s="3" t="s">
        <v>19</v>
      </c>
      <c r="J593" s="3" t="s">
        <v>17</v>
      </c>
      <c r="K593" s="3">
        <f>_xlfn.XLOOKUP(tbl_main[[#This Row],[Service]],tbl_service[Service],tbl_service[Price],"")</f>
        <v>150</v>
      </c>
      <c r="L593" s="3">
        <v>1</v>
      </c>
      <c r="M593" s="3">
        <f>IF(AND(tbl_main[[#This Row],[Price]]="",tbl_main[[#This Row],[Qty]]=""),"",tbl_main[[#This Row],[Price]]*tbl_main[[#This Row],[Qty]])</f>
        <v>150</v>
      </c>
      <c r="N593" s="3">
        <f>_xlfn.LET(_xlpm.x,_xlfn.XLOOKUP(tbl_main[[#This Row],[Service]],tbl_service[Service],tbl_service[Profit],""),
               IF(tbl_main[[#This Row],[Qty]]="","",_xlpm.x*tbl_main[[#This Row],[Qty]]))</f>
        <v>67</v>
      </c>
    </row>
    <row r="594" spans="1:14" x14ac:dyDescent="0.25">
      <c r="A594" t="s">
        <v>636</v>
      </c>
      <c r="B594" s="1">
        <v>45851</v>
      </c>
      <c r="C594">
        <f>IF(tbl_main[[#This Row],[Date]]="","",YEAR(B594))</f>
        <v>2025</v>
      </c>
      <c r="D594" t="str">
        <f>IF(tbl_main[[#This Row],[Date]]="","",TEXT(B594,"mmm"))</f>
        <v>Jul</v>
      </c>
      <c r="E594" t="str">
        <f>IF(tbl_main[[#This Row],[Date]]="","",TEXT(B594,"DDD"))</f>
        <v>Sun</v>
      </c>
      <c r="F594" t="s">
        <v>30</v>
      </c>
      <c r="G594" t="s">
        <v>36</v>
      </c>
      <c r="H594" s="3" t="s">
        <v>34</v>
      </c>
      <c r="I594" s="3" t="s">
        <v>35</v>
      </c>
      <c r="J594" s="3" t="s">
        <v>32</v>
      </c>
      <c r="K594" s="3">
        <f>_xlfn.XLOOKUP(tbl_main[[#This Row],[Service]],tbl_service[Service],tbl_service[Price],"")</f>
        <v>100</v>
      </c>
      <c r="L594" s="3">
        <v>1</v>
      </c>
      <c r="M594" s="3">
        <f>IF(AND(tbl_main[[#This Row],[Price]]="",tbl_main[[#This Row],[Qty]]=""),"",tbl_main[[#This Row],[Price]]*tbl_main[[#This Row],[Qty]])</f>
        <v>100</v>
      </c>
      <c r="N594" s="3">
        <f>_xlfn.LET(_xlpm.x,_xlfn.XLOOKUP(tbl_main[[#This Row],[Service]],tbl_service[Service],tbl_service[Profit],""),
               IF(tbl_main[[#This Row],[Qty]]="","",_xlpm.x*tbl_main[[#This Row],[Qty]]))</f>
        <v>45</v>
      </c>
    </row>
    <row r="595" spans="1:14" x14ac:dyDescent="0.25">
      <c r="A595" t="s">
        <v>637</v>
      </c>
      <c r="B595" s="1">
        <v>45852</v>
      </c>
      <c r="C595">
        <f>IF(tbl_main[[#This Row],[Date]]="","",YEAR(B595))</f>
        <v>2025</v>
      </c>
      <c r="D595" t="str">
        <f>IF(tbl_main[[#This Row],[Date]]="","",TEXT(B595,"mmm"))</f>
        <v>Jul</v>
      </c>
      <c r="E595" t="str">
        <f>IF(tbl_main[[#This Row],[Date]]="","",TEXT(B595,"DDD"))</f>
        <v>Mon</v>
      </c>
      <c r="F595" t="s">
        <v>27</v>
      </c>
      <c r="G595" t="s">
        <v>40</v>
      </c>
      <c r="H595" s="3" t="s">
        <v>26</v>
      </c>
      <c r="I595" s="3" t="s">
        <v>41</v>
      </c>
      <c r="J595" s="3" t="s">
        <v>25</v>
      </c>
      <c r="K595" s="3">
        <f>_xlfn.XLOOKUP(tbl_main[[#This Row],[Service]],tbl_service[Service],tbl_service[Price],"")</f>
        <v>200</v>
      </c>
      <c r="L595" s="3">
        <v>2</v>
      </c>
      <c r="M595" s="3">
        <f>IF(AND(tbl_main[[#This Row],[Price]]="",tbl_main[[#This Row],[Qty]]=""),"",tbl_main[[#This Row],[Price]]*tbl_main[[#This Row],[Qty]])</f>
        <v>400</v>
      </c>
      <c r="N595" s="3">
        <f>_xlfn.LET(_xlpm.x,_xlfn.XLOOKUP(tbl_main[[#This Row],[Service]],tbl_service[Service],tbl_service[Profit],""),
               IF(tbl_main[[#This Row],[Qty]]="","",_xlpm.x*tbl_main[[#This Row],[Qty]]))</f>
        <v>180</v>
      </c>
    </row>
    <row r="596" spans="1:14" x14ac:dyDescent="0.25">
      <c r="A596" t="s">
        <v>638</v>
      </c>
      <c r="B596" s="1">
        <v>45852</v>
      </c>
      <c r="C596">
        <f>IF(tbl_main[[#This Row],[Date]]="","",YEAR(B596))</f>
        <v>2025</v>
      </c>
      <c r="D596" t="str">
        <f>IF(tbl_main[[#This Row],[Date]]="","",TEXT(B596,"mmm"))</f>
        <v>Jul</v>
      </c>
      <c r="E596" t="str">
        <f>IF(tbl_main[[#This Row],[Date]]="","",TEXT(B596,"DDD"))</f>
        <v>Mon</v>
      </c>
      <c r="F596" t="s">
        <v>13</v>
      </c>
      <c r="G596" t="s">
        <v>33</v>
      </c>
      <c r="H596" s="3" t="s">
        <v>18</v>
      </c>
      <c r="I596" s="3" t="s">
        <v>41</v>
      </c>
      <c r="J596" s="3" t="s">
        <v>25</v>
      </c>
      <c r="K596" s="3">
        <f>_xlfn.XLOOKUP(tbl_main[[#This Row],[Service]],tbl_service[Service],tbl_service[Price],"")</f>
        <v>500</v>
      </c>
      <c r="L596" s="3">
        <v>2</v>
      </c>
      <c r="M596" s="3">
        <f>IF(AND(tbl_main[[#This Row],[Price]]="",tbl_main[[#This Row],[Qty]]=""),"",tbl_main[[#This Row],[Price]]*tbl_main[[#This Row],[Qty]])</f>
        <v>1000</v>
      </c>
      <c r="N596" s="3">
        <f>_xlfn.LET(_xlpm.x,_xlfn.XLOOKUP(tbl_main[[#This Row],[Service]],tbl_service[Service],tbl_service[Profit],""),
               IF(tbl_main[[#This Row],[Qty]]="","",_xlpm.x*tbl_main[[#This Row],[Qty]]))</f>
        <v>314</v>
      </c>
    </row>
    <row r="597" spans="1:14" x14ac:dyDescent="0.25">
      <c r="A597" t="s">
        <v>639</v>
      </c>
      <c r="B597" s="1">
        <v>45852</v>
      </c>
      <c r="C597">
        <f>IF(tbl_main[[#This Row],[Date]]="","",YEAR(B597))</f>
        <v>2025</v>
      </c>
      <c r="D597" t="str">
        <f>IF(tbl_main[[#This Row],[Date]]="","",TEXT(B597,"mmm"))</f>
        <v>Jul</v>
      </c>
      <c r="E597" t="str">
        <f>IF(tbl_main[[#This Row],[Date]]="","",TEXT(B597,"DDD"))</f>
        <v>Mon</v>
      </c>
      <c r="F597" t="s">
        <v>20</v>
      </c>
      <c r="G597" t="s">
        <v>29</v>
      </c>
      <c r="H597" s="3" t="s">
        <v>22</v>
      </c>
      <c r="I597" s="3" t="s">
        <v>35</v>
      </c>
      <c r="J597" s="3" t="s">
        <v>32</v>
      </c>
      <c r="K597" s="3">
        <f>_xlfn.XLOOKUP(tbl_main[[#This Row],[Service]],tbl_service[Service],tbl_service[Price],"")</f>
        <v>150</v>
      </c>
      <c r="L597" s="3">
        <v>1</v>
      </c>
      <c r="M597" s="3">
        <f>IF(AND(tbl_main[[#This Row],[Price]]="",tbl_main[[#This Row],[Qty]]=""),"",tbl_main[[#This Row],[Price]]*tbl_main[[#This Row],[Qty]])</f>
        <v>150</v>
      </c>
      <c r="N597" s="3">
        <f>_xlfn.LET(_xlpm.x,_xlfn.XLOOKUP(tbl_main[[#This Row],[Service]],tbl_service[Service],tbl_service[Profit],""),
               IF(tbl_main[[#This Row],[Qty]]="","",_xlpm.x*tbl_main[[#This Row],[Qty]]))</f>
        <v>67</v>
      </c>
    </row>
    <row r="598" spans="1:14" x14ac:dyDescent="0.25">
      <c r="A598" t="s">
        <v>640</v>
      </c>
      <c r="B598" s="1">
        <v>45853</v>
      </c>
      <c r="C598">
        <f>IF(tbl_main[[#This Row],[Date]]="","",YEAR(B598))</f>
        <v>2025</v>
      </c>
      <c r="D598" t="str">
        <f>IF(tbl_main[[#This Row],[Date]]="","",TEXT(B598,"mmm"))</f>
        <v>Jul</v>
      </c>
      <c r="E598" t="str">
        <f>IF(tbl_main[[#This Row],[Date]]="","",TEXT(B598,"DDD"))</f>
        <v>Tue</v>
      </c>
      <c r="F598" t="s">
        <v>20</v>
      </c>
      <c r="G598" t="s">
        <v>21</v>
      </c>
      <c r="H598" s="3" t="s">
        <v>34</v>
      </c>
      <c r="I598" s="3" t="s">
        <v>35</v>
      </c>
      <c r="J598" s="3" t="s">
        <v>25</v>
      </c>
      <c r="K598" s="3">
        <f>_xlfn.XLOOKUP(tbl_main[[#This Row],[Service]],tbl_service[Service],tbl_service[Price],"")</f>
        <v>100</v>
      </c>
      <c r="L598" s="3">
        <v>1</v>
      </c>
      <c r="M598" s="3">
        <f>IF(AND(tbl_main[[#This Row],[Price]]="",tbl_main[[#This Row],[Qty]]=""),"",tbl_main[[#This Row],[Price]]*tbl_main[[#This Row],[Qty]])</f>
        <v>100</v>
      </c>
      <c r="N598" s="3">
        <f>_xlfn.LET(_xlpm.x,_xlfn.XLOOKUP(tbl_main[[#This Row],[Service]],tbl_service[Service],tbl_service[Profit],""),
               IF(tbl_main[[#This Row],[Qty]]="","",_xlpm.x*tbl_main[[#This Row],[Qty]]))</f>
        <v>45</v>
      </c>
    </row>
    <row r="599" spans="1:14" x14ac:dyDescent="0.25">
      <c r="A599" t="s">
        <v>641</v>
      </c>
      <c r="B599" s="1">
        <v>45853</v>
      </c>
      <c r="C599">
        <f>IF(tbl_main[[#This Row],[Date]]="","",YEAR(B599))</f>
        <v>2025</v>
      </c>
      <c r="D599" t="str">
        <f>IF(tbl_main[[#This Row],[Date]]="","",TEXT(B599,"mmm"))</f>
        <v>Jul</v>
      </c>
      <c r="E599" t="str">
        <f>IF(tbl_main[[#This Row],[Date]]="","",TEXT(B599,"DDD"))</f>
        <v>Tue</v>
      </c>
      <c r="F599" t="s">
        <v>13</v>
      </c>
      <c r="G599" t="s">
        <v>14</v>
      </c>
      <c r="H599" s="3" t="s">
        <v>22</v>
      </c>
      <c r="I599" s="3" t="s">
        <v>23</v>
      </c>
      <c r="J599" s="3" t="s">
        <v>17</v>
      </c>
      <c r="K599" s="3">
        <f>_xlfn.XLOOKUP(tbl_main[[#This Row],[Service]],tbl_service[Service],tbl_service[Price],"")</f>
        <v>150</v>
      </c>
      <c r="L599" s="3">
        <v>2</v>
      </c>
      <c r="M599" s="3">
        <f>IF(AND(tbl_main[[#This Row],[Price]]="",tbl_main[[#This Row],[Qty]]=""),"",tbl_main[[#This Row],[Price]]*tbl_main[[#This Row],[Qty]])</f>
        <v>300</v>
      </c>
      <c r="N599" s="3">
        <f>_xlfn.LET(_xlpm.x,_xlfn.XLOOKUP(tbl_main[[#This Row],[Service]],tbl_service[Service],tbl_service[Profit],""),
               IF(tbl_main[[#This Row],[Qty]]="","",_xlpm.x*tbl_main[[#This Row],[Qty]]))</f>
        <v>134</v>
      </c>
    </row>
    <row r="600" spans="1:14" x14ac:dyDescent="0.25">
      <c r="A600" t="s">
        <v>642</v>
      </c>
      <c r="B600" s="1">
        <v>45853</v>
      </c>
      <c r="C600">
        <f>IF(tbl_main[[#This Row],[Date]]="","",YEAR(B600))</f>
        <v>2025</v>
      </c>
      <c r="D600" t="str">
        <f>IF(tbl_main[[#This Row],[Date]]="","",TEXT(B600,"mmm"))</f>
        <v>Jul</v>
      </c>
      <c r="E600" t="str">
        <f>IF(tbl_main[[#This Row],[Date]]="","",TEXT(B600,"DDD"))</f>
        <v>Tue</v>
      </c>
      <c r="F600" t="s">
        <v>30</v>
      </c>
      <c r="G600" t="s">
        <v>36</v>
      </c>
      <c r="H600" s="3" t="s">
        <v>34</v>
      </c>
      <c r="I600" s="3" t="s">
        <v>37</v>
      </c>
      <c r="J600" s="3" t="s">
        <v>32</v>
      </c>
      <c r="K600" s="3">
        <f>_xlfn.XLOOKUP(tbl_main[[#This Row],[Service]],tbl_service[Service],tbl_service[Price],"")</f>
        <v>100</v>
      </c>
      <c r="L600" s="3">
        <v>1</v>
      </c>
      <c r="M600" s="3">
        <f>IF(AND(tbl_main[[#This Row],[Price]]="",tbl_main[[#This Row],[Qty]]=""),"",tbl_main[[#This Row],[Price]]*tbl_main[[#This Row],[Qty]])</f>
        <v>100</v>
      </c>
      <c r="N600" s="3">
        <f>_xlfn.LET(_xlpm.x,_xlfn.XLOOKUP(tbl_main[[#This Row],[Service]],tbl_service[Service],tbl_service[Profit],""),
               IF(tbl_main[[#This Row],[Qty]]="","",_xlpm.x*tbl_main[[#This Row],[Qty]]))</f>
        <v>45</v>
      </c>
    </row>
    <row r="601" spans="1:14" x14ac:dyDescent="0.25">
      <c r="A601" t="s">
        <v>643</v>
      </c>
      <c r="B601" s="1">
        <v>45854</v>
      </c>
      <c r="C601">
        <f>IF(tbl_main[[#This Row],[Date]]="","",YEAR(B601))</f>
        <v>2025</v>
      </c>
      <c r="D601" t="str">
        <f>IF(tbl_main[[#This Row],[Date]]="","",TEXT(B601,"mmm"))</f>
        <v>Jul</v>
      </c>
      <c r="E601" t="str">
        <f>IF(tbl_main[[#This Row],[Date]]="","",TEXT(B601,"DDD"))</f>
        <v>Wed</v>
      </c>
      <c r="F601" t="s">
        <v>30</v>
      </c>
      <c r="G601" t="s">
        <v>31</v>
      </c>
      <c r="H601" s="3" t="s">
        <v>24</v>
      </c>
      <c r="I601" s="3" t="s">
        <v>38</v>
      </c>
      <c r="J601" s="3" t="s">
        <v>32</v>
      </c>
      <c r="K601" s="3">
        <f>_xlfn.XLOOKUP(tbl_main[[#This Row],[Service]],tbl_service[Service],tbl_service[Price],"")</f>
        <v>80</v>
      </c>
      <c r="L601" s="3">
        <v>1</v>
      </c>
      <c r="M601" s="3">
        <f>IF(AND(tbl_main[[#This Row],[Price]]="",tbl_main[[#This Row],[Qty]]=""),"",tbl_main[[#This Row],[Price]]*tbl_main[[#This Row],[Qty]])</f>
        <v>80</v>
      </c>
      <c r="N601" s="3">
        <f>_xlfn.LET(_xlpm.x,_xlfn.XLOOKUP(tbl_main[[#This Row],[Service]],tbl_service[Service],tbl_service[Profit],""),
               IF(tbl_main[[#This Row],[Qty]]="","",_xlpm.x*tbl_main[[#This Row],[Qty]]))</f>
        <v>36</v>
      </c>
    </row>
    <row r="602" spans="1:14" x14ac:dyDescent="0.25">
      <c r="A602" t="s">
        <v>644</v>
      </c>
      <c r="B602" s="1">
        <v>45854</v>
      </c>
      <c r="C602">
        <f>IF(tbl_main[[#This Row],[Date]]="","",YEAR(B602))</f>
        <v>2025</v>
      </c>
      <c r="D602" t="str">
        <f>IF(tbl_main[[#This Row],[Date]]="","",TEXT(B602,"mmm"))</f>
        <v>Jul</v>
      </c>
      <c r="E602" t="str">
        <f>IF(tbl_main[[#This Row],[Date]]="","",TEXT(B602,"DDD"))</f>
        <v>Wed</v>
      </c>
      <c r="F602" t="s">
        <v>20</v>
      </c>
      <c r="G602" t="s">
        <v>21</v>
      </c>
      <c r="H602" s="3" t="s">
        <v>22</v>
      </c>
      <c r="I602" s="3" t="s">
        <v>16</v>
      </c>
      <c r="J602" s="3" t="s">
        <v>17</v>
      </c>
      <c r="K602" s="3">
        <f>_xlfn.XLOOKUP(tbl_main[[#This Row],[Service]],tbl_service[Service],tbl_service[Price],"")</f>
        <v>150</v>
      </c>
      <c r="L602" s="3">
        <v>1</v>
      </c>
      <c r="M602" s="3">
        <f>IF(AND(tbl_main[[#This Row],[Price]]="",tbl_main[[#This Row],[Qty]]=""),"",tbl_main[[#This Row],[Price]]*tbl_main[[#This Row],[Qty]])</f>
        <v>150</v>
      </c>
      <c r="N602" s="3">
        <f>_xlfn.LET(_xlpm.x,_xlfn.XLOOKUP(tbl_main[[#This Row],[Service]],tbl_service[Service],tbl_service[Profit],""),
               IF(tbl_main[[#This Row],[Qty]]="","",_xlpm.x*tbl_main[[#This Row],[Qty]]))</f>
        <v>67</v>
      </c>
    </row>
    <row r="603" spans="1:14" x14ac:dyDescent="0.25">
      <c r="A603" t="s">
        <v>645</v>
      </c>
      <c r="B603" s="1">
        <v>45854</v>
      </c>
      <c r="C603">
        <f>IF(tbl_main[[#This Row],[Date]]="","",YEAR(B603))</f>
        <v>2025</v>
      </c>
      <c r="D603" t="str">
        <f>IF(tbl_main[[#This Row],[Date]]="","",TEXT(B603,"mmm"))</f>
        <v>Jul</v>
      </c>
      <c r="E603" t="str">
        <f>IF(tbl_main[[#This Row],[Date]]="","",TEXT(B603,"DDD"))</f>
        <v>Wed</v>
      </c>
      <c r="F603" t="s">
        <v>20</v>
      </c>
      <c r="G603" t="s">
        <v>21</v>
      </c>
      <c r="H603" s="3" t="s">
        <v>18</v>
      </c>
      <c r="I603" s="3" t="s">
        <v>19</v>
      </c>
      <c r="J603" s="3" t="s">
        <v>32</v>
      </c>
      <c r="K603" s="3">
        <f>_xlfn.XLOOKUP(tbl_main[[#This Row],[Service]],tbl_service[Service],tbl_service[Price],"")</f>
        <v>500</v>
      </c>
      <c r="L603" s="3">
        <v>1</v>
      </c>
      <c r="M603" s="3">
        <f>IF(AND(tbl_main[[#This Row],[Price]]="",tbl_main[[#This Row],[Qty]]=""),"",tbl_main[[#This Row],[Price]]*tbl_main[[#This Row],[Qty]])</f>
        <v>500</v>
      </c>
      <c r="N603" s="3">
        <f>_xlfn.LET(_xlpm.x,_xlfn.XLOOKUP(tbl_main[[#This Row],[Service]],tbl_service[Service],tbl_service[Profit],""),
               IF(tbl_main[[#This Row],[Qty]]="","",_xlpm.x*tbl_main[[#This Row],[Qty]]))</f>
        <v>157</v>
      </c>
    </row>
    <row r="604" spans="1:14" x14ac:dyDescent="0.25">
      <c r="A604" t="s">
        <v>646</v>
      </c>
      <c r="B604" s="1">
        <v>45855</v>
      </c>
      <c r="C604">
        <f>IF(tbl_main[[#This Row],[Date]]="","",YEAR(B604))</f>
        <v>2025</v>
      </c>
      <c r="D604" t="str">
        <f>IF(tbl_main[[#This Row],[Date]]="","",TEXT(B604,"mmm"))</f>
        <v>Jul</v>
      </c>
      <c r="E604" t="str">
        <f>IF(tbl_main[[#This Row],[Date]]="","",TEXT(B604,"DDD"))</f>
        <v>Thu</v>
      </c>
      <c r="F604" t="s">
        <v>30</v>
      </c>
      <c r="G604" t="s">
        <v>31</v>
      </c>
      <c r="H604" s="3" t="s">
        <v>26</v>
      </c>
      <c r="I604" s="3" t="s">
        <v>35</v>
      </c>
      <c r="J604" s="3" t="s">
        <v>32</v>
      </c>
      <c r="K604" s="3">
        <f>_xlfn.XLOOKUP(tbl_main[[#This Row],[Service]],tbl_service[Service],tbl_service[Price],"")</f>
        <v>200</v>
      </c>
      <c r="L604" s="3">
        <v>2</v>
      </c>
      <c r="M604" s="3">
        <f>IF(AND(tbl_main[[#This Row],[Price]]="",tbl_main[[#This Row],[Qty]]=""),"",tbl_main[[#This Row],[Price]]*tbl_main[[#This Row],[Qty]])</f>
        <v>400</v>
      </c>
      <c r="N604" s="3">
        <f>_xlfn.LET(_xlpm.x,_xlfn.XLOOKUP(tbl_main[[#This Row],[Service]],tbl_service[Service],tbl_service[Profit],""),
               IF(tbl_main[[#This Row],[Qty]]="","",_xlpm.x*tbl_main[[#This Row],[Qty]]))</f>
        <v>180</v>
      </c>
    </row>
    <row r="605" spans="1:14" x14ac:dyDescent="0.25">
      <c r="A605" t="s">
        <v>647</v>
      </c>
      <c r="B605" s="1">
        <v>45855</v>
      </c>
      <c r="C605">
        <f>IF(tbl_main[[#This Row],[Date]]="","",YEAR(B605))</f>
        <v>2025</v>
      </c>
      <c r="D605" t="str">
        <f>IF(tbl_main[[#This Row],[Date]]="","",TEXT(B605,"mmm"))</f>
        <v>Jul</v>
      </c>
      <c r="E605" t="str">
        <f>IF(tbl_main[[#This Row],[Date]]="","",TEXT(B605,"DDD"))</f>
        <v>Thu</v>
      </c>
      <c r="F605" t="s">
        <v>20</v>
      </c>
      <c r="G605" t="s">
        <v>29</v>
      </c>
      <c r="H605" s="3" t="s">
        <v>26</v>
      </c>
      <c r="I605" s="3" t="s">
        <v>41</v>
      </c>
      <c r="J605" s="3" t="s">
        <v>17</v>
      </c>
      <c r="K605" s="3">
        <f>_xlfn.XLOOKUP(tbl_main[[#This Row],[Service]],tbl_service[Service],tbl_service[Price],"")</f>
        <v>200</v>
      </c>
      <c r="L605" s="3">
        <v>2</v>
      </c>
      <c r="M605" s="3">
        <f>IF(AND(tbl_main[[#This Row],[Price]]="",tbl_main[[#This Row],[Qty]]=""),"",tbl_main[[#This Row],[Price]]*tbl_main[[#This Row],[Qty]])</f>
        <v>400</v>
      </c>
      <c r="N605" s="3">
        <f>_xlfn.LET(_xlpm.x,_xlfn.XLOOKUP(tbl_main[[#This Row],[Service]],tbl_service[Service],tbl_service[Profit],""),
               IF(tbl_main[[#This Row],[Qty]]="","",_xlpm.x*tbl_main[[#This Row],[Qty]]))</f>
        <v>180</v>
      </c>
    </row>
    <row r="606" spans="1:14" x14ac:dyDescent="0.25">
      <c r="A606" t="s">
        <v>648</v>
      </c>
      <c r="B606" s="1">
        <v>45855</v>
      </c>
      <c r="C606">
        <f>IF(tbl_main[[#This Row],[Date]]="","",YEAR(B606))</f>
        <v>2025</v>
      </c>
      <c r="D606" t="str">
        <f>IF(tbl_main[[#This Row],[Date]]="","",TEXT(B606,"mmm"))</f>
        <v>Jul</v>
      </c>
      <c r="E606" t="str">
        <f>IF(tbl_main[[#This Row],[Date]]="","",TEXT(B606,"DDD"))</f>
        <v>Thu</v>
      </c>
      <c r="F606" t="s">
        <v>13</v>
      </c>
      <c r="G606" t="s">
        <v>14</v>
      </c>
      <c r="H606" s="3" t="s">
        <v>34</v>
      </c>
      <c r="I606" s="3" t="s">
        <v>41</v>
      </c>
      <c r="J606" s="3" t="s">
        <v>17</v>
      </c>
      <c r="K606" s="3">
        <f>_xlfn.XLOOKUP(tbl_main[[#This Row],[Service]],tbl_service[Service],tbl_service[Price],"")</f>
        <v>100</v>
      </c>
      <c r="L606" s="3">
        <v>2</v>
      </c>
      <c r="M606" s="3">
        <f>IF(AND(tbl_main[[#This Row],[Price]]="",tbl_main[[#This Row],[Qty]]=""),"",tbl_main[[#This Row],[Price]]*tbl_main[[#This Row],[Qty]])</f>
        <v>200</v>
      </c>
      <c r="N606" s="3">
        <f>_xlfn.LET(_xlpm.x,_xlfn.XLOOKUP(tbl_main[[#This Row],[Service]],tbl_service[Service],tbl_service[Profit],""),
               IF(tbl_main[[#This Row],[Qty]]="","",_xlpm.x*tbl_main[[#This Row],[Qty]]))</f>
        <v>90</v>
      </c>
    </row>
    <row r="607" spans="1:14" x14ac:dyDescent="0.25">
      <c r="A607" t="s">
        <v>649</v>
      </c>
      <c r="B607" s="1">
        <v>45856</v>
      </c>
      <c r="C607">
        <f>IF(tbl_main[[#This Row],[Date]]="","",YEAR(B607))</f>
        <v>2025</v>
      </c>
      <c r="D607" t="str">
        <f>IF(tbl_main[[#This Row],[Date]]="","",TEXT(B607,"mmm"))</f>
        <v>Jul</v>
      </c>
      <c r="E607" t="str">
        <f>IF(tbl_main[[#This Row],[Date]]="","",TEXT(B607,"DDD"))</f>
        <v>Fri</v>
      </c>
      <c r="F607" t="s">
        <v>20</v>
      </c>
      <c r="G607" t="s">
        <v>39</v>
      </c>
      <c r="H607" s="3" t="s">
        <v>15</v>
      </c>
      <c r="I607" s="3" t="s">
        <v>35</v>
      </c>
      <c r="J607" s="3" t="s">
        <v>32</v>
      </c>
      <c r="K607" s="3">
        <f>_xlfn.XLOOKUP(tbl_main[[#This Row],[Service]],tbl_service[Service],tbl_service[Price],"")</f>
        <v>500</v>
      </c>
      <c r="L607" s="3">
        <v>2</v>
      </c>
      <c r="M607" s="3">
        <f>IF(AND(tbl_main[[#This Row],[Price]]="",tbl_main[[#This Row],[Qty]]=""),"",tbl_main[[#This Row],[Price]]*tbl_main[[#This Row],[Qty]])</f>
        <v>1000</v>
      </c>
      <c r="N607" s="3">
        <f>_xlfn.LET(_xlpm.x,_xlfn.XLOOKUP(tbl_main[[#This Row],[Service]],tbl_service[Service],tbl_service[Profit],""),
               IF(tbl_main[[#This Row],[Qty]]="","",_xlpm.x*tbl_main[[#This Row],[Qty]]))</f>
        <v>450</v>
      </c>
    </row>
    <row r="608" spans="1:14" x14ac:dyDescent="0.25">
      <c r="A608" t="s">
        <v>650</v>
      </c>
      <c r="B608" s="1">
        <v>45856</v>
      </c>
      <c r="C608">
        <f>IF(tbl_main[[#This Row],[Date]]="","",YEAR(B608))</f>
        <v>2025</v>
      </c>
      <c r="D608" t="str">
        <f>IF(tbl_main[[#This Row],[Date]]="","",TEXT(B608,"mmm"))</f>
        <v>Jul</v>
      </c>
      <c r="E608" t="str">
        <f>IF(tbl_main[[#This Row],[Date]]="","",TEXT(B608,"DDD"))</f>
        <v>Fri</v>
      </c>
      <c r="F608" t="s">
        <v>13</v>
      </c>
      <c r="G608" t="s">
        <v>33</v>
      </c>
      <c r="H608" s="3" t="s">
        <v>18</v>
      </c>
      <c r="I608" s="3" t="s">
        <v>35</v>
      </c>
      <c r="J608" s="3" t="s">
        <v>17</v>
      </c>
      <c r="K608" s="3">
        <f>_xlfn.XLOOKUP(tbl_main[[#This Row],[Service]],tbl_service[Service],tbl_service[Price],"")</f>
        <v>500</v>
      </c>
      <c r="L608" s="3">
        <v>1</v>
      </c>
      <c r="M608" s="3">
        <f>IF(AND(tbl_main[[#This Row],[Price]]="",tbl_main[[#This Row],[Qty]]=""),"",tbl_main[[#This Row],[Price]]*tbl_main[[#This Row],[Qty]])</f>
        <v>500</v>
      </c>
      <c r="N608" s="3">
        <f>_xlfn.LET(_xlpm.x,_xlfn.XLOOKUP(tbl_main[[#This Row],[Service]],tbl_service[Service],tbl_service[Profit],""),
               IF(tbl_main[[#This Row],[Qty]]="","",_xlpm.x*tbl_main[[#This Row],[Qty]]))</f>
        <v>157</v>
      </c>
    </row>
    <row r="609" spans="1:14" x14ac:dyDescent="0.25">
      <c r="A609" t="s">
        <v>651</v>
      </c>
      <c r="B609" s="1">
        <v>45856</v>
      </c>
      <c r="C609">
        <f>IF(tbl_main[[#This Row],[Date]]="","",YEAR(B609))</f>
        <v>2025</v>
      </c>
      <c r="D609" t="str">
        <f>IF(tbl_main[[#This Row],[Date]]="","",TEXT(B609,"mmm"))</f>
        <v>Jul</v>
      </c>
      <c r="E609" t="str">
        <f>IF(tbl_main[[#This Row],[Date]]="","",TEXT(B609,"DDD"))</f>
        <v>Fri</v>
      </c>
      <c r="F609" t="s">
        <v>13</v>
      </c>
      <c r="G609" t="s">
        <v>14</v>
      </c>
      <c r="H609" s="3" t="s">
        <v>34</v>
      </c>
      <c r="I609" s="3" t="s">
        <v>23</v>
      </c>
      <c r="J609" s="3" t="s">
        <v>25</v>
      </c>
      <c r="K609" s="3">
        <f>_xlfn.XLOOKUP(tbl_main[[#This Row],[Service]],tbl_service[Service],tbl_service[Price],"")</f>
        <v>100</v>
      </c>
      <c r="L609" s="3">
        <v>2</v>
      </c>
      <c r="M609" s="3">
        <f>IF(AND(tbl_main[[#This Row],[Price]]="",tbl_main[[#This Row],[Qty]]=""),"",tbl_main[[#This Row],[Price]]*tbl_main[[#This Row],[Qty]])</f>
        <v>200</v>
      </c>
      <c r="N609" s="3">
        <f>_xlfn.LET(_xlpm.x,_xlfn.XLOOKUP(tbl_main[[#This Row],[Service]],tbl_service[Service],tbl_service[Profit],""),
               IF(tbl_main[[#This Row],[Qty]]="","",_xlpm.x*tbl_main[[#This Row],[Qty]]))</f>
        <v>90</v>
      </c>
    </row>
    <row r="610" spans="1:14" x14ac:dyDescent="0.25">
      <c r="A610" t="s">
        <v>652</v>
      </c>
      <c r="B610" s="1">
        <v>45856</v>
      </c>
      <c r="C610">
        <f>IF(tbl_main[[#This Row],[Date]]="","",YEAR(B610))</f>
        <v>2025</v>
      </c>
      <c r="D610" t="str">
        <f>IF(tbl_main[[#This Row],[Date]]="","",TEXT(B610,"mmm"))</f>
        <v>Jul</v>
      </c>
      <c r="E610" t="str">
        <f>IF(tbl_main[[#This Row],[Date]]="","",TEXT(B610,"DDD"))</f>
        <v>Fri</v>
      </c>
      <c r="F610" t="s">
        <v>13</v>
      </c>
      <c r="G610" t="s">
        <v>14</v>
      </c>
      <c r="H610" s="3" t="s">
        <v>18</v>
      </c>
      <c r="I610" s="3" t="s">
        <v>37</v>
      </c>
      <c r="J610" s="3" t="s">
        <v>17</v>
      </c>
      <c r="K610" s="3">
        <f>_xlfn.XLOOKUP(tbl_main[[#This Row],[Service]],tbl_service[Service],tbl_service[Price],"")</f>
        <v>500</v>
      </c>
      <c r="L610" s="3">
        <v>2</v>
      </c>
      <c r="M610" s="3">
        <f>IF(AND(tbl_main[[#This Row],[Price]]="",tbl_main[[#This Row],[Qty]]=""),"",tbl_main[[#This Row],[Price]]*tbl_main[[#This Row],[Qty]])</f>
        <v>1000</v>
      </c>
      <c r="N610" s="3">
        <f>_xlfn.LET(_xlpm.x,_xlfn.XLOOKUP(tbl_main[[#This Row],[Service]],tbl_service[Service],tbl_service[Profit],""),
               IF(tbl_main[[#This Row],[Qty]]="","",_xlpm.x*tbl_main[[#This Row],[Qty]]))</f>
        <v>314</v>
      </c>
    </row>
    <row r="611" spans="1:14" x14ac:dyDescent="0.25">
      <c r="A611" t="s">
        <v>653</v>
      </c>
      <c r="B611" s="1">
        <v>45857</v>
      </c>
      <c r="C611">
        <f>IF(tbl_main[[#This Row],[Date]]="","",YEAR(B611))</f>
        <v>2025</v>
      </c>
      <c r="D611" t="str">
        <f>IF(tbl_main[[#This Row],[Date]]="","",TEXT(B611,"mmm"))</f>
        <v>Jul</v>
      </c>
      <c r="E611" t="str">
        <f>IF(tbl_main[[#This Row],[Date]]="","",TEXT(B611,"DDD"))</f>
        <v>Sat</v>
      </c>
      <c r="F611" t="s">
        <v>27</v>
      </c>
      <c r="G611" t="s">
        <v>28</v>
      </c>
      <c r="H611" s="3" t="s">
        <v>34</v>
      </c>
      <c r="I611" s="3" t="s">
        <v>38</v>
      </c>
      <c r="J611" s="3" t="s">
        <v>25</v>
      </c>
      <c r="K611" s="3">
        <f>_xlfn.XLOOKUP(tbl_main[[#This Row],[Service]],tbl_service[Service],tbl_service[Price],"")</f>
        <v>100</v>
      </c>
      <c r="L611" s="3">
        <v>1</v>
      </c>
      <c r="M611" s="3">
        <f>IF(AND(tbl_main[[#This Row],[Price]]="",tbl_main[[#This Row],[Qty]]=""),"",tbl_main[[#This Row],[Price]]*tbl_main[[#This Row],[Qty]])</f>
        <v>100</v>
      </c>
      <c r="N611" s="3">
        <f>_xlfn.LET(_xlpm.x,_xlfn.XLOOKUP(tbl_main[[#This Row],[Service]],tbl_service[Service],tbl_service[Profit],""),
               IF(tbl_main[[#This Row],[Qty]]="","",_xlpm.x*tbl_main[[#This Row],[Qty]]))</f>
        <v>45</v>
      </c>
    </row>
    <row r="612" spans="1:14" x14ac:dyDescent="0.25">
      <c r="A612" t="s">
        <v>654</v>
      </c>
      <c r="B612" s="1">
        <v>45857</v>
      </c>
      <c r="C612">
        <f>IF(tbl_main[[#This Row],[Date]]="","",YEAR(B612))</f>
        <v>2025</v>
      </c>
      <c r="D612" t="str">
        <f>IF(tbl_main[[#This Row],[Date]]="","",TEXT(B612,"mmm"))</f>
        <v>Jul</v>
      </c>
      <c r="E612" t="str">
        <f>IF(tbl_main[[#This Row],[Date]]="","",TEXT(B612,"DDD"))</f>
        <v>Sat</v>
      </c>
      <c r="F612" t="s">
        <v>20</v>
      </c>
      <c r="G612" t="s">
        <v>21</v>
      </c>
      <c r="H612" s="3" t="s">
        <v>26</v>
      </c>
      <c r="I612" s="3" t="s">
        <v>16</v>
      </c>
      <c r="J612" s="3" t="s">
        <v>32</v>
      </c>
      <c r="K612" s="3">
        <f>_xlfn.XLOOKUP(tbl_main[[#This Row],[Service]],tbl_service[Service],tbl_service[Price],"")</f>
        <v>200</v>
      </c>
      <c r="L612" s="3">
        <v>2</v>
      </c>
      <c r="M612" s="3">
        <f>IF(AND(tbl_main[[#This Row],[Price]]="",tbl_main[[#This Row],[Qty]]=""),"",tbl_main[[#This Row],[Price]]*tbl_main[[#This Row],[Qty]])</f>
        <v>400</v>
      </c>
      <c r="N612" s="3">
        <f>_xlfn.LET(_xlpm.x,_xlfn.XLOOKUP(tbl_main[[#This Row],[Service]],tbl_service[Service],tbl_service[Profit],""),
               IF(tbl_main[[#This Row],[Qty]]="","",_xlpm.x*tbl_main[[#This Row],[Qty]]))</f>
        <v>180</v>
      </c>
    </row>
    <row r="613" spans="1:14" x14ac:dyDescent="0.25">
      <c r="A613" t="s">
        <v>655</v>
      </c>
      <c r="B613" s="1">
        <v>45858</v>
      </c>
      <c r="C613">
        <f>IF(tbl_main[[#This Row],[Date]]="","",YEAR(B613))</f>
        <v>2025</v>
      </c>
      <c r="D613" t="str">
        <f>IF(tbl_main[[#This Row],[Date]]="","",TEXT(B613,"mmm"))</f>
        <v>Jul</v>
      </c>
      <c r="E613" t="str">
        <f>IF(tbl_main[[#This Row],[Date]]="","",TEXT(B613,"DDD"))</f>
        <v>Sun</v>
      </c>
      <c r="F613" t="s">
        <v>27</v>
      </c>
      <c r="G613" t="s">
        <v>40</v>
      </c>
      <c r="H613" s="3" t="s">
        <v>22</v>
      </c>
      <c r="I613" s="3" t="s">
        <v>19</v>
      </c>
      <c r="J613" s="3" t="s">
        <v>17</v>
      </c>
      <c r="K613" s="3">
        <f>_xlfn.XLOOKUP(tbl_main[[#This Row],[Service]],tbl_service[Service],tbl_service[Price],"")</f>
        <v>150</v>
      </c>
      <c r="L613" s="3">
        <v>1</v>
      </c>
      <c r="M613" s="3">
        <f>IF(AND(tbl_main[[#This Row],[Price]]="",tbl_main[[#This Row],[Qty]]=""),"",tbl_main[[#This Row],[Price]]*tbl_main[[#This Row],[Qty]])</f>
        <v>150</v>
      </c>
      <c r="N613" s="3">
        <f>_xlfn.LET(_xlpm.x,_xlfn.XLOOKUP(tbl_main[[#This Row],[Service]],tbl_service[Service],tbl_service[Profit],""),
               IF(tbl_main[[#This Row],[Qty]]="","",_xlpm.x*tbl_main[[#This Row],[Qty]]))</f>
        <v>67</v>
      </c>
    </row>
    <row r="614" spans="1:14" x14ac:dyDescent="0.25">
      <c r="A614" t="s">
        <v>656</v>
      </c>
      <c r="B614" s="1">
        <v>45858</v>
      </c>
      <c r="C614">
        <f>IF(tbl_main[[#This Row],[Date]]="","",YEAR(B614))</f>
        <v>2025</v>
      </c>
      <c r="D614" t="str">
        <f>IF(tbl_main[[#This Row],[Date]]="","",TEXT(B614,"mmm"))</f>
        <v>Jul</v>
      </c>
      <c r="E614" t="str">
        <f>IF(tbl_main[[#This Row],[Date]]="","",TEXT(B614,"DDD"))</f>
        <v>Sun</v>
      </c>
      <c r="F614" t="s">
        <v>20</v>
      </c>
      <c r="G614" t="s">
        <v>39</v>
      </c>
      <c r="H614" s="3" t="s">
        <v>24</v>
      </c>
      <c r="I614" s="3" t="s">
        <v>35</v>
      </c>
      <c r="J614" s="3" t="s">
        <v>17</v>
      </c>
      <c r="K614" s="3">
        <f>_xlfn.XLOOKUP(tbl_main[[#This Row],[Service]],tbl_service[Service],tbl_service[Price],"")</f>
        <v>80</v>
      </c>
      <c r="L614" s="3">
        <v>1</v>
      </c>
      <c r="M614" s="3">
        <f>IF(AND(tbl_main[[#This Row],[Price]]="",tbl_main[[#This Row],[Qty]]=""),"",tbl_main[[#This Row],[Price]]*tbl_main[[#This Row],[Qty]])</f>
        <v>80</v>
      </c>
      <c r="N614" s="3">
        <f>_xlfn.LET(_xlpm.x,_xlfn.XLOOKUP(tbl_main[[#This Row],[Service]],tbl_service[Service],tbl_service[Profit],""),
               IF(tbl_main[[#This Row],[Qty]]="","",_xlpm.x*tbl_main[[#This Row],[Qty]]))</f>
        <v>36</v>
      </c>
    </row>
    <row r="615" spans="1:14" x14ac:dyDescent="0.25">
      <c r="A615" t="s">
        <v>657</v>
      </c>
      <c r="B615" s="1">
        <v>45858</v>
      </c>
      <c r="C615">
        <f>IF(tbl_main[[#This Row],[Date]]="","",YEAR(B615))</f>
        <v>2025</v>
      </c>
      <c r="D615" t="str">
        <f>IF(tbl_main[[#This Row],[Date]]="","",TEXT(B615,"mmm"))</f>
        <v>Jul</v>
      </c>
      <c r="E615" t="str">
        <f>IF(tbl_main[[#This Row],[Date]]="","",TEXT(B615,"DDD"))</f>
        <v>Sun</v>
      </c>
      <c r="F615" t="s">
        <v>20</v>
      </c>
      <c r="G615" t="s">
        <v>39</v>
      </c>
      <c r="H615" s="3" t="s">
        <v>22</v>
      </c>
      <c r="I615" s="3" t="s">
        <v>41</v>
      </c>
      <c r="J615" s="3" t="s">
        <v>17</v>
      </c>
      <c r="K615" s="3">
        <f>_xlfn.XLOOKUP(tbl_main[[#This Row],[Service]],tbl_service[Service],tbl_service[Price],"")</f>
        <v>150</v>
      </c>
      <c r="L615" s="3">
        <v>1</v>
      </c>
      <c r="M615" s="3">
        <f>IF(AND(tbl_main[[#This Row],[Price]]="",tbl_main[[#This Row],[Qty]]=""),"",tbl_main[[#This Row],[Price]]*tbl_main[[#This Row],[Qty]])</f>
        <v>150</v>
      </c>
      <c r="N615" s="3">
        <f>_xlfn.LET(_xlpm.x,_xlfn.XLOOKUP(tbl_main[[#This Row],[Service]],tbl_service[Service],tbl_service[Profit],""),
               IF(tbl_main[[#This Row],[Qty]]="","",_xlpm.x*tbl_main[[#This Row],[Qty]]))</f>
        <v>67</v>
      </c>
    </row>
    <row r="616" spans="1:14" x14ac:dyDescent="0.25">
      <c r="A616" t="s">
        <v>658</v>
      </c>
      <c r="B616" s="1">
        <v>45859</v>
      </c>
      <c r="C616">
        <f>IF(tbl_main[[#This Row],[Date]]="","",YEAR(B616))</f>
        <v>2025</v>
      </c>
      <c r="D616" t="str">
        <f>IF(tbl_main[[#This Row],[Date]]="","",TEXT(B616,"mmm"))</f>
        <v>Jul</v>
      </c>
      <c r="E616" t="str">
        <f>IF(tbl_main[[#This Row],[Date]]="","",TEXT(B616,"DDD"))</f>
        <v>Mon</v>
      </c>
      <c r="F616" t="s">
        <v>13</v>
      </c>
      <c r="G616" t="s">
        <v>33</v>
      </c>
      <c r="H616" s="3" t="s">
        <v>22</v>
      </c>
      <c r="I616" s="3" t="s">
        <v>41</v>
      </c>
      <c r="J616" s="3" t="s">
        <v>32</v>
      </c>
      <c r="K616" s="3">
        <f>_xlfn.XLOOKUP(tbl_main[[#This Row],[Service]],tbl_service[Service],tbl_service[Price],"")</f>
        <v>150</v>
      </c>
      <c r="L616" s="3">
        <v>2</v>
      </c>
      <c r="M616" s="3">
        <f>IF(AND(tbl_main[[#This Row],[Price]]="",tbl_main[[#This Row],[Qty]]=""),"",tbl_main[[#This Row],[Price]]*tbl_main[[#This Row],[Qty]])</f>
        <v>300</v>
      </c>
      <c r="N616" s="3">
        <f>_xlfn.LET(_xlpm.x,_xlfn.XLOOKUP(tbl_main[[#This Row],[Service]],tbl_service[Service],tbl_service[Profit],""),
               IF(tbl_main[[#This Row],[Qty]]="","",_xlpm.x*tbl_main[[#This Row],[Qty]]))</f>
        <v>134</v>
      </c>
    </row>
    <row r="617" spans="1:14" x14ac:dyDescent="0.25">
      <c r="A617" t="s">
        <v>659</v>
      </c>
      <c r="B617" s="1">
        <v>45859</v>
      </c>
      <c r="C617">
        <f>IF(tbl_main[[#This Row],[Date]]="","",YEAR(B617))</f>
        <v>2025</v>
      </c>
      <c r="D617" t="str">
        <f>IF(tbl_main[[#This Row],[Date]]="","",TEXT(B617,"mmm"))</f>
        <v>Jul</v>
      </c>
      <c r="E617" t="str">
        <f>IF(tbl_main[[#This Row],[Date]]="","",TEXT(B617,"DDD"))</f>
        <v>Mon</v>
      </c>
      <c r="F617" t="s">
        <v>13</v>
      </c>
      <c r="G617" t="s">
        <v>33</v>
      </c>
      <c r="H617" s="3" t="s">
        <v>34</v>
      </c>
      <c r="I617" s="3" t="s">
        <v>35</v>
      </c>
      <c r="J617" s="3" t="s">
        <v>32</v>
      </c>
      <c r="K617" s="3">
        <f>_xlfn.XLOOKUP(tbl_main[[#This Row],[Service]],tbl_service[Service],tbl_service[Price],"")</f>
        <v>100</v>
      </c>
      <c r="L617" s="3">
        <v>2</v>
      </c>
      <c r="M617" s="3">
        <f>IF(AND(tbl_main[[#This Row],[Price]]="",tbl_main[[#This Row],[Qty]]=""),"",tbl_main[[#This Row],[Price]]*tbl_main[[#This Row],[Qty]])</f>
        <v>200</v>
      </c>
      <c r="N617" s="3">
        <f>_xlfn.LET(_xlpm.x,_xlfn.XLOOKUP(tbl_main[[#This Row],[Service]],tbl_service[Service],tbl_service[Profit],""),
               IF(tbl_main[[#This Row],[Qty]]="","",_xlpm.x*tbl_main[[#This Row],[Qty]]))</f>
        <v>90</v>
      </c>
    </row>
    <row r="618" spans="1:14" x14ac:dyDescent="0.25">
      <c r="A618" t="s">
        <v>660</v>
      </c>
      <c r="B618" s="1">
        <v>45859</v>
      </c>
      <c r="C618">
        <f>IF(tbl_main[[#This Row],[Date]]="","",YEAR(B618))</f>
        <v>2025</v>
      </c>
      <c r="D618" t="str">
        <f>IF(tbl_main[[#This Row],[Date]]="","",TEXT(B618,"mmm"))</f>
        <v>Jul</v>
      </c>
      <c r="E618" t="str">
        <f>IF(tbl_main[[#This Row],[Date]]="","",TEXT(B618,"DDD"))</f>
        <v>Mon</v>
      </c>
      <c r="F618" t="s">
        <v>27</v>
      </c>
      <c r="G618" t="s">
        <v>40</v>
      </c>
      <c r="H618" s="3" t="s">
        <v>15</v>
      </c>
      <c r="I618" s="3" t="s">
        <v>35</v>
      </c>
      <c r="J618" s="3" t="s">
        <v>17</v>
      </c>
      <c r="K618" s="3">
        <f>_xlfn.XLOOKUP(tbl_main[[#This Row],[Service]],tbl_service[Service],tbl_service[Price],"")</f>
        <v>500</v>
      </c>
      <c r="L618" s="3">
        <v>2</v>
      </c>
      <c r="M618" s="3">
        <f>IF(AND(tbl_main[[#This Row],[Price]]="",tbl_main[[#This Row],[Qty]]=""),"",tbl_main[[#This Row],[Price]]*tbl_main[[#This Row],[Qty]])</f>
        <v>1000</v>
      </c>
      <c r="N618" s="3">
        <f>_xlfn.LET(_xlpm.x,_xlfn.XLOOKUP(tbl_main[[#This Row],[Service]],tbl_service[Service],tbl_service[Profit],""),
               IF(tbl_main[[#This Row],[Qty]]="","",_xlpm.x*tbl_main[[#This Row],[Qty]]))</f>
        <v>450</v>
      </c>
    </row>
    <row r="619" spans="1:14" x14ac:dyDescent="0.25">
      <c r="A619" t="s">
        <v>661</v>
      </c>
      <c r="B619" s="1">
        <v>45859</v>
      </c>
      <c r="C619">
        <f>IF(tbl_main[[#This Row],[Date]]="","",YEAR(B619))</f>
        <v>2025</v>
      </c>
      <c r="D619" t="str">
        <f>IF(tbl_main[[#This Row],[Date]]="","",TEXT(B619,"mmm"))</f>
        <v>Jul</v>
      </c>
      <c r="E619" t="str">
        <f>IF(tbl_main[[#This Row],[Date]]="","",TEXT(B619,"DDD"))</f>
        <v>Mon</v>
      </c>
      <c r="F619" t="s">
        <v>20</v>
      </c>
      <c r="G619" t="s">
        <v>39</v>
      </c>
      <c r="H619" s="3" t="s">
        <v>26</v>
      </c>
      <c r="I619" s="3" t="s">
        <v>23</v>
      </c>
      <c r="J619" s="3" t="s">
        <v>25</v>
      </c>
      <c r="K619" s="3">
        <f>_xlfn.XLOOKUP(tbl_main[[#This Row],[Service]],tbl_service[Service],tbl_service[Price],"")</f>
        <v>200</v>
      </c>
      <c r="L619" s="3">
        <v>2</v>
      </c>
      <c r="M619" s="3">
        <f>IF(AND(tbl_main[[#This Row],[Price]]="",tbl_main[[#This Row],[Qty]]=""),"",tbl_main[[#This Row],[Price]]*tbl_main[[#This Row],[Qty]])</f>
        <v>400</v>
      </c>
      <c r="N619" s="3">
        <f>_xlfn.LET(_xlpm.x,_xlfn.XLOOKUP(tbl_main[[#This Row],[Service]],tbl_service[Service],tbl_service[Profit],""),
               IF(tbl_main[[#This Row],[Qty]]="","",_xlpm.x*tbl_main[[#This Row],[Qty]]))</f>
        <v>180</v>
      </c>
    </row>
    <row r="620" spans="1:14" x14ac:dyDescent="0.25">
      <c r="A620" t="s">
        <v>662</v>
      </c>
      <c r="B620" s="1">
        <v>45860</v>
      </c>
      <c r="C620">
        <f>IF(tbl_main[[#This Row],[Date]]="","",YEAR(B620))</f>
        <v>2025</v>
      </c>
      <c r="D620" t="str">
        <f>IF(tbl_main[[#This Row],[Date]]="","",TEXT(B620,"mmm"))</f>
        <v>Jul</v>
      </c>
      <c r="E620" t="str">
        <f>IF(tbl_main[[#This Row],[Date]]="","",TEXT(B620,"DDD"))</f>
        <v>Tue</v>
      </c>
      <c r="F620" t="s">
        <v>13</v>
      </c>
      <c r="G620" t="s">
        <v>14</v>
      </c>
      <c r="H620" s="3" t="s">
        <v>26</v>
      </c>
      <c r="I620" s="3" t="s">
        <v>37</v>
      </c>
      <c r="J620" s="3" t="s">
        <v>25</v>
      </c>
      <c r="K620" s="3">
        <f>_xlfn.XLOOKUP(tbl_main[[#This Row],[Service]],tbl_service[Service],tbl_service[Price],"")</f>
        <v>200</v>
      </c>
      <c r="L620" s="3">
        <v>2</v>
      </c>
      <c r="M620" s="3">
        <f>IF(AND(tbl_main[[#This Row],[Price]]="",tbl_main[[#This Row],[Qty]]=""),"",tbl_main[[#This Row],[Price]]*tbl_main[[#This Row],[Qty]])</f>
        <v>400</v>
      </c>
      <c r="N620" s="3">
        <f>_xlfn.LET(_xlpm.x,_xlfn.XLOOKUP(tbl_main[[#This Row],[Service]],tbl_service[Service],tbl_service[Profit],""),
               IF(tbl_main[[#This Row],[Qty]]="","",_xlpm.x*tbl_main[[#This Row],[Qty]]))</f>
        <v>180</v>
      </c>
    </row>
    <row r="621" spans="1:14" x14ac:dyDescent="0.25">
      <c r="A621" t="s">
        <v>663</v>
      </c>
      <c r="B621" s="1">
        <v>45860</v>
      </c>
      <c r="C621">
        <f>IF(tbl_main[[#This Row],[Date]]="","",YEAR(B621))</f>
        <v>2025</v>
      </c>
      <c r="D621" t="str">
        <f>IF(tbl_main[[#This Row],[Date]]="","",TEXT(B621,"mmm"))</f>
        <v>Jul</v>
      </c>
      <c r="E621" t="str">
        <f>IF(tbl_main[[#This Row],[Date]]="","",TEXT(B621,"DDD"))</f>
        <v>Tue</v>
      </c>
      <c r="F621" t="s">
        <v>27</v>
      </c>
      <c r="G621" t="s">
        <v>28</v>
      </c>
      <c r="H621" s="3" t="s">
        <v>24</v>
      </c>
      <c r="I621" s="3" t="s">
        <v>38</v>
      </c>
      <c r="J621" s="3" t="s">
        <v>17</v>
      </c>
      <c r="K621" s="3">
        <f>_xlfn.XLOOKUP(tbl_main[[#This Row],[Service]],tbl_service[Service],tbl_service[Price],"")</f>
        <v>80</v>
      </c>
      <c r="L621" s="3">
        <v>1</v>
      </c>
      <c r="M621" s="3">
        <f>IF(AND(tbl_main[[#This Row],[Price]]="",tbl_main[[#This Row],[Qty]]=""),"",tbl_main[[#This Row],[Price]]*tbl_main[[#This Row],[Qty]])</f>
        <v>80</v>
      </c>
      <c r="N621" s="3">
        <f>_xlfn.LET(_xlpm.x,_xlfn.XLOOKUP(tbl_main[[#This Row],[Service]],tbl_service[Service],tbl_service[Profit],""),
               IF(tbl_main[[#This Row],[Qty]]="","",_xlpm.x*tbl_main[[#This Row],[Qty]]))</f>
        <v>36</v>
      </c>
    </row>
    <row r="622" spans="1:14" x14ac:dyDescent="0.25">
      <c r="A622" t="s">
        <v>664</v>
      </c>
      <c r="B622" s="1">
        <v>45860</v>
      </c>
      <c r="C622">
        <f>IF(tbl_main[[#This Row],[Date]]="","",YEAR(B622))</f>
        <v>2025</v>
      </c>
      <c r="D622" t="str">
        <f>IF(tbl_main[[#This Row],[Date]]="","",TEXT(B622,"mmm"))</f>
        <v>Jul</v>
      </c>
      <c r="E622" t="str">
        <f>IF(tbl_main[[#This Row],[Date]]="","",TEXT(B622,"DDD"))</f>
        <v>Tue</v>
      </c>
      <c r="F622" t="s">
        <v>27</v>
      </c>
      <c r="G622" t="s">
        <v>40</v>
      </c>
      <c r="H622" s="3" t="s">
        <v>22</v>
      </c>
      <c r="I622" s="3" t="s">
        <v>16</v>
      </c>
      <c r="J622" s="3" t="s">
        <v>25</v>
      </c>
      <c r="K622" s="3">
        <f>_xlfn.XLOOKUP(tbl_main[[#This Row],[Service]],tbl_service[Service],tbl_service[Price],"")</f>
        <v>150</v>
      </c>
      <c r="L622" s="3">
        <v>2</v>
      </c>
      <c r="M622" s="3">
        <f>IF(AND(tbl_main[[#This Row],[Price]]="",tbl_main[[#This Row],[Qty]]=""),"",tbl_main[[#This Row],[Price]]*tbl_main[[#This Row],[Qty]])</f>
        <v>300</v>
      </c>
      <c r="N622" s="3">
        <f>_xlfn.LET(_xlpm.x,_xlfn.XLOOKUP(tbl_main[[#This Row],[Service]],tbl_service[Service],tbl_service[Profit],""),
               IF(tbl_main[[#This Row],[Qty]]="","",_xlpm.x*tbl_main[[#This Row],[Qty]]))</f>
        <v>134</v>
      </c>
    </row>
    <row r="623" spans="1:14" x14ac:dyDescent="0.25">
      <c r="A623" t="s">
        <v>665</v>
      </c>
      <c r="B623" s="1">
        <v>45861</v>
      </c>
      <c r="C623">
        <f>IF(tbl_main[[#This Row],[Date]]="","",YEAR(B623))</f>
        <v>2025</v>
      </c>
      <c r="D623" t="str">
        <f>IF(tbl_main[[#This Row],[Date]]="","",TEXT(B623,"mmm"))</f>
        <v>Jul</v>
      </c>
      <c r="E623" t="str">
        <f>IF(tbl_main[[#This Row],[Date]]="","",TEXT(B623,"DDD"))</f>
        <v>Wed</v>
      </c>
      <c r="F623" t="s">
        <v>30</v>
      </c>
      <c r="G623" t="s">
        <v>36</v>
      </c>
      <c r="H623" s="3" t="s">
        <v>18</v>
      </c>
      <c r="I623" s="3" t="s">
        <v>19</v>
      </c>
      <c r="J623" s="3" t="s">
        <v>17</v>
      </c>
      <c r="K623" s="3">
        <f>_xlfn.XLOOKUP(tbl_main[[#This Row],[Service]],tbl_service[Service],tbl_service[Price],"")</f>
        <v>500</v>
      </c>
      <c r="L623" s="3">
        <v>1</v>
      </c>
      <c r="M623" s="3">
        <f>IF(AND(tbl_main[[#This Row],[Price]]="",tbl_main[[#This Row],[Qty]]=""),"",tbl_main[[#This Row],[Price]]*tbl_main[[#This Row],[Qty]])</f>
        <v>500</v>
      </c>
      <c r="N623" s="3">
        <f>_xlfn.LET(_xlpm.x,_xlfn.XLOOKUP(tbl_main[[#This Row],[Service]],tbl_service[Service],tbl_service[Profit],""),
               IF(tbl_main[[#This Row],[Qty]]="","",_xlpm.x*tbl_main[[#This Row],[Qty]]))</f>
        <v>157</v>
      </c>
    </row>
    <row r="624" spans="1:14" x14ac:dyDescent="0.25">
      <c r="A624" t="s">
        <v>666</v>
      </c>
      <c r="B624" s="1">
        <v>45861</v>
      </c>
      <c r="C624">
        <f>IF(tbl_main[[#This Row],[Date]]="","",YEAR(B624))</f>
        <v>2025</v>
      </c>
      <c r="D624" t="str">
        <f>IF(tbl_main[[#This Row],[Date]]="","",TEXT(B624,"mmm"))</f>
        <v>Jul</v>
      </c>
      <c r="E624" t="str">
        <f>IF(tbl_main[[#This Row],[Date]]="","",TEXT(B624,"DDD"))</f>
        <v>Wed</v>
      </c>
      <c r="F624" t="s">
        <v>30</v>
      </c>
      <c r="G624" t="s">
        <v>31</v>
      </c>
      <c r="H624" s="3" t="s">
        <v>18</v>
      </c>
      <c r="I624" s="3" t="s">
        <v>35</v>
      </c>
      <c r="J624" s="3" t="s">
        <v>32</v>
      </c>
      <c r="K624" s="3">
        <f>_xlfn.XLOOKUP(tbl_main[[#This Row],[Service]],tbl_service[Service],tbl_service[Price],"")</f>
        <v>500</v>
      </c>
      <c r="L624" s="3">
        <v>1</v>
      </c>
      <c r="M624" s="3">
        <f>IF(AND(tbl_main[[#This Row],[Price]]="",tbl_main[[#This Row],[Qty]]=""),"",tbl_main[[#This Row],[Price]]*tbl_main[[#This Row],[Qty]])</f>
        <v>500</v>
      </c>
      <c r="N624" s="3">
        <f>_xlfn.LET(_xlpm.x,_xlfn.XLOOKUP(tbl_main[[#This Row],[Service]],tbl_service[Service],tbl_service[Profit],""),
               IF(tbl_main[[#This Row],[Qty]]="","",_xlpm.x*tbl_main[[#This Row],[Qty]]))</f>
        <v>157</v>
      </c>
    </row>
    <row r="625" spans="1:14" x14ac:dyDescent="0.25">
      <c r="A625" t="s">
        <v>667</v>
      </c>
      <c r="B625" s="1">
        <v>45862</v>
      </c>
      <c r="C625">
        <f>IF(tbl_main[[#This Row],[Date]]="","",YEAR(B625))</f>
        <v>2025</v>
      </c>
      <c r="D625" t="str">
        <f>IF(tbl_main[[#This Row],[Date]]="","",TEXT(B625,"mmm"))</f>
        <v>Jul</v>
      </c>
      <c r="E625" t="str">
        <f>IF(tbl_main[[#This Row],[Date]]="","",TEXT(B625,"DDD"))</f>
        <v>Thu</v>
      </c>
      <c r="F625" t="s">
        <v>30</v>
      </c>
      <c r="G625" t="s">
        <v>36</v>
      </c>
      <c r="H625" s="3" t="s">
        <v>26</v>
      </c>
      <c r="I625" s="3" t="s">
        <v>41</v>
      </c>
      <c r="J625" s="3" t="s">
        <v>17</v>
      </c>
      <c r="K625" s="3">
        <f>_xlfn.XLOOKUP(tbl_main[[#This Row],[Service]],tbl_service[Service],tbl_service[Price],"")</f>
        <v>200</v>
      </c>
      <c r="L625" s="3">
        <v>2</v>
      </c>
      <c r="M625" s="3">
        <f>IF(AND(tbl_main[[#This Row],[Price]]="",tbl_main[[#This Row],[Qty]]=""),"",tbl_main[[#This Row],[Price]]*tbl_main[[#This Row],[Qty]])</f>
        <v>400</v>
      </c>
      <c r="N625" s="3">
        <f>_xlfn.LET(_xlpm.x,_xlfn.XLOOKUP(tbl_main[[#This Row],[Service]],tbl_service[Service],tbl_service[Profit],""),
               IF(tbl_main[[#This Row],[Qty]]="","",_xlpm.x*tbl_main[[#This Row],[Qty]]))</f>
        <v>180</v>
      </c>
    </row>
    <row r="626" spans="1:14" x14ac:dyDescent="0.25">
      <c r="A626" t="s">
        <v>668</v>
      </c>
      <c r="B626" s="1">
        <v>45862</v>
      </c>
      <c r="C626">
        <f>IF(tbl_main[[#This Row],[Date]]="","",YEAR(B626))</f>
        <v>2025</v>
      </c>
      <c r="D626" t="str">
        <f>IF(tbl_main[[#This Row],[Date]]="","",TEXT(B626,"mmm"))</f>
        <v>Jul</v>
      </c>
      <c r="E626" t="str">
        <f>IF(tbl_main[[#This Row],[Date]]="","",TEXT(B626,"DDD"))</f>
        <v>Thu</v>
      </c>
      <c r="F626" t="s">
        <v>13</v>
      </c>
      <c r="G626" t="s">
        <v>14</v>
      </c>
      <c r="H626" s="3" t="s">
        <v>26</v>
      </c>
      <c r="I626" s="3" t="s">
        <v>41</v>
      </c>
      <c r="J626" s="3" t="s">
        <v>25</v>
      </c>
      <c r="K626" s="3">
        <f>_xlfn.XLOOKUP(tbl_main[[#This Row],[Service]],tbl_service[Service],tbl_service[Price],"")</f>
        <v>200</v>
      </c>
      <c r="L626" s="3">
        <v>1</v>
      </c>
      <c r="M626" s="3">
        <f>IF(AND(tbl_main[[#This Row],[Price]]="",tbl_main[[#This Row],[Qty]]=""),"",tbl_main[[#This Row],[Price]]*tbl_main[[#This Row],[Qty]])</f>
        <v>200</v>
      </c>
      <c r="N626" s="3">
        <f>_xlfn.LET(_xlpm.x,_xlfn.XLOOKUP(tbl_main[[#This Row],[Service]],tbl_service[Service],tbl_service[Profit],""),
               IF(tbl_main[[#This Row],[Qty]]="","",_xlpm.x*tbl_main[[#This Row],[Qty]]))</f>
        <v>90</v>
      </c>
    </row>
    <row r="627" spans="1:14" x14ac:dyDescent="0.25">
      <c r="A627" t="s">
        <v>669</v>
      </c>
      <c r="B627" s="1">
        <v>45862</v>
      </c>
      <c r="C627">
        <f>IF(tbl_main[[#This Row],[Date]]="","",YEAR(B627))</f>
        <v>2025</v>
      </c>
      <c r="D627" t="str">
        <f>IF(tbl_main[[#This Row],[Date]]="","",TEXT(B627,"mmm"))</f>
        <v>Jul</v>
      </c>
      <c r="E627" t="str">
        <f>IF(tbl_main[[#This Row],[Date]]="","",TEXT(B627,"DDD"))</f>
        <v>Thu</v>
      </c>
      <c r="F627" t="s">
        <v>20</v>
      </c>
      <c r="G627" t="s">
        <v>39</v>
      </c>
      <c r="H627" s="3" t="s">
        <v>34</v>
      </c>
      <c r="I627" s="3" t="s">
        <v>35</v>
      </c>
      <c r="J627" s="3" t="s">
        <v>32</v>
      </c>
      <c r="K627" s="3">
        <f>_xlfn.XLOOKUP(tbl_main[[#This Row],[Service]],tbl_service[Service],tbl_service[Price],"")</f>
        <v>100</v>
      </c>
      <c r="L627" s="3">
        <v>1</v>
      </c>
      <c r="M627" s="3">
        <f>IF(AND(tbl_main[[#This Row],[Price]]="",tbl_main[[#This Row],[Qty]]=""),"",tbl_main[[#This Row],[Price]]*tbl_main[[#This Row],[Qty]])</f>
        <v>100</v>
      </c>
      <c r="N627" s="3">
        <f>_xlfn.LET(_xlpm.x,_xlfn.XLOOKUP(tbl_main[[#This Row],[Service]],tbl_service[Service],tbl_service[Profit],""),
               IF(tbl_main[[#This Row],[Qty]]="","",_xlpm.x*tbl_main[[#This Row],[Qty]]))</f>
        <v>45</v>
      </c>
    </row>
    <row r="628" spans="1:14" x14ac:dyDescent="0.25">
      <c r="A628" t="s">
        <v>670</v>
      </c>
      <c r="B628" s="1">
        <v>45863</v>
      </c>
      <c r="C628">
        <f>IF(tbl_main[[#This Row],[Date]]="","",YEAR(B628))</f>
        <v>2025</v>
      </c>
      <c r="D628" t="str">
        <f>IF(tbl_main[[#This Row],[Date]]="","",TEXT(B628,"mmm"))</f>
        <v>Jul</v>
      </c>
      <c r="E628" t="str">
        <f>IF(tbl_main[[#This Row],[Date]]="","",TEXT(B628,"DDD"))</f>
        <v>Fri</v>
      </c>
      <c r="F628" t="s">
        <v>13</v>
      </c>
      <c r="G628" t="s">
        <v>14</v>
      </c>
      <c r="H628" s="3" t="s">
        <v>18</v>
      </c>
      <c r="I628" s="3" t="s">
        <v>35</v>
      </c>
      <c r="J628" s="3" t="s">
        <v>17</v>
      </c>
      <c r="K628" s="3">
        <f>_xlfn.XLOOKUP(tbl_main[[#This Row],[Service]],tbl_service[Service],tbl_service[Price],"")</f>
        <v>500</v>
      </c>
      <c r="L628" s="3">
        <v>2</v>
      </c>
      <c r="M628" s="3">
        <f>IF(AND(tbl_main[[#This Row],[Price]]="",tbl_main[[#This Row],[Qty]]=""),"",tbl_main[[#This Row],[Price]]*tbl_main[[#This Row],[Qty]])</f>
        <v>1000</v>
      </c>
      <c r="N628" s="3">
        <f>_xlfn.LET(_xlpm.x,_xlfn.XLOOKUP(tbl_main[[#This Row],[Service]],tbl_service[Service],tbl_service[Profit],""),
               IF(tbl_main[[#This Row],[Qty]]="","",_xlpm.x*tbl_main[[#This Row],[Qty]]))</f>
        <v>314</v>
      </c>
    </row>
    <row r="629" spans="1:14" x14ac:dyDescent="0.25">
      <c r="A629" t="s">
        <v>671</v>
      </c>
      <c r="B629" s="1">
        <v>45863</v>
      </c>
      <c r="C629">
        <f>IF(tbl_main[[#This Row],[Date]]="","",YEAR(B629))</f>
        <v>2025</v>
      </c>
      <c r="D629" t="str">
        <f>IF(tbl_main[[#This Row],[Date]]="","",TEXT(B629,"mmm"))</f>
        <v>Jul</v>
      </c>
      <c r="E629" t="str">
        <f>IF(tbl_main[[#This Row],[Date]]="","",TEXT(B629,"DDD"))</f>
        <v>Fri</v>
      </c>
      <c r="F629" t="s">
        <v>27</v>
      </c>
      <c r="G629" t="s">
        <v>40</v>
      </c>
      <c r="H629" s="3" t="s">
        <v>34</v>
      </c>
      <c r="I629" s="3" t="s">
        <v>23</v>
      </c>
      <c r="J629" s="3" t="s">
        <v>25</v>
      </c>
      <c r="K629" s="3">
        <f>_xlfn.XLOOKUP(tbl_main[[#This Row],[Service]],tbl_service[Service],tbl_service[Price],"")</f>
        <v>100</v>
      </c>
      <c r="L629" s="3">
        <v>1</v>
      </c>
      <c r="M629" s="3">
        <f>IF(AND(tbl_main[[#This Row],[Price]]="",tbl_main[[#This Row],[Qty]]=""),"",tbl_main[[#This Row],[Price]]*tbl_main[[#This Row],[Qty]])</f>
        <v>100</v>
      </c>
      <c r="N629" s="3">
        <f>_xlfn.LET(_xlpm.x,_xlfn.XLOOKUP(tbl_main[[#This Row],[Service]],tbl_service[Service],tbl_service[Profit],""),
               IF(tbl_main[[#This Row],[Qty]]="","",_xlpm.x*tbl_main[[#This Row],[Qty]]))</f>
        <v>45</v>
      </c>
    </row>
    <row r="630" spans="1:14" x14ac:dyDescent="0.25">
      <c r="A630" t="s">
        <v>672</v>
      </c>
      <c r="B630" s="1">
        <v>45864</v>
      </c>
      <c r="C630">
        <f>IF(tbl_main[[#This Row],[Date]]="","",YEAR(B630))</f>
        <v>2025</v>
      </c>
      <c r="D630" t="str">
        <f>IF(tbl_main[[#This Row],[Date]]="","",TEXT(B630,"mmm"))</f>
        <v>Jul</v>
      </c>
      <c r="E630" t="str">
        <f>IF(tbl_main[[#This Row],[Date]]="","",TEXT(B630,"DDD"))</f>
        <v>Sat</v>
      </c>
      <c r="F630" t="s">
        <v>20</v>
      </c>
      <c r="G630" t="s">
        <v>39</v>
      </c>
      <c r="H630" s="3" t="s">
        <v>18</v>
      </c>
      <c r="I630" s="3" t="s">
        <v>37</v>
      </c>
      <c r="J630" s="3" t="s">
        <v>32</v>
      </c>
      <c r="K630" s="3">
        <f>_xlfn.XLOOKUP(tbl_main[[#This Row],[Service]],tbl_service[Service],tbl_service[Price],"")</f>
        <v>500</v>
      </c>
      <c r="L630" s="3">
        <v>2</v>
      </c>
      <c r="M630" s="3">
        <f>IF(AND(tbl_main[[#This Row],[Price]]="",tbl_main[[#This Row],[Qty]]=""),"",tbl_main[[#This Row],[Price]]*tbl_main[[#This Row],[Qty]])</f>
        <v>1000</v>
      </c>
      <c r="N630" s="3">
        <f>_xlfn.LET(_xlpm.x,_xlfn.XLOOKUP(tbl_main[[#This Row],[Service]],tbl_service[Service],tbl_service[Profit],""),
               IF(tbl_main[[#This Row],[Qty]]="","",_xlpm.x*tbl_main[[#This Row],[Qty]]))</f>
        <v>314</v>
      </c>
    </row>
    <row r="631" spans="1:14" x14ac:dyDescent="0.25">
      <c r="A631" t="s">
        <v>673</v>
      </c>
      <c r="B631" s="1">
        <v>45864</v>
      </c>
      <c r="C631">
        <f>IF(tbl_main[[#This Row],[Date]]="","",YEAR(B631))</f>
        <v>2025</v>
      </c>
      <c r="D631" t="str">
        <f>IF(tbl_main[[#This Row],[Date]]="","",TEXT(B631,"mmm"))</f>
        <v>Jul</v>
      </c>
      <c r="E631" t="str">
        <f>IF(tbl_main[[#This Row],[Date]]="","",TEXT(B631,"DDD"))</f>
        <v>Sat</v>
      </c>
      <c r="F631" t="s">
        <v>20</v>
      </c>
      <c r="G631" t="s">
        <v>39</v>
      </c>
      <c r="H631" s="3" t="s">
        <v>22</v>
      </c>
      <c r="I631" s="3" t="s">
        <v>38</v>
      </c>
      <c r="J631" s="3" t="s">
        <v>32</v>
      </c>
      <c r="K631" s="3">
        <f>_xlfn.XLOOKUP(tbl_main[[#This Row],[Service]],tbl_service[Service],tbl_service[Price],"")</f>
        <v>150</v>
      </c>
      <c r="L631" s="3">
        <v>1</v>
      </c>
      <c r="M631" s="3">
        <f>IF(AND(tbl_main[[#This Row],[Price]]="",tbl_main[[#This Row],[Qty]]=""),"",tbl_main[[#This Row],[Price]]*tbl_main[[#This Row],[Qty]])</f>
        <v>150</v>
      </c>
      <c r="N631" s="3">
        <f>_xlfn.LET(_xlpm.x,_xlfn.XLOOKUP(tbl_main[[#This Row],[Service]],tbl_service[Service],tbl_service[Profit],""),
               IF(tbl_main[[#This Row],[Qty]]="","",_xlpm.x*tbl_main[[#This Row],[Qty]]))</f>
        <v>67</v>
      </c>
    </row>
    <row r="632" spans="1:14" x14ac:dyDescent="0.25">
      <c r="A632" t="s">
        <v>674</v>
      </c>
      <c r="B632" s="1">
        <v>45864</v>
      </c>
      <c r="C632">
        <f>IF(tbl_main[[#This Row],[Date]]="","",YEAR(B632))</f>
        <v>2025</v>
      </c>
      <c r="D632" t="str">
        <f>IF(tbl_main[[#This Row],[Date]]="","",TEXT(B632,"mmm"))</f>
        <v>Jul</v>
      </c>
      <c r="E632" t="str">
        <f>IF(tbl_main[[#This Row],[Date]]="","",TEXT(B632,"DDD"))</f>
        <v>Sat</v>
      </c>
      <c r="F632" t="s">
        <v>27</v>
      </c>
      <c r="G632" t="s">
        <v>28</v>
      </c>
      <c r="H632" s="3" t="s">
        <v>26</v>
      </c>
      <c r="I632" s="3" t="s">
        <v>16</v>
      </c>
      <c r="J632" s="3" t="s">
        <v>17</v>
      </c>
      <c r="K632" s="3">
        <f>_xlfn.XLOOKUP(tbl_main[[#This Row],[Service]],tbl_service[Service],tbl_service[Price],"")</f>
        <v>200</v>
      </c>
      <c r="L632" s="3">
        <v>2</v>
      </c>
      <c r="M632" s="3">
        <f>IF(AND(tbl_main[[#This Row],[Price]]="",tbl_main[[#This Row],[Qty]]=""),"",tbl_main[[#This Row],[Price]]*tbl_main[[#This Row],[Qty]])</f>
        <v>400</v>
      </c>
      <c r="N632" s="3">
        <f>_xlfn.LET(_xlpm.x,_xlfn.XLOOKUP(tbl_main[[#This Row],[Service]],tbl_service[Service],tbl_service[Profit],""),
               IF(tbl_main[[#This Row],[Qty]]="","",_xlpm.x*tbl_main[[#This Row],[Qty]]))</f>
        <v>180</v>
      </c>
    </row>
    <row r="633" spans="1:14" x14ac:dyDescent="0.25">
      <c r="A633" t="s">
        <v>675</v>
      </c>
      <c r="B633" s="1">
        <v>45864</v>
      </c>
      <c r="C633">
        <f>IF(tbl_main[[#This Row],[Date]]="","",YEAR(B633))</f>
        <v>2025</v>
      </c>
      <c r="D633" t="str">
        <f>IF(tbl_main[[#This Row],[Date]]="","",TEXT(B633,"mmm"))</f>
        <v>Jul</v>
      </c>
      <c r="E633" t="str">
        <f>IF(tbl_main[[#This Row],[Date]]="","",TEXT(B633,"DDD"))</f>
        <v>Sat</v>
      </c>
      <c r="F633" t="s">
        <v>27</v>
      </c>
      <c r="G633" t="s">
        <v>40</v>
      </c>
      <c r="H633" s="3" t="s">
        <v>18</v>
      </c>
      <c r="I633" s="3" t="s">
        <v>19</v>
      </c>
      <c r="J633" s="3" t="s">
        <v>32</v>
      </c>
      <c r="K633" s="3">
        <f>_xlfn.XLOOKUP(tbl_main[[#This Row],[Service]],tbl_service[Service],tbl_service[Price],"")</f>
        <v>500</v>
      </c>
      <c r="L633" s="3">
        <v>2</v>
      </c>
      <c r="M633" s="3">
        <f>IF(AND(tbl_main[[#This Row],[Price]]="",tbl_main[[#This Row],[Qty]]=""),"",tbl_main[[#This Row],[Price]]*tbl_main[[#This Row],[Qty]])</f>
        <v>1000</v>
      </c>
      <c r="N633" s="3">
        <f>_xlfn.LET(_xlpm.x,_xlfn.XLOOKUP(tbl_main[[#This Row],[Service]],tbl_service[Service],tbl_service[Profit],""),
               IF(tbl_main[[#This Row],[Qty]]="","",_xlpm.x*tbl_main[[#This Row],[Qty]]))</f>
        <v>314</v>
      </c>
    </row>
    <row r="634" spans="1:14" x14ac:dyDescent="0.25">
      <c r="A634" t="s">
        <v>676</v>
      </c>
      <c r="B634" s="1">
        <v>45865</v>
      </c>
      <c r="C634">
        <f>IF(tbl_main[[#This Row],[Date]]="","",YEAR(B634))</f>
        <v>2025</v>
      </c>
      <c r="D634" t="str">
        <f>IF(tbl_main[[#This Row],[Date]]="","",TEXT(B634,"mmm"))</f>
        <v>Jul</v>
      </c>
      <c r="E634" t="str">
        <f>IF(tbl_main[[#This Row],[Date]]="","",TEXT(B634,"DDD"))</f>
        <v>Sun</v>
      </c>
      <c r="F634" t="s">
        <v>13</v>
      </c>
      <c r="G634" t="s">
        <v>14</v>
      </c>
      <c r="H634" s="3" t="s">
        <v>24</v>
      </c>
      <c r="I634" s="3" t="s">
        <v>35</v>
      </c>
      <c r="J634" s="3" t="s">
        <v>25</v>
      </c>
      <c r="K634" s="3">
        <f>_xlfn.XLOOKUP(tbl_main[[#This Row],[Service]],tbl_service[Service],tbl_service[Price],"")</f>
        <v>80</v>
      </c>
      <c r="L634" s="3">
        <v>1</v>
      </c>
      <c r="M634" s="3">
        <f>IF(AND(tbl_main[[#This Row],[Price]]="",tbl_main[[#This Row],[Qty]]=""),"",tbl_main[[#This Row],[Price]]*tbl_main[[#This Row],[Qty]])</f>
        <v>80</v>
      </c>
      <c r="N634" s="3">
        <f>_xlfn.LET(_xlpm.x,_xlfn.XLOOKUP(tbl_main[[#This Row],[Service]],tbl_service[Service],tbl_service[Profit],""),
               IF(tbl_main[[#This Row],[Qty]]="","",_xlpm.x*tbl_main[[#This Row],[Qty]]))</f>
        <v>36</v>
      </c>
    </row>
    <row r="635" spans="1:14" x14ac:dyDescent="0.25">
      <c r="A635" t="s">
        <v>677</v>
      </c>
      <c r="B635" s="1">
        <v>45865</v>
      </c>
      <c r="C635">
        <f>IF(tbl_main[[#This Row],[Date]]="","",YEAR(B635))</f>
        <v>2025</v>
      </c>
      <c r="D635" t="str">
        <f>IF(tbl_main[[#This Row],[Date]]="","",TEXT(B635,"mmm"))</f>
        <v>Jul</v>
      </c>
      <c r="E635" t="str">
        <f>IF(tbl_main[[#This Row],[Date]]="","",TEXT(B635,"DDD"))</f>
        <v>Sun</v>
      </c>
      <c r="F635" t="s">
        <v>27</v>
      </c>
      <c r="G635" t="s">
        <v>28</v>
      </c>
      <c r="H635" s="3" t="s">
        <v>26</v>
      </c>
      <c r="I635" s="3" t="s">
        <v>41</v>
      </c>
      <c r="J635" s="3" t="s">
        <v>25</v>
      </c>
      <c r="K635" s="3">
        <f>_xlfn.XLOOKUP(tbl_main[[#This Row],[Service]],tbl_service[Service],tbl_service[Price],"")</f>
        <v>200</v>
      </c>
      <c r="L635" s="3">
        <v>1</v>
      </c>
      <c r="M635" s="3">
        <f>IF(AND(tbl_main[[#This Row],[Price]]="",tbl_main[[#This Row],[Qty]]=""),"",tbl_main[[#This Row],[Price]]*tbl_main[[#This Row],[Qty]])</f>
        <v>200</v>
      </c>
      <c r="N635" s="3">
        <f>_xlfn.LET(_xlpm.x,_xlfn.XLOOKUP(tbl_main[[#This Row],[Service]],tbl_service[Service],tbl_service[Profit],""),
               IF(tbl_main[[#This Row],[Qty]]="","",_xlpm.x*tbl_main[[#This Row],[Qty]]))</f>
        <v>90</v>
      </c>
    </row>
    <row r="636" spans="1:14" x14ac:dyDescent="0.25">
      <c r="A636" t="s">
        <v>678</v>
      </c>
      <c r="B636" s="1">
        <v>45865</v>
      </c>
      <c r="C636">
        <f>IF(tbl_main[[#This Row],[Date]]="","",YEAR(B636))</f>
        <v>2025</v>
      </c>
      <c r="D636" t="str">
        <f>IF(tbl_main[[#This Row],[Date]]="","",TEXT(B636,"mmm"))</f>
        <v>Jul</v>
      </c>
      <c r="E636" t="str">
        <f>IF(tbl_main[[#This Row],[Date]]="","",TEXT(B636,"DDD"))</f>
        <v>Sun</v>
      </c>
      <c r="F636" t="s">
        <v>13</v>
      </c>
      <c r="G636" t="s">
        <v>33</v>
      </c>
      <c r="H636" s="3" t="s">
        <v>34</v>
      </c>
      <c r="I636" s="3" t="s">
        <v>41</v>
      </c>
      <c r="J636" s="3" t="s">
        <v>25</v>
      </c>
      <c r="K636" s="3">
        <f>_xlfn.XLOOKUP(tbl_main[[#This Row],[Service]],tbl_service[Service],tbl_service[Price],"")</f>
        <v>100</v>
      </c>
      <c r="L636" s="3">
        <v>2</v>
      </c>
      <c r="M636" s="3">
        <f>IF(AND(tbl_main[[#This Row],[Price]]="",tbl_main[[#This Row],[Qty]]=""),"",tbl_main[[#This Row],[Price]]*tbl_main[[#This Row],[Qty]])</f>
        <v>200</v>
      </c>
      <c r="N636" s="3">
        <f>_xlfn.LET(_xlpm.x,_xlfn.XLOOKUP(tbl_main[[#This Row],[Service]],tbl_service[Service],tbl_service[Profit],""),
               IF(tbl_main[[#This Row],[Qty]]="","",_xlpm.x*tbl_main[[#This Row],[Qty]]))</f>
        <v>90</v>
      </c>
    </row>
    <row r="637" spans="1:14" x14ac:dyDescent="0.25">
      <c r="A637" t="s">
        <v>679</v>
      </c>
      <c r="B637" s="1">
        <v>45865</v>
      </c>
      <c r="C637">
        <f>IF(tbl_main[[#This Row],[Date]]="","",YEAR(B637))</f>
        <v>2025</v>
      </c>
      <c r="D637" t="str">
        <f>IF(tbl_main[[#This Row],[Date]]="","",TEXT(B637,"mmm"))</f>
        <v>Jul</v>
      </c>
      <c r="E637" t="str">
        <f>IF(tbl_main[[#This Row],[Date]]="","",TEXT(B637,"DDD"))</f>
        <v>Sun</v>
      </c>
      <c r="F637" t="s">
        <v>20</v>
      </c>
      <c r="G637" t="s">
        <v>29</v>
      </c>
      <c r="H637" s="3" t="s">
        <v>18</v>
      </c>
      <c r="I637" s="3" t="s">
        <v>35</v>
      </c>
      <c r="J637" s="3" t="s">
        <v>17</v>
      </c>
      <c r="K637" s="3">
        <f>_xlfn.XLOOKUP(tbl_main[[#This Row],[Service]],tbl_service[Service],tbl_service[Price],"")</f>
        <v>500</v>
      </c>
      <c r="L637" s="3">
        <v>2</v>
      </c>
      <c r="M637" s="3">
        <f>IF(AND(tbl_main[[#This Row],[Price]]="",tbl_main[[#This Row],[Qty]]=""),"",tbl_main[[#This Row],[Price]]*tbl_main[[#This Row],[Qty]])</f>
        <v>1000</v>
      </c>
      <c r="N637" s="3">
        <f>_xlfn.LET(_xlpm.x,_xlfn.XLOOKUP(tbl_main[[#This Row],[Service]],tbl_service[Service],tbl_service[Profit],""),
               IF(tbl_main[[#This Row],[Qty]]="","",_xlpm.x*tbl_main[[#This Row],[Qty]]))</f>
        <v>314</v>
      </c>
    </row>
    <row r="638" spans="1:14" x14ac:dyDescent="0.25">
      <c r="A638" t="s">
        <v>680</v>
      </c>
      <c r="B638" s="1">
        <v>45866</v>
      </c>
      <c r="C638">
        <f>IF(tbl_main[[#This Row],[Date]]="","",YEAR(B638))</f>
        <v>2025</v>
      </c>
      <c r="D638" t="str">
        <f>IF(tbl_main[[#This Row],[Date]]="","",TEXT(B638,"mmm"))</f>
        <v>Jul</v>
      </c>
      <c r="E638" t="str">
        <f>IF(tbl_main[[#This Row],[Date]]="","",TEXT(B638,"DDD"))</f>
        <v>Mon</v>
      </c>
      <c r="F638" t="s">
        <v>20</v>
      </c>
      <c r="G638" t="s">
        <v>29</v>
      </c>
      <c r="H638" s="3" t="s">
        <v>34</v>
      </c>
      <c r="I638" s="3" t="s">
        <v>35</v>
      </c>
      <c r="J638" s="3" t="s">
        <v>25</v>
      </c>
      <c r="K638" s="3">
        <f>_xlfn.XLOOKUP(tbl_main[[#This Row],[Service]],tbl_service[Service],tbl_service[Price],"")</f>
        <v>100</v>
      </c>
      <c r="L638" s="3">
        <v>2</v>
      </c>
      <c r="M638" s="3">
        <f>IF(AND(tbl_main[[#This Row],[Price]]="",tbl_main[[#This Row],[Qty]]=""),"",tbl_main[[#This Row],[Price]]*tbl_main[[#This Row],[Qty]])</f>
        <v>200</v>
      </c>
      <c r="N638" s="3">
        <f>_xlfn.LET(_xlpm.x,_xlfn.XLOOKUP(tbl_main[[#This Row],[Service]],tbl_service[Service],tbl_service[Profit],""),
               IF(tbl_main[[#This Row],[Qty]]="","",_xlpm.x*tbl_main[[#This Row],[Qty]]))</f>
        <v>90</v>
      </c>
    </row>
    <row r="639" spans="1:14" x14ac:dyDescent="0.25">
      <c r="A639" t="s">
        <v>681</v>
      </c>
      <c r="B639" s="1">
        <v>45866</v>
      </c>
      <c r="C639">
        <f>IF(tbl_main[[#This Row],[Date]]="","",YEAR(B639))</f>
        <v>2025</v>
      </c>
      <c r="D639" t="str">
        <f>IF(tbl_main[[#This Row],[Date]]="","",TEXT(B639,"mmm"))</f>
        <v>Jul</v>
      </c>
      <c r="E639" t="str">
        <f>IF(tbl_main[[#This Row],[Date]]="","",TEXT(B639,"DDD"))</f>
        <v>Mon</v>
      </c>
      <c r="F639" t="s">
        <v>20</v>
      </c>
      <c r="G639" t="s">
        <v>29</v>
      </c>
      <c r="H639" s="3" t="s">
        <v>26</v>
      </c>
      <c r="I639" s="3" t="s">
        <v>23</v>
      </c>
      <c r="J639" s="3" t="s">
        <v>25</v>
      </c>
      <c r="K639" s="3">
        <f>_xlfn.XLOOKUP(tbl_main[[#This Row],[Service]],tbl_service[Service],tbl_service[Price],"")</f>
        <v>200</v>
      </c>
      <c r="L639" s="3">
        <v>2</v>
      </c>
      <c r="M639" s="3">
        <f>IF(AND(tbl_main[[#This Row],[Price]]="",tbl_main[[#This Row],[Qty]]=""),"",tbl_main[[#This Row],[Price]]*tbl_main[[#This Row],[Qty]])</f>
        <v>400</v>
      </c>
      <c r="N639" s="3">
        <f>_xlfn.LET(_xlpm.x,_xlfn.XLOOKUP(tbl_main[[#This Row],[Service]],tbl_service[Service],tbl_service[Profit],""),
               IF(tbl_main[[#This Row],[Qty]]="","",_xlpm.x*tbl_main[[#This Row],[Qty]]))</f>
        <v>180</v>
      </c>
    </row>
    <row r="640" spans="1:14" x14ac:dyDescent="0.25">
      <c r="A640" t="s">
        <v>682</v>
      </c>
      <c r="B640" s="1">
        <v>45866</v>
      </c>
      <c r="C640">
        <f>IF(tbl_main[[#This Row],[Date]]="","",YEAR(B640))</f>
        <v>2025</v>
      </c>
      <c r="D640" t="str">
        <f>IF(tbl_main[[#This Row],[Date]]="","",TEXT(B640,"mmm"))</f>
        <v>Jul</v>
      </c>
      <c r="E640" t="str">
        <f>IF(tbl_main[[#This Row],[Date]]="","",TEXT(B640,"DDD"))</f>
        <v>Mon</v>
      </c>
      <c r="F640" t="s">
        <v>20</v>
      </c>
      <c r="G640" t="s">
        <v>21</v>
      </c>
      <c r="H640" s="3" t="s">
        <v>15</v>
      </c>
      <c r="I640" s="3" t="s">
        <v>37</v>
      </c>
      <c r="J640" s="3" t="s">
        <v>25</v>
      </c>
      <c r="K640" s="3">
        <f>_xlfn.XLOOKUP(tbl_main[[#This Row],[Service]],tbl_service[Service],tbl_service[Price],"")</f>
        <v>500</v>
      </c>
      <c r="L640" s="3">
        <v>1</v>
      </c>
      <c r="M640" s="3">
        <f>IF(AND(tbl_main[[#This Row],[Price]]="",tbl_main[[#This Row],[Qty]]=""),"",tbl_main[[#This Row],[Price]]*tbl_main[[#This Row],[Qty]])</f>
        <v>500</v>
      </c>
      <c r="N640" s="3">
        <f>_xlfn.LET(_xlpm.x,_xlfn.XLOOKUP(tbl_main[[#This Row],[Service]],tbl_service[Service],tbl_service[Profit],""),
               IF(tbl_main[[#This Row],[Qty]]="","",_xlpm.x*tbl_main[[#This Row],[Qty]]))</f>
        <v>225</v>
      </c>
    </row>
    <row r="641" spans="1:14" x14ac:dyDescent="0.25">
      <c r="A641" t="s">
        <v>683</v>
      </c>
      <c r="B641" s="1">
        <v>45866</v>
      </c>
      <c r="C641">
        <f>IF(tbl_main[[#This Row],[Date]]="","",YEAR(B641))</f>
        <v>2025</v>
      </c>
      <c r="D641" t="str">
        <f>IF(tbl_main[[#This Row],[Date]]="","",TEXT(B641,"mmm"))</f>
        <v>Jul</v>
      </c>
      <c r="E641" t="str">
        <f>IF(tbl_main[[#This Row],[Date]]="","",TEXT(B641,"DDD"))</f>
        <v>Mon</v>
      </c>
      <c r="F641" t="s">
        <v>20</v>
      </c>
      <c r="G641" t="s">
        <v>39</v>
      </c>
      <c r="H641" s="3" t="s">
        <v>18</v>
      </c>
      <c r="I641" s="3" t="s">
        <v>38</v>
      </c>
      <c r="J641" s="3" t="s">
        <v>17</v>
      </c>
      <c r="K641" s="3">
        <f>_xlfn.XLOOKUP(tbl_main[[#This Row],[Service]],tbl_service[Service],tbl_service[Price],"")</f>
        <v>500</v>
      </c>
      <c r="L641" s="3">
        <v>2</v>
      </c>
      <c r="M641" s="3">
        <f>IF(AND(tbl_main[[#This Row],[Price]]="",tbl_main[[#This Row],[Qty]]=""),"",tbl_main[[#This Row],[Price]]*tbl_main[[#This Row],[Qty]])</f>
        <v>1000</v>
      </c>
      <c r="N641" s="3">
        <f>_xlfn.LET(_xlpm.x,_xlfn.XLOOKUP(tbl_main[[#This Row],[Service]],tbl_service[Service],tbl_service[Profit],""),
               IF(tbl_main[[#This Row],[Qty]]="","",_xlpm.x*tbl_main[[#This Row],[Qty]]))</f>
        <v>314</v>
      </c>
    </row>
    <row r="642" spans="1:14" x14ac:dyDescent="0.25">
      <c r="A642" t="s">
        <v>684</v>
      </c>
      <c r="B642" s="1">
        <v>45867</v>
      </c>
      <c r="C642">
        <f>IF(tbl_main[[#This Row],[Date]]="","",YEAR(B642))</f>
        <v>2025</v>
      </c>
      <c r="D642" t="str">
        <f>IF(tbl_main[[#This Row],[Date]]="","",TEXT(B642,"mmm"))</f>
        <v>Jul</v>
      </c>
      <c r="E642" t="str">
        <f>IF(tbl_main[[#This Row],[Date]]="","",TEXT(B642,"DDD"))</f>
        <v>Tue</v>
      </c>
      <c r="F642" t="s">
        <v>13</v>
      </c>
      <c r="G642" t="s">
        <v>33</v>
      </c>
      <c r="H642" s="3" t="s">
        <v>24</v>
      </c>
      <c r="I642" s="3" t="s">
        <v>16</v>
      </c>
      <c r="J642" s="3" t="s">
        <v>25</v>
      </c>
      <c r="K642" s="3">
        <f>_xlfn.XLOOKUP(tbl_main[[#This Row],[Service]],tbl_service[Service],tbl_service[Price],"")</f>
        <v>80</v>
      </c>
      <c r="L642" s="3">
        <v>2</v>
      </c>
      <c r="M642" s="3">
        <f>IF(AND(tbl_main[[#This Row],[Price]]="",tbl_main[[#This Row],[Qty]]=""),"",tbl_main[[#This Row],[Price]]*tbl_main[[#This Row],[Qty]])</f>
        <v>160</v>
      </c>
      <c r="N642" s="3">
        <f>_xlfn.LET(_xlpm.x,_xlfn.XLOOKUP(tbl_main[[#This Row],[Service]],tbl_service[Service],tbl_service[Profit],""),
               IF(tbl_main[[#This Row],[Qty]]="","",_xlpm.x*tbl_main[[#This Row],[Qty]]))</f>
        <v>72</v>
      </c>
    </row>
    <row r="643" spans="1:14" x14ac:dyDescent="0.25">
      <c r="A643" t="s">
        <v>685</v>
      </c>
      <c r="B643" s="1">
        <v>45867</v>
      </c>
      <c r="C643">
        <f>IF(tbl_main[[#This Row],[Date]]="","",YEAR(B643))</f>
        <v>2025</v>
      </c>
      <c r="D643" t="str">
        <f>IF(tbl_main[[#This Row],[Date]]="","",TEXT(B643,"mmm"))</f>
        <v>Jul</v>
      </c>
      <c r="E643" t="str">
        <f>IF(tbl_main[[#This Row],[Date]]="","",TEXT(B643,"DDD"))</f>
        <v>Tue</v>
      </c>
      <c r="F643" t="s">
        <v>13</v>
      </c>
      <c r="G643" t="s">
        <v>33</v>
      </c>
      <c r="H643" s="3" t="s">
        <v>18</v>
      </c>
      <c r="I643" s="3" t="s">
        <v>19</v>
      </c>
      <c r="J643" s="3" t="s">
        <v>25</v>
      </c>
      <c r="K643" s="3">
        <f>_xlfn.XLOOKUP(tbl_main[[#This Row],[Service]],tbl_service[Service],tbl_service[Price],"")</f>
        <v>500</v>
      </c>
      <c r="L643" s="3">
        <v>2</v>
      </c>
      <c r="M643" s="3">
        <f>IF(AND(tbl_main[[#This Row],[Price]]="",tbl_main[[#This Row],[Qty]]=""),"",tbl_main[[#This Row],[Price]]*tbl_main[[#This Row],[Qty]])</f>
        <v>1000</v>
      </c>
      <c r="N643" s="3">
        <f>_xlfn.LET(_xlpm.x,_xlfn.XLOOKUP(tbl_main[[#This Row],[Service]],tbl_service[Service],tbl_service[Profit],""),
               IF(tbl_main[[#This Row],[Qty]]="","",_xlpm.x*tbl_main[[#This Row],[Qty]]))</f>
        <v>314</v>
      </c>
    </row>
    <row r="644" spans="1:14" x14ac:dyDescent="0.25">
      <c r="A644" t="s">
        <v>686</v>
      </c>
      <c r="B644" s="1">
        <v>45868</v>
      </c>
      <c r="C644">
        <f>IF(tbl_main[[#This Row],[Date]]="","",YEAR(B644))</f>
        <v>2025</v>
      </c>
      <c r="D644" t="str">
        <f>IF(tbl_main[[#This Row],[Date]]="","",TEXT(B644,"mmm"))</f>
        <v>Jul</v>
      </c>
      <c r="E644" t="str">
        <f>IF(tbl_main[[#This Row],[Date]]="","",TEXT(B644,"DDD"))</f>
        <v>Wed</v>
      </c>
      <c r="F644" t="s">
        <v>27</v>
      </c>
      <c r="G644" t="s">
        <v>28</v>
      </c>
      <c r="H644" s="3" t="s">
        <v>15</v>
      </c>
      <c r="I644" s="3" t="s">
        <v>19</v>
      </c>
      <c r="J644" s="3" t="s">
        <v>32</v>
      </c>
      <c r="K644" s="3">
        <f>_xlfn.XLOOKUP(tbl_main[[#This Row],[Service]],tbl_service[Service],tbl_service[Price],"")</f>
        <v>500</v>
      </c>
      <c r="L644" s="3">
        <v>2</v>
      </c>
      <c r="M644" s="3">
        <f>IF(AND(tbl_main[[#This Row],[Price]]="",tbl_main[[#This Row],[Qty]]=""),"",tbl_main[[#This Row],[Price]]*tbl_main[[#This Row],[Qty]])</f>
        <v>1000</v>
      </c>
      <c r="N644" s="3">
        <f>_xlfn.LET(_xlpm.x,_xlfn.XLOOKUP(tbl_main[[#This Row],[Service]],tbl_service[Service],tbl_service[Profit],""),
               IF(tbl_main[[#This Row],[Qty]]="","",_xlpm.x*tbl_main[[#This Row],[Qty]]))</f>
        <v>450</v>
      </c>
    </row>
    <row r="645" spans="1:14" x14ac:dyDescent="0.25">
      <c r="A645" t="s">
        <v>687</v>
      </c>
      <c r="B645" s="1">
        <v>45868</v>
      </c>
      <c r="C645">
        <f>IF(tbl_main[[#This Row],[Date]]="","",YEAR(B645))</f>
        <v>2025</v>
      </c>
      <c r="D645" t="str">
        <f>IF(tbl_main[[#This Row],[Date]]="","",TEXT(B645,"mmm"))</f>
        <v>Jul</v>
      </c>
      <c r="E645" t="str">
        <f>IF(tbl_main[[#This Row],[Date]]="","",TEXT(B645,"DDD"))</f>
        <v>Wed</v>
      </c>
      <c r="F645" t="s">
        <v>27</v>
      </c>
      <c r="G645" t="s">
        <v>28</v>
      </c>
      <c r="H645" s="3" t="s">
        <v>15</v>
      </c>
      <c r="I645" s="3" t="s">
        <v>41</v>
      </c>
      <c r="J645" s="3" t="s">
        <v>25</v>
      </c>
      <c r="K645" s="3">
        <f>_xlfn.XLOOKUP(tbl_main[[#This Row],[Service]],tbl_service[Service],tbl_service[Price],"")</f>
        <v>500</v>
      </c>
      <c r="L645" s="3">
        <v>2</v>
      </c>
      <c r="M645" s="3">
        <f>IF(AND(tbl_main[[#This Row],[Price]]="",tbl_main[[#This Row],[Qty]]=""),"",tbl_main[[#This Row],[Price]]*tbl_main[[#This Row],[Qty]])</f>
        <v>1000</v>
      </c>
      <c r="N645" s="3">
        <f>_xlfn.LET(_xlpm.x,_xlfn.XLOOKUP(tbl_main[[#This Row],[Service]],tbl_service[Service],tbl_service[Profit],""),
               IF(tbl_main[[#This Row],[Qty]]="","",_xlpm.x*tbl_main[[#This Row],[Qty]]))</f>
        <v>450</v>
      </c>
    </row>
    <row r="646" spans="1:14" x14ac:dyDescent="0.25">
      <c r="A646" t="s">
        <v>688</v>
      </c>
      <c r="B646" s="1">
        <v>45868</v>
      </c>
      <c r="C646">
        <f>IF(tbl_main[[#This Row],[Date]]="","",YEAR(B646))</f>
        <v>2025</v>
      </c>
      <c r="D646" t="str">
        <f>IF(tbl_main[[#This Row],[Date]]="","",TEXT(B646,"mmm"))</f>
        <v>Jul</v>
      </c>
      <c r="E646" t="str">
        <f>IF(tbl_main[[#This Row],[Date]]="","",TEXT(B646,"DDD"))</f>
        <v>Wed</v>
      </c>
      <c r="F646" t="s">
        <v>30</v>
      </c>
      <c r="G646" t="s">
        <v>36</v>
      </c>
      <c r="H646" s="3" t="s">
        <v>18</v>
      </c>
      <c r="I646" s="3" t="s">
        <v>41</v>
      </c>
      <c r="J646" s="3" t="s">
        <v>17</v>
      </c>
      <c r="K646" s="3">
        <f>_xlfn.XLOOKUP(tbl_main[[#This Row],[Service]],tbl_service[Service],tbl_service[Price],"")</f>
        <v>500</v>
      </c>
      <c r="L646" s="3">
        <v>2</v>
      </c>
      <c r="M646" s="3">
        <f>IF(AND(tbl_main[[#This Row],[Price]]="",tbl_main[[#This Row],[Qty]]=""),"",tbl_main[[#This Row],[Price]]*tbl_main[[#This Row],[Qty]])</f>
        <v>1000</v>
      </c>
      <c r="N646" s="3">
        <f>_xlfn.LET(_xlpm.x,_xlfn.XLOOKUP(tbl_main[[#This Row],[Service]],tbl_service[Service],tbl_service[Profit],""),
               IF(tbl_main[[#This Row],[Qty]]="","",_xlpm.x*tbl_main[[#This Row],[Qty]]))</f>
        <v>314</v>
      </c>
    </row>
    <row r="647" spans="1:14" x14ac:dyDescent="0.25">
      <c r="A647" t="s">
        <v>689</v>
      </c>
      <c r="B647" s="1">
        <v>45869</v>
      </c>
      <c r="C647">
        <f>IF(tbl_main[[#This Row],[Date]]="","",YEAR(B647))</f>
        <v>2025</v>
      </c>
      <c r="D647" t="str">
        <f>IF(tbl_main[[#This Row],[Date]]="","",TEXT(B647,"mmm"))</f>
        <v>Jul</v>
      </c>
      <c r="E647" t="str">
        <f>IF(tbl_main[[#This Row],[Date]]="","",TEXT(B647,"DDD"))</f>
        <v>Thu</v>
      </c>
      <c r="F647" t="s">
        <v>13</v>
      </c>
      <c r="G647" t="s">
        <v>33</v>
      </c>
      <c r="H647" s="3" t="s">
        <v>26</v>
      </c>
      <c r="I647" s="3" t="s">
        <v>35</v>
      </c>
      <c r="J647" s="3" t="s">
        <v>32</v>
      </c>
      <c r="K647" s="3">
        <f>_xlfn.XLOOKUP(tbl_main[[#This Row],[Service]],tbl_service[Service],tbl_service[Price],"")</f>
        <v>200</v>
      </c>
      <c r="L647" s="3">
        <v>2</v>
      </c>
      <c r="M647" s="3">
        <f>IF(AND(tbl_main[[#This Row],[Price]]="",tbl_main[[#This Row],[Qty]]=""),"",tbl_main[[#This Row],[Price]]*tbl_main[[#This Row],[Qty]])</f>
        <v>400</v>
      </c>
      <c r="N647" s="3">
        <f>_xlfn.LET(_xlpm.x,_xlfn.XLOOKUP(tbl_main[[#This Row],[Service]],tbl_service[Service],tbl_service[Profit],""),
               IF(tbl_main[[#This Row],[Qty]]="","",_xlpm.x*tbl_main[[#This Row],[Qty]]))</f>
        <v>180</v>
      </c>
    </row>
    <row r="648" spans="1:14" x14ac:dyDescent="0.25">
      <c r="A648" t="s">
        <v>690</v>
      </c>
      <c r="B648" s="1">
        <v>45869</v>
      </c>
      <c r="C648">
        <f>IF(tbl_main[[#This Row],[Date]]="","",YEAR(B648))</f>
        <v>2025</v>
      </c>
      <c r="D648" t="str">
        <f>IF(tbl_main[[#This Row],[Date]]="","",TEXT(B648,"mmm"))</f>
        <v>Jul</v>
      </c>
      <c r="E648" t="str">
        <f>IF(tbl_main[[#This Row],[Date]]="","",TEXT(B648,"DDD"))</f>
        <v>Thu</v>
      </c>
      <c r="F648" t="s">
        <v>27</v>
      </c>
      <c r="G648" t="s">
        <v>40</v>
      </c>
      <c r="H648" s="3" t="s">
        <v>34</v>
      </c>
      <c r="I648" s="3" t="s">
        <v>35</v>
      </c>
      <c r="J648" s="3" t="s">
        <v>17</v>
      </c>
      <c r="K648" s="3">
        <f>_xlfn.XLOOKUP(tbl_main[[#This Row],[Service]],tbl_service[Service],tbl_service[Price],"")</f>
        <v>100</v>
      </c>
      <c r="L648" s="3">
        <v>1</v>
      </c>
      <c r="M648" s="3">
        <f>IF(AND(tbl_main[[#This Row],[Price]]="",tbl_main[[#This Row],[Qty]]=""),"",tbl_main[[#This Row],[Price]]*tbl_main[[#This Row],[Qty]])</f>
        <v>100</v>
      </c>
      <c r="N648" s="3">
        <f>_xlfn.LET(_xlpm.x,_xlfn.XLOOKUP(tbl_main[[#This Row],[Service]],tbl_service[Service],tbl_service[Profit],""),
               IF(tbl_main[[#This Row],[Qty]]="","",_xlpm.x*tbl_main[[#This Row],[Qty]]))</f>
        <v>45</v>
      </c>
    </row>
    <row r="649" spans="1:14" x14ac:dyDescent="0.25">
      <c r="A649" t="s">
        <v>691</v>
      </c>
      <c r="B649" s="1">
        <v>45869</v>
      </c>
      <c r="C649">
        <f>IF(tbl_main[[#This Row],[Date]]="","",YEAR(B649))</f>
        <v>2025</v>
      </c>
      <c r="D649" t="str">
        <f>IF(tbl_main[[#This Row],[Date]]="","",TEXT(B649,"mmm"))</f>
        <v>Jul</v>
      </c>
      <c r="E649" t="str">
        <f>IF(tbl_main[[#This Row],[Date]]="","",TEXT(B649,"DDD"))</f>
        <v>Thu</v>
      </c>
      <c r="F649" t="s">
        <v>20</v>
      </c>
      <c r="G649" t="s">
        <v>39</v>
      </c>
      <c r="H649" s="3" t="s">
        <v>26</v>
      </c>
      <c r="I649" s="3" t="s">
        <v>23</v>
      </c>
      <c r="J649" s="3" t="s">
        <v>17</v>
      </c>
      <c r="K649" s="3">
        <f>_xlfn.XLOOKUP(tbl_main[[#This Row],[Service]],tbl_service[Service],tbl_service[Price],"")</f>
        <v>200</v>
      </c>
      <c r="L649" s="3">
        <v>1</v>
      </c>
      <c r="M649" s="3">
        <f>IF(AND(tbl_main[[#This Row],[Price]]="",tbl_main[[#This Row],[Qty]]=""),"",tbl_main[[#This Row],[Price]]*tbl_main[[#This Row],[Qty]])</f>
        <v>200</v>
      </c>
      <c r="N649" s="3">
        <f>_xlfn.LET(_xlpm.x,_xlfn.XLOOKUP(tbl_main[[#This Row],[Service]],tbl_service[Service],tbl_service[Profit],""),
               IF(tbl_main[[#This Row],[Qty]]="","",_xlpm.x*tbl_main[[#This Row],[Qty]]))</f>
        <v>90</v>
      </c>
    </row>
    <row r="650" spans="1:14" x14ac:dyDescent="0.25">
      <c r="A650" t="s">
        <v>692</v>
      </c>
      <c r="B650" s="1">
        <v>45870</v>
      </c>
      <c r="C650">
        <f>IF(tbl_main[[#This Row],[Date]]="","",YEAR(B650))</f>
        <v>2025</v>
      </c>
      <c r="D650" t="str">
        <f>IF(tbl_main[[#This Row],[Date]]="","",TEXT(B650,"mmm"))</f>
        <v>Aug</v>
      </c>
      <c r="E650" t="str">
        <f>IF(tbl_main[[#This Row],[Date]]="","",TEXT(B650,"DDD"))</f>
        <v>Fri</v>
      </c>
      <c r="F650" t="s">
        <v>13</v>
      </c>
      <c r="G650" t="s">
        <v>33</v>
      </c>
      <c r="H650" s="3" t="s">
        <v>24</v>
      </c>
      <c r="I650" s="3" t="s">
        <v>37</v>
      </c>
      <c r="J650" s="3" t="s">
        <v>32</v>
      </c>
      <c r="K650" s="3">
        <f>_xlfn.XLOOKUP(tbl_main[[#This Row],[Service]],tbl_service[Service],tbl_service[Price],"")</f>
        <v>80</v>
      </c>
      <c r="L650" s="3">
        <v>1</v>
      </c>
      <c r="M650" s="3">
        <f>IF(AND(tbl_main[[#This Row],[Price]]="",tbl_main[[#This Row],[Qty]]=""),"",tbl_main[[#This Row],[Price]]*tbl_main[[#This Row],[Qty]])</f>
        <v>80</v>
      </c>
      <c r="N650" s="3">
        <f>_xlfn.LET(_xlpm.x,_xlfn.XLOOKUP(tbl_main[[#This Row],[Service]],tbl_service[Service],tbl_service[Profit],""),
               IF(tbl_main[[#This Row],[Qty]]="","",_xlpm.x*tbl_main[[#This Row],[Qty]]))</f>
        <v>36</v>
      </c>
    </row>
    <row r="651" spans="1:14" x14ac:dyDescent="0.25">
      <c r="A651" t="s">
        <v>693</v>
      </c>
      <c r="B651" s="1">
        <v>45870</v>
      </c>
      <c r="C651">
        <f>IF(tbl_main[[#This Row],[Date]]="","",YEAR(B651))</f>
        <v>2025</v>
      </c>
      <c r="D651" t="str">
        <f>IF(tbl_main[[#This Row],[Date]]="","",TEXT(B651,"mmm"))</f>
        <v>Aug</v>
      </c>
      <c r="E651" t="str">
        <f>IF(tbl_main[[#This Row],[Date]]="","",TEXT(B651,"DDD"))</f>
        <v>Fri</v>
      </c>
      <c r="F651" t="s">
        <v>20</v>
      </c>
      <c r="G651" t="s">
        <v>39</v>
      </c>
      <c r="H651" s="3" t="s">
        <v>22</v>
      </c>
      <c r="I651" s="3" t="s">
        <v>38</v>
      </c>
      <c r="J651" s="3" t="s">
        <v>25</v>
      </c>
      <c r="K651" s="3">
        <f>_xlfn.XLOOKUP(tbl_main[[#This Row],[Service]],tbl_service[Service],tbl_service[Price],"")</f>
        <v>150</v>
      </c>
      <c r="L651" s="3">
        <v>1</v>
      </c>
      <c r="M651" s="3">
        <f>IF(AND(tbl_main[[#This Row],[Price]]="",tbl_main[[#This Row],[Qty]]=""),"",tbl_main[[#This Row],[Price]]*tbl_main[[#This Row],[Qty]])</f>
        <v>150</v>
      </c>
      <c r="N651" s="3">
        <f>_xlfn.LET(_xlpm.x,_xlfn.XLOOKUP(tbl_main[[#This Row],[Service]],tbl_service[Service],tbl_service[Profit],""),
               IF(tbl_main[[#This Row],[Qty]]="","",_xlpm.x*tbl_main[[#This Row],[Qty]]))</f>
        <v>67</v>
      </c>
    </row>
    <row r="652" spans="1:14" x14ac:dyDescent="0.25">
      <c r="A652" t="s">
        <v>694</v>
      </c>
      <c r="B652" s="1">
        <v>45871</v>
      </c>
      <c r="C652">
        <f>IF(tbl_main[[#This Row],[Date]]="","",YEAR(B652))</f>
        <v>2025</v>
      </c>
      <c r="D652" t="str">
        <f>IF(tbl_main[[#This Row],[Date]]="","",TEXT(B652,"mmm"))</f>
        <v>Aug</v>
      </c>
      <c r="E652" t="str">
        <f>IF(tbl_main[[#This Row],[Date]]="","",TEXT(B652,"DDD"))</f>
        <v>Sat</v>
      </c>
      <c r="F652" t="s">
        <v>20</v>
      </c>
      <c r="G652" t="s">
        <v>39</v>
      </c>
      <c r="H652" s="3" t="s">
        <v>34</v>
      </c>
      <c r="I652" s="3" t="s">
        <v>16</v>
      </c>
      <c r="J652" s="3" t="s">
        <v>32</v>
      </c>
      <c r="K652" s="3">
        <f>_xlfn.XLOOKUP(tbl_main[[#This Row],[Service]],tbl_service[Service],tbl_service[Price],"")</f>
        <v>100</v>
      </c>
      <c r="L652" s="3">
        <v>2</v>
      </c>
      <c r="M652" s="3">
        <f>IF(AND(tbl_main[[#This Row],[Price]]="",tbl_main[[#This Row],[Qty]]=""),"",tbl_main[[#This Row],[Price]]*tbl_main[[#This Row],[Qty]])</f>
        <v>200</v>
      </c>
      <c r="N652" s="3">
        <f>_xlfn.LET(_xlpm.x,_xlfn.XLOOKUP(tbl_main[[#This Row],[Service]],tbl_service[Service],tbl_service[Profit],""),
               IF(tbl_main[[#This Row],[Qty]]="","",_xlpm.x*tbl_main[[#This Row],[Qty]]))</f>
        <v>90</v>
      </c>
    </row>
    <row r="653" spans="1:14" x14ac:dyDescent="0.25">
      <c r="A653" t="s">
        <v>695</v>
      </c>
      <c r="B653" s="1">
        <v>45871</v>
      </c>
      <c r="C653">
        <f>IF(tbl_main[[#This Row],[Date]]="","",YEAR(B653))</f>
        <v>2025</v>
      </c>
      <c r="D653" t="str">
        <f>IF(tbl_main[[#This Row],[Date]]="","",TEXT(B653,"mmm"))</f>
        <v>Aug</v>
      </c>
      <c r="E653" t="str">
        <f>IF(tbl_main[[#This Row],[Date]]="","",TEXT(B653,"DDD"))</f>
        <v>Sat</v>
      </c>
      <c r="F653" t="s">
        <v>27</v>
      </c>
      <c r="G653" t="s">
        <v>28</v>
      </c>
      <c r="H653" s="3" t="s">
        <v>22</v>
      </c>
      <c r="I653" s="3" t="s">
        <v>19</v>
      </c>
      <c r="J653" s="3" t="s">
        <v>25</v>
      </c>
      <c r="K653" s="3">
        <f>_xlfn.XLOOKUP(tbl_main[[#This Row],[Service]],tbl_service[Service],tbl_service[Price],"")</f>
        <v>150</v>
      </c>
      <c r="L653" s="3">
        <v>2</v>
      </c>
      <c r="M653" s="3">
        <f>IF(AND(tbl_main[[#This Row],[Price]]="",tbl_main[[#This Row],[Qty]]=""),"",tbl_main[[#This Row],[Price]]*tbl_main[[#This Row],[Qty]])</f>
        <v>300</v>
      </c>
      <c r="N653" s="3">
        <f>_xlfn.LET(_xlpm.x,_xlfn.XLOOKUP(tbl_main[[#This Row],[Service]],tbl_service[Service],tbl_service[Profit],""),
               IF(tbl_main[[#This Row],[Qty]]="","",_xlpm.x*tbl_main[[#This Row],[Qty]]))</f>
        <v>134</v>
      </c>
    </row>
    <row r="654" spans="1:14" x14ac:dyDescent="0.25">
      <c r="A654" t="s">
        <v>696</v>
      </c>
      <c r="B654" s="1">
        <v>45871</v>
      </c>
      <c r="C654">
        <f>IF(tbl_main[[#This Row],[Date]]="","",YEAR(B654))</f>
        <v>2025</v>
      </c>
      <c r="D654" t="str">
        <f>IF(tbl_main[[#This Row],[Date]]="","",TEXT(B654,"mmm"))</f>
        <v>Aug</v>
      </c>
      <c r="E654" t="str">
        <f>IF(tbl_main[[#This Row],[Date]]="","",TEXT(B654,"DDD"))</f>
        <v>Sat</v>
      </c>
      <c r="F654" t="s">
        <v>30</v>
      </c>
      <c r="G654" t="s">
        <v>36</v>
      </c>
      <c r="H654" s="3" t="s">
        <v>18</v>
      </c>
      <c r="I654" s="3" t="s">
        <v>19</v>
      </c>
      <c r="J654" s="3" t="s">
        <v>32</v>
      </c>
      <c r="K654" s="3">
        <f>_xlfn.XLOOKUP(tbl_main[[#This Row],[Service]],tbl_service[Service],tbl_service[Price],"")</f>
        <v>500</v>
      </c>
      <c r="L654" s="3">
        <v>2</v>
      </c>
      <c r="M654" s="3">
        <f>IF(AND(tbl_main[[#This Row],[Price]]="",tbl_main[[#This Row],[Qty]]=""),"",tbl_main[[#This Row],[Price]]*tbl_main[[#This Row],[Qty]])</f>
        <v>1000</v>
      </c>
      <c r="N654" s="3">
        <f>_xlfn.LET(_xlpm.x,_xlfn.XLOOKUP(tbl_main[[#This Row],[Service]],tbl_service[Service],tbl_service[Profit],""),
               IF(tbl_main[[#This Row],[Qty]]="","",_xlpm.x*tbl_main[[#This Row],[Qty]]))</f>
        <v>314</v>
      </c>
    </row>
    <row r="655" spans="1:14" x14ac:dyDescent="0.25">
      <c r="A655" t="s">
        <v>697</v>
      </c>
      <c r="B655" s="1">
        <v>45871</v>
      </c>
      <c r="C655">
        <f>IF(tbl_main[[#This Row],[Date]]="","",YEAR(B655))</f>
        <v>2025</v>
      </c>
      <c r="D655" t="str">
        <f>IF(tbl_main[[#This Row],[Date]]="","",TEXT(B655,"mmm"))</f>
        <v>Aug</v>
      </c>
      <c r="E655" t="str">
        <f>IF(tbl_main[[#This Row],[Date]]="","",TEXT(B655,"DDD"))</f>
        <v>Sat</v>
      </c>
      <c r="F655" t="s">
        <v>27</v>
      </c>
      <c r="G655" t="s">
        <v>40</v>
      </c>
      <c r="H655" s="3" t="s">
        <v>18</v>
      </c>
      <c r="I655" s="3" t="s">
        <v>41</v>
      </c>
      <c r="J655" s="3" t="s">
        <v>17</v>
      </c>
      <c r="K655" s="3">
        <f>_xlfn.XLOOKUP(tbl_main[[#This Row],[Service]],tbl_service[Service],tbl_service[Price],"")</f>
        <v>500</v>
      </c>
      <c r="L655" s="3">
        <v>1</v>
      </c>
      <c r="M655" s="3">
        <f>IF(AND(tbl_main[[#This Row],[Price]]="",tbl_main[[#This Row],[Qty]]=""),"",tbl_main[[#This Row],[Price]]*tbl_main[[#This Row],[Qty]])</f>
        <v>500</v>
      </c>
      <c r="N655" s="3">
        <f>_xlfn.LET(_xlpm.x,_xlfn.XLOOKUP(tbl_main[[#This Row],[Service]],tbl_service[Service],tbl_service[Profit],""),
               IF(tbl_main[[#This Row],[Qty]]="","",_xlpm.x*tbl_main[[#This Row],[Qty]]))</f>
        <v>157</v>
      </c>
    </row>
    <row r="656" spans="1:14" x14ac:dyDescent="0.25">
      <c r="A656" t="s">
        <v>698</v>
      </c>
      <c r="B656" s="1">
        <v>45872</v>
      </c>
      <c r="C656">
        <f>IF(tbl_main[[#This Row],[Date]]="","",YEAR(B656))</f>
        <v>2025</v>
      </c>
      <c r="D656" t="str">
        <f>IF(tbl_main[[#This Row],[Date]]="","",TEXT(B656,"mmm"))</f>
        <v>Aug</v>
      </c>
      <c r="E656" t="str">
        <f>IF(tbl_main[[#This Row],[Date]]="","",TEXT(B656,"DDD"))</f>
        <v>Sun</v>
      </c>
      <c r="F656" t="s">
        <v>20</v>
      </c>
      <c r="G656" t="s">
        <v>29</v>
      </c>
      <c r="H656" s="3" t="s">
        <v>22</v>
      </c>
      <c r="I656" s="3" t="s">
        <v>41</v>
      </c>
      <c r="J656" s="3" t="s">
        <v>25</v>
      </c>
      <c r="K656" s="3">
        <f>_xlfn.XLOOKUP(tbl_main[[#This Row],[Service]],tbl_service[Service],tbl_service[Price],"")</f>
        <v>150</v>
      </c>
      <c r="L656" s="3">
        <v>1</v>
      </c>
      <c r="M656" s="3">
        <f>IF(AND(tbl_main[[#This Row],[Price]]="",tbl_main[[#This Row],[Qty]]=""),"",tbl_main[[#This Row],[Price]]*tbl_main[[#This Row],[Qty]])</f>
        <v>150</v>
      </c>
      <c r="N656" s="3">
        <f>_xlfn.LET(_xlpm.x,_xlfn.XLOOKUP(tbl_main[[#This Row],[Service]],tbl_service[Service],tbl_service[Profit],""),
               IF(tbl_main[[#This Row],[Qty]]="","",_xlpm.x*tbl_main[[#This Row],[Qty]]))</f>
        <v>67</v>
      </c>
    </row>
    <row r="657" spans="1:14" x14ac:dyDescent="0.25">
      <c r="A657" t="s">
        <v>699</v>
      </c>
      <c r="B657" s="1">
        <v>45872</v>
      </c>
      <c r="C657">
        <f>IF(tbl_main[[#This Row],[Date]]="","",YEAR(B657))</f>
        <v>2025</v>
      </c>
      <c r="D657" t="str">
        <f>IF(tbl_main[[#This Row],[Date]]="","",TEXT(B657,"mmm"))</f>
        <v>Aug</v>
      </c>
      <c r="E657" t="str">
        <f>IF(tbl_main[[#This Row],[Date]]="","",TEXT(B657,"DDD"))</f>
        <v>Sun</v>
      </c>
      <c r="F657" t="s">
        <v>27</v>
      </c>
      <c r="G657" t="s">
        <v>28</v>
      </c>
      <c r="H657" s="3" t="s">
        <v>15</v>
      </c>
      <c r="I657" s="3" t="s">
        <v>35</v>
      </c>
      <c r="J657" s="3" t="s">
        <v>32</v>
      </c>
      <c r="K657" s="3">
        <f>_xlfn.XLOOKUP(tbl_main[[#This Row],[Service]],tbl_service[Service],tbl_service[Price],"")</f>
        <v>500</v>
      </c>
      <c r="L657" s="3">
        <v>1</v>
      </c>
      <c r="M657" s="3">
        <f>IF(AND(tbl_main[[#This Row],[Price]]="",tbl_main[[#This Row],[Qty]]=""),"",tbl_main[[#This Row],[Price]]*tbl_main[[#This Row],[Qty]])</f>
        <v>500</v>
      </c>
      <c r="N657" s="3">
        <f>_xlfn.LET(_xlpm.x,_xlfn.XLOOKUP(tbl_main[[#This Row],[Service]],tbl_service[Service],tbl_service[Profit],""),
               IF(tbl_main[[#This Row],[Qty]]="","",_xlpm.x*tbl_main[[#This Row],[Qty]]))</f>
        <v>225</v>
      </c>
    </row>
    <row r="658" spans="1:14" x14ac:dyDescent="0.25">
      <c r="A658" t="s">
        <v>700</v>
      </c>
      <c r="B658" s="1">
        <v>45872</v>
      </c>
      <c r="C658">
        <f>IF(tbl_main[[#This Row],[Date]]="","",YEAR(B658))</f>
        <v>2025</v>
      </c>
      <c r="D658" t="str">
        <f>IF(tbl_main[[#This Row],[Date]]="","",TEXT(B658,"mmm"))</f>
        <v>Aug</v>
      </c>
      <c r="E658" t="str">
        <f>IF(tbl_main[[#This Row],[Date]]="","",TEXT(B658,"DDD"))</f>
        <v>Sun</v>
      </c>
      <c r="F658" t="s">
        <v>20</v>
      </c>
      <c r="G658" t="s">
        <v>29</v>
      </c>
      <c r="H658" s="3" t="s">
        <v>34</v>
      </c>
      <c r="I658" s="3" t="s">
        <v>35</v>
      </c>
      <c r="J658" s="3" t="s">
        <v>25</v>
      </c>
      <c r="K658" s="3">
        <f>_xlfn.XLOOKUP(tbl_main[[#This Row],[Service]],tbl_service[Service],tbl_service[Price],"")</f>
        <v>100</v>
      </c>
      <c r="L658" s="3">
        <v>2</v>
      </c>
      <c r="M658" s="3">
        <f>IF(AND(tbl_main[[#This Row],[Price]]="",tbl_main[[#This Row],[Qty]]=""),"",tbl_main[[#This Row],[Price]]*tbl_main[[#This Row],[Qty]])</f>
        <v>200</v>
      </c>
      <c r="N658" s="3">
        <f>_xlfn.LET(_xlpm.x,_xlfn.XLOOKUP(tbl_main[[#This Row],[Service]],tbl_service[Service],tbl_service[Profit],""),
               IF(tbl_main[[#This Row],[Qty]]="","",_xlpm.x*tbl_main[[#This Row],[Qty]]))</f>
        <v>90</v>
      </c>
    </row>
    <row r="659" spans="1:14" x14ac:dyDescent="0.25">
      <c r="A659" t="s">
        <v>701</v>
      </c>
      <c r="B659" s="1">
        <v>45872</v>
      </c>
      <c r="C659">
        <f>IF(tbl_main[[#This Row],[Date]]="","",YEAR(B659))</f>
        <v>2025</v>
      </c>
      <c r="D659" t="str">
        <f>IF(tbl_main[[#This Row],[Date]]="","",TEXT(B659,"mmm"))</f>
        <v>Aug</v>
      </c>
      <c r="E659" t="str">
        <f>IF(tbl_main[[#This Row],[Date]]="","",TEXT(B659,"DDD"))</f>
        <v>Sun</v>
      </c>
      <c r="F659" t="s">
        <v>27</v>
      </c>
      <c r="G659" t="s">
        <v>40</v>
      </c>
      <c r="H659" s="3" t="s">
        <v>15</v>
      </c>
      <c r="I659" s="3" t="s">
        <v>23</v>
      </c>
      <c r="J659" s="3" t="s">
        <v>25</v>
      </c>
      <c r="K659" s="3">
        <f>_xlfn.XLOOKUP(tbl_main[[#This Row],[Service]],tbl_service[Service],tbl_service[Price],"")</f>
        <v>500</v>
      </c>
      <c r="L659" s="3">
        <v>1</v>
      </c>
      <c r="M659" s="3">
        <f>IF(AND(tbl_main[[#This Row],[Price]]="",tbl_main[[#This Row],[Qty]]=""),"",tbl_main[[#This Row],[Price]]*tbl_main[[#This Row],[Qty]])</f>
        <v>500</v>
      </c>
      <c r="N659" s="3">
        <f>_xlfn.LET(_xlpm.x,_xlfn.XLOOKUP(tbl_main[[#This Row],[Service]],tbl_service[Service],tbl_service[Profit],""),
               IF(tbl_main[[#This Row],[Qty]]="","",_xlpm.x*tbl_main[[#This Row],[Qty]]))</f>
        <v>225</v>
      </c>
    </row>
    <row r="660" spans="1:14" x14ac:dyDescent="0.25">
      <c r="A660" t="s">
        <v>702</v>
      </c>
      <c r="B660" s="1">
        <v>45873</v>
      </c>
      <c r="C660">
        <f>IF(tbl_main[[#This Row],[Date]]="","",YEAR(B660))</f>
        <v>2025</v>
      </c>
      <c r="D660" t="str">
        <f>IF(tbl_main[[#This Row],[Date]]="","",TEXT(B660,"mmm"))</f>
        <v>Aug</v>
      </c>
      <c r="E660" t="str">
        <f>IF(tbl_main[[#This Row],[Date]]="","",TEXT(B660,"DDD"))</f>
        <v>Mon</v>
      </c>
      <c r="F660" t="s">
        <v>27</v>
      </c>
      <c r="G660" t="s">
        <v>28</v>
      </c>
      <c r="H660" s="3" t="s">
        <v>18</v>
      </c>
      <c r="I660" s="3" t="s">
        <v>37</v>
      </c>
      <c r="J660" s="3" t="s">
        <v>17</v>
      </c>
      <c r="K660" s="3">
        <f>_xlfn.XLOOKUP(tbl_main[[#This Row],[Service]],tbl_service[Service],tbl_service[Price],"")</f>
        <v>500</v>
      </c>
      <c r="L660" s="3">
        <v>1</v>
      </c>
      <c r="M660" s="3">
        <f>IF(AND(tbl_main[[#This Row],[Price]]="",tbl_main[[#This Row],[Qty]]=""),"",tbl_main[[#This Row],[Price]]*tbl_main[[#This Row],[Qty]])</f>
        <v>500</v>
      </c>
      <c r="N660" s="3">
        <f>_xlfn.LET(_xlpm.x,_xlfn.XLOOKUP(tbl_main[[#This Row],[Service]],tbl_service[Service],tbl_service[Profit],""),
               IF(tbl_main[[#This Row],[Qty]]="","",_xlpm.x*tbl_main[[#This Row],[Qty]]))</f>
        <v>157</v>
      </c>
    </row>
    <row r="661" spans="1:14" x14ac:dyDescent="0.25">
      <c r="A661" t="s">
        <v>703</v>
      </c>
      <c r="B661" s="1">
        <v>45873</v>
      </c>
      <c r="C661">
        <f>IF(tbl_main[[#This Row],[Date]]="","",YEAR(B661))</f>
        <v>2025</v>
      </c>
      <c r="D661" t="str">
        <f>IF(tbl_main[[#This Row],[Date]]="","",TEXT(B661,"mmm"))</f>
        <v>Aug</v>
      </c>
      <c r="E661" t="str">
        <f>IF(tbl_main[[#This Row],[Date]]="","",TEXT(B661,"DDD"))</f>
        <v>Mon</v>
      </c>
      <c r="F661" t="s">
        <v>13</v>
      </c>
      <c r="G661" t="s">
        <v>33</v>
      </c>
      <c r="H661" s="3" t="s">
        <v>15</v>
      </c>
      <c r="I661" s="3" t="s">
        <v>38</v>
      </c>
      <c r="J661" s="3" t="s">
        <v>17</v>
      </c>
      <c r="K661" s="3">
        <f>_xlfn.XLOOKUP(tbl_main[[#This Row],[Service]],tbl_service[Service],tbl_service[Price],"")</f>
        <v>500</v>
      </c>
      <c r="L661" s="3">
        <v>1</v>
      </c>
      <c r="M661" s="3">
        <f>IF(AND(tbl_main[[#This Row],[Price]]="",tbl_main[[#This Row],[Qty]]=""),"",tbl_main[[#This Row],[Price]]*tbl_main[[#This Row],[Qty]])</f>
        <v>500</v>
      </c>
      <c r="N661" s="3">
        <f>_xlfn.LET(_xlpm.x,_xlfn.XLOOKUP(tbl_main[[#This Row],[Service]],tbl_service[Service],tbl_service[Profit],""),
               IF(tbl_main[[#This Row],[Qty]]="","",_xlpm.x*tbl_main[[#This Row],[Qty]]))</f>
        <v>225</v>
      </c>
    </row>
    <row r="662" spans="1:14" x14ac:dyDescent="0.25">
      <c r="A662" t="s">
        <v>704</v>
      </c>
      <c r="B662" s="1">
        <v>45874</v>
      </c>
      <c r="C662">
        <f>IF(tbl_main[[#This Row],[Date]]="","",YEAR(B662))</f>
        <v>2025</v>
      </c>
      <c r="D662" t="str">
        <f>IF(tbl_main[[#This Row],[Date]]="","",TEXT(B662,"mmm"))</f>
        <v>Aug</v>
      </c>
      <c r="E662" t="str">
        <f>IF(tbl_main[[#This Row],[Date]]="","",TEXT(B662,"DDD"))</f>
        <v>Tue</v>
      </c>
      <c r="F662" t="s">
        <v>27</v>
      </c>
      <c r="G662" t="s">
        <v>40</v>
      </c>
      <c r="H662" s="3" t="s">
        <v>24</v>
      </c>
      <c r="I662" s="3" t="s">
        <v>16</v>
      </c>
      <c r="J662" s="3" t="s">
        <v>25</v>
      </c>
      <c r="K662" s="3">
        <f>_xlfn.XLOOKUP(tbl_main[[#This Row],[Service]],tbl_service[Service],tbl_service[Price],"")</f>
        <v>80</v>
      </c>
      <c r="L662" s="3">
        <v>2</v>
      </c>
      <c r="M662" s="3">
        <f>IF(AND(tbl_main[[#This Row],[Price]]="",tbl_main[[#This Row],[Qty]]=""),"",tbl_main[[#This Row],[Price]]*tbl_main[[#This Row],[Qty]])</f>
        <v>160</v>
      </c>
      <c r="N662" s="3">
        <f>_xlfn.LET(_xlpm.x,_xlfn.XLOOKUP(tbl_main[[#This Row],[Service]],tbl_service[Service],tbl_service[Profit],""),
               IF(tbl_main[[#This Row],[Qty]]="","",_xlpm.x*tbl_main[[#This Row],[Qty]]))</f>
        <v>72</v>
      </c>
    </row>
    <row r="663" spans="1:14" x14ac:dyDescent="0.25">
      <c r="A663" t="s">
        <v>705</v>
      </c>
      <c r="B663" s="1">
        <v>45874</v>
      </c>
      <c r="C663">
        <f>IF(tbl_main[[#This Row],[Date]]="","",YEAR(B663))</f>
        <v>2025</v>
      </c>
      <c r="D663" t="str">
        <f>IF(tbl_main[[#This Row],[Date]]="","",TEXT(B663,"mmm"))</f>
        <v>Aug</v>
      </c>
      <c r="E663" t="str">
        <f>IF(tbl_main[[#This Row],[Date]]="","",TEXT(B663,"DDD"))</f>
        <v>Tue</v>
      </c>
      <c r="F663" t="s">
        <v>30</v>
      </c>
      <c r="G663" t="s">
        <v>36</v>
      </c>
      <c r="H663" s="3" t="s">
        <v>18</v>
      </c>
      <c r="I663" s="3" t="s">
        <v>19</v>
      </c>
      <c r="J663" s="3" t="s">
        <v>32</v>
      </c>
      <c r="K663" s="3">
        <f>_xlfn.XLOOKUP(tbl_main[[#This Row],[Service]],tbl_service[Service],tbl_service[Price],"")</f>
        <v>500</v>
      </c>
      <c r="L663" s="3">
        <v>1</v>
      </c>
      <c r="M663" s="3">
        <f>IF(AND(tbl_main[[#This Row],[Price]]="",tbl_main[[#This Row],[Qty]]=""),"",tbl_main[[#This Row],[Price]]*tbl_main[[#This Row],[Qty]])</f>
        <v>500</v>
      </c>
      <c r="N663" s="3">
        <f>_xlfn.LET(_xlpm.x,_xlfn.XLOOKUP(tbl_main[[#This Row],[Service]],tbl_service[Service],tbl_service[Profit],""),
               IF(tbl_main[[#This Row],[Qty]]="","",_xlpm.x*tbl_main[[#This Row],[Qty]]))</f>
        <v>157</v>
      </c>
    </row>
    <row r="664" spans="1:14" x14ac:dyDescent="0.25">
      <c r="A664" t="s">
        <v>706</v>
      </c>
      <c r="B664" s="1">
        <v>45875</v>
      </c>
      <c r="C664">
        <f>IF(tbl_main[[#This Row],[Date]]="","",YEAR(B664))</f>
        <v>2025</v>
      </c>
      <c r="D664" t="str">
        <f>IF(tbl_main[[#This Row],[Date]]="","",TEXT(B664,"mmm"))</f>
        <v>Aug</v>
      </c>
      <c r="E664" t="str">
        <f>IF(tbl_main[[#This Row],[Date]]="","",TEXT(B664,"DDD"))</f>
        <v>Wed</v>
      </c>
      <c r="F664" t="s">
        <v>13</v>
      </c>
      <c r="G664" t="s">
        <v>14</v>
      </c>
      <c r="H664" s="3" t="s">
        <v>26</v>
      </c>
      <c r="I664" s="3" t="s">
        <v>19</v>
      </c>
      <c r="J664" s="3" t="s">
        <v>17</v>
      </c>
      <c r="K664" s="3">
        <f>_xlfn.XLOOKUP(tbl_main[[#This Row],[Service]],tbl_service[Service],tbl_service[Price],"")</f>
        <v>200</v>
      </c>
      <c r="L664" s="3">
        <v>1</v>
      </c>
      <c r="M664" s="3">
        <f>IF(AND(tbl_main[[#This Row],[Price]]="",tbl_main[[#This Row],[Qty]]=""),"",tbl_main[[#This Row],[Price]]*tbl_main[[#This Row],[Qty]])</f>
        <v>200</v>
      </c>
      <c r="N664" s="3">
        <f>_xlfn.LET(_xlpm.x,_xlfn.XLOOKUP(tbl_main[[#This Row],[Service]],tbl_service[Service],tbl_service[Profit],""),
               IF(tbl_main[[#This Row],[Qty]]="","",_xlpm.x*tbl_main[[#This Row],[Qty]]))</f>
        <v>90</v>
      </c>
    </row>
    <row r="665" spans="1:14" x14ac:dyDescent="0.25">
      <c r="A665" t="s">
        <v>707</v>
      </c>
      <c r="B665" s="1">
        <v>45875</v>
      </c>
      <c r="C665">
        <f>IF(tbl_main[[#This Row],[Date]]="","",YEAR(B665))</f>
        <v>2025</v>
      </c>
      <c r="D665" t="str">
        <f>IF(tbl_main[[#This Row],[Date]]="","",TEXT(B665,"mmm"))</f>
        <v>Aug</v>
      </c>
      <c r="E665" t="str">
        <f>IF(tbl_main[[#This Row],[Date]]="","",TEXT(B665,"DDD"))</f>
        <v>Wed</v>
      </c>
      <c r="F665" t="s">
        <v>27</v>
      </c>
      <c r="G665" t="s">
        <v>40</v>
      </c>
      <c r="H665" s="3" t="s">
        <v>18</v>
      </c>
      <c r="I665" s="3" t="s">
        <v>41</v>
      </c>
      <c r="J665" s="3" t="s">
        <v>32</v>
      </c>
      <c r="K665" s="3">
        <f>_xlfn.XLOOKUP(tbl_main[[#This Row],[Service]],tbl_service[Service],tbl_service[Price],"")</f>
        <v>500</v>
      </c>
      <c r="L665" s="3">
        <v>2</v>
      </c>
      <c r="M665" s="3">
        <f>IF(AND(tbl_main[[#This Row],[Price]]="",tbl_main[[#This Row],[Qty]]=""),"",tbl_main[[#This Row],[Price]]*tbl_main[[#This Row],[Qty]])</f>
        <v>1000</v>
      </c>
      <c r="N665" s="3">
        <f>_xlfn.LET(_xlpm.x,_xlfn.XLOOKUP(tbl_main[[#This Row],[Service]],tbl_service[Service],tbl_service[Profit],""),
               IF(tbl_main[[#This Row],[Qty]]="","",_xlpm.x*tbl_main[[#This Row],[Qty]]))</f>
        <v>314</v>
      </c>
    </row>
    <row r="666" spans="1:14" x14ac:dyDescent="0.25">
      <c r="A666" t="s">
        <v>708</v>
      </c>
      <c r="B666" s="1">
        <v>45875</v>
      </c>
      <c r="C666">
        <f>IF(tbl_main[[#This Row],[Date]]="","",YEAR(B666))</f>
        <v>2025</v>
      </c>
      <c r="D666" t="str">
        <f>IF(tbl_main[[#This Row],[Date]]="","",TEXT(B666,"mmm"))</f>
        <v>Aug</v>
      </c>
      <c r="E666" t="str">
        <f>IF(tbl_main[[#This Row],[Date]]="","",TEXT(B666,"DDD"))</f>
        <v>Wed</v>
      </c>
      <c r="F666" t="s">
        <v>27</v>
      </c>
      <c r="G666" t="s">
        <v>28</v>
      </c>
      <c r="H666" s="3" t="s">
        <v>18</v>
      </c>
      <c r="I666" s="3" t="s">
        <v>41</v>
      </c>
      <c r="J666" s="3" t="s">
        <v>25</v>
      </c>
      <c r="K666" s="3">
        <f>_xlfn.XLOOKUP(tbl_main[[#This Row],[Service]],tbl_service[Service],tbl_service[Price],"")</f>
        <v>500</v>
      </c>
      <c r="L666" s="3">
        <v>2</v>
      </c>
      <c r="M666" s="3">
        <f>IF(AND(tbl_main[[#This Row],[Price]]="",tbl_main[[#This Row],[Qty]]=""),"",tbl_main[[#This Row],[Price]]*tbl_main[[#This Row],[Qty]])</f>
        <v>1000</v>
      </c>
      <c r="N666" s="3">
        <f>_xlfn.LET(_xlpm.x,_xlfn.XLOOKUP(tbl_main[[#This Row],[Service]],tbl_service[Service],tbl_service[Profit],""),
               IF(tbl_main[[#This Row],[Qty]]="","",_xlpm.x*tbl_main[[#This Row],[Qty]]))</f>
        <v>314</v>
      </c>
    </row>
    <row r="667" spans="1:14" x14ac:dyDescent="0.25">
      <c r="A667" t="s">
        <v>709</v>
      </c>
      <c r="B667" s="1">
        <v>45875</v>
      </c>
      <c r="C667">
        <f>IF(tbl_main[[#This Row],[Date]]="","",YEAR(B667))</f>
        <v>2025</v>
      </c>
      <c r="D667" t="str">
        <f>IF(tbl_main[[#This Row],[Date]]="","",TEXT(B667,"mmm"))</f>
        <v>Aug</v>
      </c>
      <c r="E667" t="str">
        <f>IF(tbl_main[[#This Row],[Date]]="","",TEXT(B667,"DDD"))</f>
        <v>Wed</v>
      </c>
      <c r="F667" t="s">
        <v>27</v>
      </c>
      <c r="G667" t="s">
        <v>28</v>
      </c>
      <c r="H667" s="3" t="s">
        <v>24</v>
      </c>
      <c r="I667" s="3" t="s">
        <v>35</v>
      </c>
      <c r="J667" s="3" t="s">
        <v>25</v>
      </c>
      <c r="K667" s="3">
        <f>_xlfn.XLOOKUP(tbl_main[[#This Row],[Service]],tbl_service[Service],tbl_service[Price],"")</f>
        <v>80</v>
      </c>
      <c r="L667" s="3">
        <v>1</v>
      </c>
      <c r="M667" s="3">
        <f>IF(AND(tbl_main[[#This Row],[Price]]="",tbl_main[[#This Row],[Qty]]=""),"",tbl_main[[#This Row],[Price]]*tbl_main[[#This Row],[Qty]])</f>
        <v>80</v>
      </c>
      <c r="N667" s="3">
        <f>_xlfn.LET(_xlpm.x,_xlfn.XLOOKUP(tbl_main[[#This Row],[Service]],tbl_service[Service],tbl_service[Profit],""),
               IF(tbl_main[[#This Row],[Qty]]="","",_xlpm.x*tbl_main[[#This Row],[Qty]]))</f>
        <v>36</v>
      </c>
    </row>
    <row r="668" spans="1:14" x14ac:dyDescent="0.25">
      <c r="A668" t="s">
        <v>710</v>
      </c>
      <c r="B668" s="1">
        <v>45876</v>
      </c>
      <c r="C668">
        <f>IF(tbl_main[[#This Row],[Date]]="","",YEAR(B668))</f>
        <v>2025</v>
      </c>
      <c r="D668" t="str">
        <f>IF(tbl_main[[#This Row],[Date]]="","",TEXT(B668,"mmm"))</f>
        <v>Aug</v>
      </c>
      <c r="E668" t="str">
        <f>IF(tbl_main[[#This Row],[Date]]="","",TEXT(B668,"DDD"))</f>
        <v>Thu</v>
      </c>
      <c r="F668" t="s">
        <v>13</v>
      </c>
      <c r="G668" t="s">
        <v>14</v>
      </c>
      <c r="H668" s="3" t="s">
        <v>34</v>
      </c>
      <c r="I668" s="3" t="s">
        <v>35</v>
      </c>
      <c r="J668" s="3" t="s">
        <v>17</v>
      </c>
      <c r="K668" s="3">
        <f>_xlfn.XLOOKUP(tbl_main[[#This Row],[Service]],tbl_service[Service],tbl_service[Price],"")</f>
        <v>100</v>
      </c>
      <c r="L668" s="3">
        <v>1</v>
      </c>
      <c r="M668" s="3">
        <f>IF(AND(tbl_main[[#This Row],[Price]]="",tbl_main[[#This Row],[Qty]]=""),"",tbl_main[[#This Row],[Price]]*tbl_main[[#This Row],[Qty]])</f>
        <v>100</v>
      </c>
      <c r="N668" s="3">
        <f>_xlfn.LET(_xlpm.x,_xlfn.XLOOKUP(tbl_main[[#This Row],[Service]],tbl_service[Service],tbl_service[Profit],""),
               IF(tbl_main[[#This Row],[Qty]]="","",_xlpm.x*tbl_main[[#This Row],[Qty]]))</f>
        <v>45</v>
      </c>
    </row>
    <row r="669" spans="1:14" x14ac:dyDescent="0.25">
      <c r="A669" t="s">
        <v>711</v>
      </c>
      <c r="B669" s="1">
        <v>45876</v>
      </c>
      <c r="C669">
        <f>IF(tbl_main[[#This Row],[Date]]="","",YEAR(B669))</f>
        <v>2025</v>
      </c>
      <c r="D669" t="str">
        <f>IF(tbl_main[[#This Row],[Date]]="","",TEXT(B669,"mmm"))</f>
        <v>Aug</v>
      </c>
      <c r="E669" t="str">
        <f>IF(tbl_main[[#This Row],[Date]]="","",TEXT(B669,"DDD"))</f>
        <v>Thu</v>
      </c>
      <c r="F669" t="s">
        <v>30</v>
      </c>
      <c r="G669" t="s">
        <v>31</v>
      </c>
      <c r="H669" s="3" t="s">
        <v>15</v>
      </c>
      <c r="I669" s="3" t="s">
        <v>23</v>
      </c>
      <c r="J669" s="3" t="s">
        <v>25</v>
      </c>
      <c r="K669" s="3">
        <f>_xlfn.XLOOKUP(tbl_main[[#This Row],[Service]],tbl_service[Service],tbl_service[Price],"")</f>
        <v>500</v>
      </c>
      <c r="L669" s="3">
        <v>1</v>
      </c>
      <c r="M669" s="3">
        <f>IF(AND(tbl_main[[#This Row],[Price]]="",tbl_main[[#This Row],[Qty]]=""),"",tbl_main[[#This Row],[Price]]*tbl_main[[#This Row],[Qty]])</f>
        <v>500</v>
      </c>
      <c r="N669" s="3">
        <f>_xlfn.LET(_xlpm.x,_xlfn.XLOOKUP(tbl_main[[#This Row],[Service]],tbl_service[Service],tbl_service[Profit],""),
               IF(tbl_main[[#This Row],[Qty]]="","",_xlpm.x*tbl_main[[#This Row],[Qty]]))</f>
        <v>225</v>
      </c>
    </row>
    <row r="670" spans="1:14" x14ac:dyDescent="0.25">
      <c r="A670" t="s">
        <v>712</v>
      </c>
      <c r="B670" s="1">
        <v>45877</v>
      </c>
      <c r="C670">
        <f>IF(tbl_main[[#This Row],[Date]]="","",YEAR(B670))</f>
        <v>2025</v>
      </c>
      <c r="D670" t="str">
        <f>IF(tbl_main[[#This Row],[Date]]="","",TEXT(B670,"mmm"))</f>
        <v>Aug</v>
      </c>
      <c r="E670" t="str">
        <f>IF(tbl_main[[#This Row],[Date]]="","",TEXT(B670,"DDD"))</f>
        <v>Fri</v>
      </c>
      <c r="F670" t="s">
        <v>20</v>
      </c>
      <c r="G670" t="s">
        <v>39</v>
      </c>
      <c r="H670" s="3" t="s">
        <v>22</v>
      </c>
      <c r="I670" s="3" t="s">
        <v>37</v>
      </c>
      <c r="J670" s="3" t="s">
        <v>17</v>
      </c>
      <c r="K670" s="3">
        <f>_xlfn.XLOOKUP(tbl_main[[#This Row],[Service]],tbl_service[Service],tbl_service[Price],"")</f>
        <v>150</v>
      </c>
      <c r="L670" s="3">
        <v>2</v>
      </c>
      <c r="M670" s="3">
        <f>IF(AND(tbl_main[[#This Row],[Price]]="",tbl_main[[#This Row],[Qty]]=""),"",tbl_main[[#This Row],[Price]]*tbl_main[[#This Row],[Qty]])</f>
        <v>300</v>
      </c>
      <c r="N670" s="3">
        <f>_xlfn.LET(_xlpm.x,_xlfn.XLOOKUP(tbl_main[[#This Row],[Service]],tbl_service[Service],tbl_service[Profit],""),
               IF(tbl_main[[#This Row],[Qty]]="","",_xlpm.x*tbl_main[[#This Row],[Qty]]))</f>
        <v>134</v>
      </c>
    </row>
    <row r="671" spans="1:14" x14ac:dyDescent="0.25">
      <c r="A671" t="s">
        <v>713</v>
      </c>
      <c r="B671" s="1">
        <v>45877</v>
      </c>
      <c r="C671">
        <f>IF(tbl_main[[#This Row],[Date]]="","",YEAR(B671))</f>
        <v>2025</v>
      </c>
      <c r="D671" t="str">
        <f>IF(tbl_main[[#This Row],[Date]]="","",TEXT(B671,"mmm"))</f>
        <v>Aug</v>
      </c>
      <c r="E671" t="str">
        <f>IF(tbl_main[[#This Row],[Date]]="","",TEXT(B671,"DDD"))</f>
        <v>Fri</v>
      </c>
      <c r="F671" t="s">
        <v>30</v>
      </c>
      <c r="G671" t="s">
        <v>36</v>
      </c>
      <c r="H671" s="3" t="s">
        <v>26</v>
      </c>
      <c r="I671" s="3" t="s">
        <v>38</v>
      </c>
      <c r="J671" s="3" t="s">
        <v>25</v>
      </c>
      <c r="K671" s="3">
        <f>_xlfn.XLOOKUP(tbl_main[[#This Row],[Service]],tbl_service[Service],tbl_service[Price],"")</f>
        <v>200</v>
      </c>
      <c r="L671" s="3">
        <v>2</v>
      </c>
      <c r="M671" s="3">
        <f>IF(AND(tbl_main[[#This Row],[Price]]="",tbl_main[[#This Row],[Qty]]=""),"",tbl_main[[#This Row],[Price]]*tbl_main[[#This Row],[Qty]])</f>
        <v>400</v>
      </c>
      <c r="N671" s="3">
        <f>_xlfn.LET(_xlpm.x,_xlfn.XLOOKUP(tbl_main[[#This Row],[Service]],tbl_service[Service],tbl_service[Profit],""),
               IF(tbl_main[[#This Row],[Qty]]="","",_xlpm.x*tbl_main[[#This Row],[Qty]]))</f>
        <v>180</v>
      </c>
    </row>
    <row r="672" spans="1:14" x14ac:dyDescent="0.25">
      <c r="A672" t="s">
        <v>714</v>
      </c>
      <c r="B672" s="1">
        <v>45877</v>
      </c>
      <c r="C672">
        <f>IF(tbl_main[[#This Row],[Date]]="","",YEAR(B672))</f>
        <v>2025</v>
      </c>
      <c r="D672" t="str">
        <f>IF(tbl_main[[#This Row],[Date]]="","",TEXT(B672,"mmm"))</f>
        <v>Aug</v>
      </c>
      <c r="E672" t="str">
        <f>IF(tbl_main[[#This Row],[Date]]="","",TEXT(B672,"DDD"))</f>
        <v>Fri</v>
      </c>
      <c r="F672" t="s">
        <v>30</v>
      </c>
      <c r="G672" t="s">
        <v>36</v>
      </c>
      <c r="H672" s="3" t="s">
        <v>24</v>
      </c>
      <c r="I672" s="3" t="s">
        <v>16</v>
      </c>
      <c r="J672" s="3" t="s">
        <v>17</v>
      </c>
      <c r="K672" s="3">
        <f>_xlfn.XLOOKUP(tbl_main[[#This Row],[Service]],tbl_service[Service],tbl_service[Price],"")</f>
        <v>80</v>
      </c>
      <c r="L672" s="3">
        <v>2</v>
      </c>
      <c r="M672" s="3">
        <f>IF(AND(tbl_main[[#This Row],[Price]]="",tbl_main[[#This Row],[Qty]]=""),"",tbl_main[[#This Row],[Price]]*tbl_main[[#This Row],[Qty]])</f>
        <v>160</v>
      </c>
      <c r="N672" s="3">
        <f>_xlfn.LET(_xlpm.x,_xlfn.XLOOKUP(tbl_main[[#This Row],[Service]],tbl_service[Service],tbl_service[Profit],""),
               IF(tbl_main[[#This Row],[Qty]]="","",_xlpm.x*tbl_main[[#This Row],[Qty]]))</f>
        <v>72</v>
      </c>
    </row>
    <row r="673" spans="1:14" x14ac:dyDescent="0.25">
      <c r="A673" t="s">
        <v>715</v>
      </c>
      <c r="B673" s="1">
        <v>45878</v>
      </c>
      <c r="C673">
        <f>IF(tbl_main[[#This Row],[Date]]="","",YEAR(B673))</f>
        <v>2025</v>
      </c>
      <c r="D673" t="str">
        <f>IF(tbl_main[[#This Row],[Date]]="","",TEXT(B673,"mmm"))</f>
        <v>Aug</v>
      </c>
      <c r="E673" t="str">
        <f>IF(tbl_main[[#This Row],[Date]]="","",TEXT(B673,"DDD"))</f>
        <v>Sat</v>
      </c>
      <c r="F673" t="s">
        <v>27</v>
      </c>
      <c r="G673" t="s">
        <v>40</v>
      </c>
      <c r="H673" s="3" t="s">
        <v>26</v>
      </c>
      <c r="I673" s="3" t="s">
        <v>19</v>
      </c>
      <c r="J673" s="3" t="s">
        <v>25</v>
      </c>
      <c r="K673" s="3">
        <f>_xlfn.XLOOKUP(tbl_main[[#This Row],[Service]],tbl_service[Service],tbl_service[Price],"")</f>
        <v>200</v>
      </c>
      <c r="L673" s="3">
        <v>2</v>
      </c>
      <c r="M673" s="3">
        <f>IF(AND(tbl_main[[#This Row],[Price]]="",tbl_main[[#This Row],[Qty]]=""),"",tbl_main[[#This Row],[Price]]*tbl_main[[#This Row],[Qty]])</f>
        <v>400</v>
      </c>
      <c r="N673" s="3">
        <f>_xlfn.LET(_xlpm.x,_xlfn.XLOOKUP(tbl_main[[#This Row],[Service]],tbl_service[Service],tbl_service[Profit],""),
               IF(tbl_main[[#This Row],[Qty]]="","",_xlpm.x*tbl_main[[#This Row],[Qty]]))</f>
        <v>180</v>
      </c>
    </row>
    <row r="674" spans="1:14" x14ac:dyDescent="0.25">
      <c r="A674" t="s">
        <v>716</v>
      </c>
      <c r="B674" s="1">
        <v>45878</v>
      </c>
      <c r="C674">
        <f>IF(tbl_main[[#This Row],[Date]]="","",YEAR(B674))</f>
        <v>2025</v>
      </c>
      <c r="D674" t="str">
        <f>IF(tbl_main[[#This Row],[Date]]="","",TEXT(B674,"mmm"))</f>
        <v>Aug</v>
      </c>
      <c r="E674" t="str">
        <f>IF(tbl_main[[#This Row],[Date]]="","",TEXT(B674,"DDD"))</f>
        <v>Sat</v>
      </c>
      <c r="F674" t="s">
        <v>30</v>
      </c>
      <c r="G674" t="s">
        <v>36</v>
      </c>
      <c r="H674" s="3" t="s">
        <v>24</v>
      </c>
      <c r="I674" s="3" t="s">
        <v>19</v>
      </c>
      <c r="J674" s="3" t="s">
        <v>17</v>
      </c>
      <c r="K674" s="3">
        <f>_xlfn.XLOOKUP(tbl_main[[#This Row],[Service]],tbl_service[Service],tbl_service[Price],"")</f>
        <v>80</v>
      </c>
      <c r="L674" s="3">
        <v>2</v>
      </c>
      <c r="M674" s="3">
        <f>IF(AND(tbl_main[[#This Row],[Price]]="",tbl_main[[#This Row],[Qty]]=""),"",tbl_main[[#This Row],[Price]]*tbl_main[[#This Row],[Qty]])</f>
        <v>160</v>
      </c>
      <c r="N674" s="3">
        <f>_xlfn.LET(_xlpm.x,_xlfn.XLOOKUP(tbl_main[[#This Row],[Service]],tbl_service[Service],tbl_service[Profit],""),
               IF(tbl_main[[#This Row],[Qty]]="","",_xlpm.x*tbl_main[[#This Row],[Qty]]))</f>
        <v>72</v>
      </c>
    </row>
    <row r="675" spans="1:14" x14ac:dyDescent="0.25">
      <c r="A675" t="s">
        <v>717</v>
      </c>
      <c r="B675" s="1">
        <v>45878</v>
      </c>
      <c r="C675">
        <f>IF(tbl_main[[#This Row],[Date]]="","",YEAR(B675))</f>
        <v>2025</v>
      </c>
      <c r="D675" t="str">
        <f>IF(tbl_main[[#This Row],[Date]]="","",TEXT(B675,"mmm"))</f>
        <v>Aug</v>
      </c>
      <c r="E675" t="str">
        <f>IF(tbl_main[[#This Row],[Date]]="","",TEXT(B675,"DDD"))</f>
        <v>Sat</v>
      </c>
      <c r="F675" t="s">
        <v>20</v>
      </c>
      <c r="G675" t="s">
        <v>21</v>
      </c>
      <c r="H675" s="3" t="s">
        <v>22</v>
      </c>
      <c r="I675" s="3" t="s">
        <v>41</v>
      </c>
      <c r="J675" s="3" t="s">
        <v>25</v>
      </c>
      <c r="K675" s="3">
        <f>_xlfn.XLOOKUP(tbl_main[[#This Row],[Service]],tbl_service[Service],tbl_service[Price],"")</f>
        <v>150</v>
      </c>
      <c r="L675" s="3">
        <v>1</v>
      </c>
      <c r="M675" s="3">
        <f>IF(AND(tbl_main[[#This Row],[Price]]="",tbl_main[[#This Row],[Qty]]=""),"",tbl_main[[#This Row],[Price]]*tbl_main[[#This Row],[Qty]])</f>
        <v>150</v>
      </c>
      <c r="N675" s="3">
        <f>_xlfn.LET(_xlpm.x,_xlfn.XLOOKUP(tbl_main[[#This Row],[Service]],tbl_service[Service],tbl_service[Profit],""),
               IF(tbl_main[[#This Row],[Qty]]="","",_xlpm.x*tbl_main[[#This Row],[Qty]]))</f>
        <v>67</v>
      </c>
    </row>
    <row r="676" spans="1:14" x14ac:dyDescent="0.25">
      <c r="A676" t="s">
        <v>718</v>
      </c>
      <c r="B676" s="1">
        <v>45878</v>
      </c>
      <c r="C676">
        <f>IF(tbl_main[[#This Row],[Date]]="","",YEAR(B676))</f>
        <v>2025</v>
      </c>
      <c r="D676" t="str">
        <f>IF(tbl_main[[#This Row],[Date]]="","",TEXT(B676,"mmm"))</f>
        <v>Aug</v>
      </c>
      <c r="E676" t="str">
        <f>IF(tbl_main[[#This Row],[Date]]="","",TEXT(B676,"DDD"))</f>
        <v>Sat</v>
      </c>
      <c r="F676" t="s">
        <v>30</v>
      </c>
      <c r="G676" t="s">
        <v>31</v>
      </c>
      <c r="H676" s="3" t="s">
        <v>26</v>
      </c>
      <c r="I676" s="3" t="s">
        <v>41</v>
      </c>
      <c r="J676" s="3" t="s">
        <v>32</v>
      </c>
      <c r="K676" s="3">
        <f>_xlfn.XLOOKUP(tbl_main[[#This Row],[Service]],tbl_service[Service],tbl_service[Price],"")</f>
        <v>200</v>
      </c>
      <c r="L676" s="3">
        <v>1</v>
      </c>
      <c r="M676" s="3">
        <f>IF(AND(tbl_main[[#This Row],[Price]]="",tbl_main[[#This Row],[Qty]]=""),"",tbl_main[[#This Row],[Price]]*tbl_main[[#This Row],[Qty]])</f>
        <v>200</v>
      </c>
      <c r="N676" s="3">
        <f>_xlfn.LET(_xlpm.x,_xlfn.XLOOKUP(tbl_main[[#This Row],[Service]],tbl_service[Service],tbl_service[Profit],""),
               IF(tbl_main[[#This Row],[Qty]]="","",_xlpm.x*tbl_main[[#This Row],[Qty]]))</f>
        <v>90</v>
      </c>
    </row>
    <row r="677" spans="1:14" x14ac:dyDescent="0.25">
      <c r="A677" t="s">
        <v>719</v>
      </c>
      <c r="B677" s="1">
        <v>45879</v>
      </c>
      <c r="C677">
        <f>IF(tbl_main[[#This Row],[Date]]="","",YEAR(B677))</f>
        <v>2025</v>
      </c>
      <c r="D677" t="str">
        <f>IF(tbl_main[[#This Row],[Date]]="","",TEXT(B677,"mmm"))</f>
        <v>Aug</v>
      </c>
      <c r="E677" t="str">
        <f>IF(tbl_main[[#This Row],[Date]]="","",TEXT(B677,"DDD"))</f>
        <v>Sun</v>
      </c>
      <c r="F677" t="s">
        <v>27</v>
      </c>
      <c r="G677" t="s">
        <v>40</v>
      </c>
      <c r="H677" s="3" t="s">
        <v>24</v>
      </c>
      <c r="I677" s="3" t="s">
        <v>35</v>
      </c>
      <c r="J677" s="3" t="s">
        <v>32</v>
      </c>
      <c r="K677" s="3">
        <f>_xlfn.XLOOKUP(tbl_main[[#This Row],[Service]],tbl_service[Service],tbl_service[Price],"")</f>
        <v>80</v>
      </c>
      <c r="L677" s="3">
        <v>1</v>
      </c>
      <c r="M677" s="3">
        <f>IF(AND(tbl_main[[#This Row],[Price]]="",tbl_main[[#This Row],[Qty]]=""),"",tbl_main[[#This Row],[Price]]*tbl_main[[#This Row],[Qty]])</f>
        <v>80</v>
      </c>
      <c r="N677" s="3">
        <f>_xlfn.LET(_xlpm.x,_xlfn.XLOOKUP(tbl_main[[#This Row],[Service]],tbl_service[Service],tbl_service[Profit],""),
               IF(tbl_main[[#This Row],[Qty]]="","",_xlpm.x*tbl_main[[#This Row],[Qty]]))</f>
        <v>36</v>
      </c>
    </row>
    <row r="678" spans="1:14" x14ac:dyDescent="0.25">
      <c r="A678" t="s">
        <v>720</v>
      </c>
      <c r="B678" s="1">
        <v>45879</v>
      </c>
      <c r="C678">
        <f>IF(tbl_main[[#This Row],[Date]]="","",YEAR(B678))</f>
        <v>2025</v>
      </c>
      <c r="D678" t="str">
        <f>IF(tbl_main[[#This Row],[Date]]="","",TEXT(B678,"mmm"))</f>
        <v>Aug</v>
      </c>
      <c r="E678" t="str">
        <f>IF(tbl_main[[#This Row],[Date]]="","",TEXT(B678,"DDD"))</f>
        <v>Sun</v>
      </c>
      <c r="F678" t="s">
        <v>13</v>
      </c>
      <c r="G678" t="s">
        <v>14</v>
      </c>
      <c r="H678" s="3" t="s">
        <v>18</v>
      </c>
      <c r="I678" s="3" t="s">
        <v>35</v>
      </c>
      <c r="J678" s="3" t="s">
        <v>25</v>
      </c>
      <c r="K678" s="3">
        <f>_xlfn.XLOOKUP(tbl_main[[#This Row],[Service]],tbl_service[Service],tbl_service[Price],"")</f>
        <v>500</v>
      </c>
      <c r="L678" s="3">
        <v>2</v>
      </c>
      <c r="M678" s="3">
        <f>IF(AND(tbl_main[[#This Row],[Price]]="",tbl_main[[#This Row],[Qty]]=""),"",tbl_main[[#This Row],[Price]]*tbl_main[[#This Row],[Qty]])</f>
        <v>1000</v>
      </c>
      <c r="N678" s="3">
        <f>_xlfn.LET(_xlpm.x,_xlfn.XLOOKUP(tbl_main[[#This Row],[Service]],tbl_service[Service],tbl_service[Profit],""),
               IF(tbl_main[[#This Row],[Qty]]="","",_xlpm.x*tbl_main[[#This Row],[Qty]]))</f>
        <v>314</v>
      </c>
    </row>
    <row r="679" spans="1:14" x14ac:dyDescent="0.25">
      <c r="A679" t="s">
        <v>721</v>
      </c>
      <c r="B679" s="1">
        <v>45879</v>
      </c>
      <c r="C679">
        <f>IF(tbl_main[[#This Row],[Date]]="","",YEAR(B679))</f>
        <v>2025</v>
      </c>
      <c r="D679" t="str">
        <f>IF(tbl_main[[#This Row],[Date]]="","",TEXT(B679,"mmm"))</f>
        <v>Aug</v>
      </c>
      <c r="E679" t="str">
        <f>IF(tbl_main[[#This Row],[Date]]="","",TEXT(B679,"DDD"))</f>
        <v>Sun</v>
      </c>
      <c r="F679" t="s">
        <v>13</v>
      </c>
      <c r="G679" t="s">
        <v>14</v>
      </c>
      <c r="H679" s="3" t="s">
        <v>18</v>
      </c>
      <c r="I679" s="3" t="s">
        <v>23</v>
      </c>
      <c r="J679" s="3" t="s">
        <v>17</v>
      </c>
      <c r="K679" s="3">
        <f>_xlfn.XLOOKUP(tbl_main[[#This Row],[Service]],tbl_service[Service],tbl_service[Price],"")</f>
        <v>500</v>
      </c>
      <c r="L679" s="3">
        <v>2</v>
      </c>
      <c r="M679" s="3">
        <f>IF(AND(tbl_main[[#This Row],[Price]]="",tbl_main[[#This Row],[Qty]]=""),"",tbl_main[[#This Row],[Price]]*tbl_main[[#This Row],[Qty]])</f>
        <v>1000</v>
      </c>
      <c r="N679" s="3">
        <f>_xlfn.LET(_xlpm.x,_xlfn.XLOOKUP(tbl_main[[#This Row],[Service]],tbl_service[Service],tbl_service[Profit],""),
               IF(tbl_main[[#This Row],[Qty]]="","",_xlpm.x*tbl_main[[#This Row],[Qty]]))</f>
        <v>314</v>
      </c>
    </row>
    <row r="680" spans="1:14" x14ac:dyDescent="0.25">
      <c r="A680" t="s">
        <v>722</v>
      </c>
      <c r="B680" s="1">
        <v>45880</v>
      </c>
      <c r="C680">
        <f>IF(tbl_main[[#This Row],[Date]]="","",YEAR(B680))</f>
        <v>2025</v>
      </c>
      <c r="D680" t="str">
        <f>IF(tbl_main[[#This Row],[Date]]="","",TEXT(B680,"mmm"))</f>
        <v>Aug</v>
      </c>
      <c r="E680" t="str">
        <f>IF(tbl_main[[#This Row],[Date]]="","",TEXT(B680,"DDD"))</f>
        <v>Mon</v>
      </c>
      <c r="F680" t="s">
        <v>27</v>
      </c>
      <c r="G680" t="s">
        <v>40</v>
      </c>
      <c r="H680" s="3" t="s">
        <v>18</v>
      </c>
      <c r="I680" s="3" t="s">
        <v>37</v>
      </c>
      <c r="J680" s="3" t="s">
        <v>17</v>
      </c>
      <c r="K680" s="3">
        <f>_xlfn.XLOOKUP(tbl_main[[#This Row],[Service]],tbl_service[Service],tbl_service[Price],"")</f>
        <v>500</v>
      </c>
      <c r="L680" s="3">
        <v>1</v>
      </c>
      <c r="M680" s="3">
        <f>IF(AND(tbl_main[[#This Row],[Price]]="",tbl_main[[#This Row],[Qty]]=""),"",tbl_main[[#This Row],[Price]]*tbl_main[[#This Row],[Qty]])</f>
        <v>500</v>
      </c>
      <c r="N680" s="3">
        <f>_xlfn.LET(_xlpm.x,_xlfn.XLOOKUP(tbl_main[[#This Row],[Service]],tbl_service[Service],tbl_service[Profit],""),
               IF(tbl_main[[#This Row],[Qty]]="","",_xlpm.x*tbl_main[[#This Row],[Qty]]))</f>
        <v>157</v>
      </c>
    </row>
    <row r="681" spans="1:14" x14ac:dyDescent="0.25">
      <c r="A681" t="s">
        <v>723</v>
      </c>
      <c r="B681" s="1">
        <v>45880</v>
      </c>
      <c r="C681">
        <f>IF(tbl_main[[#This Row],[Date]]="","",YEAR(B681))</f>
        <v>2025</v>
      </c>
      <c r="D681" t="str">
        <f>IF(tbl_main[[#This Row],[Date]]="","",TEXT(B681,"mmm"))</f>
        <v>Aug</v>
      </c>
      <c r="E681" t="str">
        <f>IF(tbl_main[[#This Row],[Date]]="","",TEXT(B681,"DDD"))</f>
        <v>Mon</v>
      </c>
      <c r="F681" t="s">
        <v>30</v>
      </c>
      <c r="G681" t="s">
        <v>31</v>
      </c>
      <c r="H681" s="3" t="s">
        <v>34</v>
      </c>
      <c r="I681" s="3" t="s">
        <v>38</v>
      </c>
      <c r="J681" s="3" t="s">
        <v>25</v>
      </c>
      <c r="K681" s="3">
        <f>_xlfn.XLOOKUP(tbl_main[[#This Row],[Service]],tbl_service[Service],tbl_service[Price],"")</f>
        <v>100</v>
      </c>
      <c r="L681" s="3">
        <v>2</v>
      </c>
      <c r="M681" s="3">
        <f>IF(AND(tbl_main[[#This Row],[Price]]="",tbl_main[[#This Row],[Qty]]=""),"",tbl_main[[#This Row],[Price]]*tbl_main[[#This Row],[Qty]])</f>
        <v>200</v>
      </c>
      <c r="N681" s="3">
        <f>_xlfn.LET(_xlpm.x,_xlfn.XLOOKUP(tbl_main[[#This Row],[Service]],tbl_service[Service],tbl_service[Profit],""),
               IF(tbl_main[[#This Row],[Qty]]="","",_xlpm.x*tbl_main[[#This Row],[Qty]]))</f>
        <v>90</v>
      </c>
    </row>
    <row r="682" spans="1:14" x14ac:dyDescent="0.25">
      <c r="A682" t="s">
        <v>724</v>
      </c>
      <c r="B682" s="1">
        <v>45880</v>
      </c>
      <c r="C682">
        <f>IF(tbl_main[[#This Row],[Date]]="","",YEAR(B682))</f>
        <v>2025</v>
      </c>
      <c r="D682" t="str">
        <f>IF(tbl_main[[#This Row],[Date]]="","",TEXT(B682,"mmm"))</f>
        <v>Aug</v>
      </c>
      <c r="E682" t="str">
        <f>IF(tbl_main[[#This Row],[Date]]="","",TEXT(B682,"DDD"))</f>
        <v>Mon</v>
      </c>
      <c r="F682" t="s">
        <v>20</v>
      </c>
      <c r="G682" t="s">
        <v>39</v>
      </c>
      <c r="H682" s="3" t="s">
        <v>18</v>
      </c>
      <c r="I682" s="3" t="s">
        <v>16</v>
      </c>
      <c r="J682" s="3" t="s">
        <v>32</v>
      </c>
      <c r="K682" s="3">
        <f>_xlfn.XLOOKUP(tbl_main[[#This Row],[Service]],tbl_service[Service],tbl_service[Price],"")</f>
        <v>500</v>
      </c>
      <c r="L682" s="3">
        <v>1</v>
      </c>
      <c r="M682" s="3">
        <f>IF(AND(tbl_main[[#This Row],[Price]]="",tbl_main[[#This Row],[Qty]]=""),"",tbl_main[[#This Row],[Price]]*tbl_main[[#This Row],[Qty]])</f>
        <v>500</v>
      </c>
      <c r="N682" s="3">
        <f>_xlfn.LET(_xlpm.x,_xlfn.XLOOKUP(tbl_main[[#This Row],[Service]],tbl_service[Service],tbl_service[Profit],""),
               IF(tbl_main[[#This Row],[Qty]]="","",_xlpm.x*tbl_main[[#This Row],[Qty]]))</f>
        <v>157</v>
      </c>
    </row>
    <row r="683" spans="1:14" x14ac:dyDescent="0.25">
      <c r="A683" t="s">
        <v>725</v>
      </c>
      <c r="B683" s="1">
        <v>45880</v>
      </c>
      <c r="C683">
        <f>IF(tbl_main[[#This Row],[Date]]="","",YEAR(B683))</f>
        <v>2025</v>
      </c>
      <c r="D683" t="str">
        <f>IF(tbl_main[[#This Row],[Date]]="","",TEXT(B683,"mmm"))</f>
        <v>Aug</v>
      </c>
      <c r="E683" t="str">
        <f>IF(tbl_main[[#This Row],[Date]]="","",TEXT(B683,"DDD"))</f>
        <v>Mon</v>
      </c>
      <c r="F683" t="s">
        <v>30</v>
      </c>
      <c r="G683" t="s">
        <v>31</v>
      </c>
      <c r="H683" s="3" t="s">
        <v>34</v>
      </c>
      <c r="I683" s="3" t="s">
        <v>19</v>
      </c>
      <c r="J683" s="3" t="s">
        <v>17</v>
      </c>
      <c r="K683" s="3">
        <f>_xlfn.XLOOKUP(tbl_main[[#This Row],[Service]],tbl_service[Service],tbl_service[Price],"")</f>
        <v>100</v>
      </c>
      <c r="L683" s="3">
        <v>2</v>
      </c>
      <c r="M683" s="3">
        <f>IF(AND(tbl_main[[#This Row],[Price]]="",tbl_main[[#This Row],[Qty]]=""),"",tbl_main[[#This Row],[Price]]*tbl_main[[#This Row],[Qty]])</f>
        <v>200</v>
      </c>
      <c r="N683" s="3">
        <f>_xlfn.LET(_xlpm.x,_xlfn.XLOOKUP(tbl_main[[#This Row],[Service]],tbl_service[Service],tbl_service[Profit],""),
               IF(tbl_main[[#This Row],[Qty]]="","",_xlpm.x*tbl_main[[#This Row],[Qty]]))</f>
        <v>90</v>
      </c>
    </row>
    <row r="684" spans="1:14" x14ac:dyDescent="0.25">
      <c r="A684" t="s">
        <v>726</v>
      </c>
      <c r="B684" s="1">
        <v>45881</v>
      </c>
      <c r="C684">
        <f>IF(tbl_main[[#This Row],[Date]]="","",YEAR(B684))</f>
        <v>2025</v>
      </c>
      <c r="D684" t="str">
        <f>IF(tbl_main[[#This Row],[Date]]="","",TEXT(B684,"mmm"))</f>
        <v>Aug</v>
      </c>
      <c r="E684" t="str">
        <f>IF(tbl_main[[#This Row],[Date]]="","",TEXT(B684,"DDD"))</f>
        <v>Tue</v>
      </c>
      <c r="F684" t="s">
        <v>20</v>
      </c>
      <c r="G684" t="s">
        <v>39</v>
      </c>
      <c r="H684" s="3" t="s">
        <v>15</v>
      </c>
      <c r="I684" s="3" t="s">
        <v>19</v>
      </c>
      <c r="J684" s="3" t="s">
        <v>25</v>
      </c>
      <c r="K684" s="3">
        <f>_xlfn.XLOOKUP(tbl_main[[#This Row],[Service]],tbl_service[Service],tbl_service[Price],"")</f>
        <v>500</v>
      </c>
      <c r="L684" s="3">
        <v>1</v>
      </c>
      <c r="M684" s="3">
        <f>IF(AND(tbl_main[[#This Row],[Price]]="",tbl_main[[#This Row],[Qty]]=""),"",tbl_main[[#This Row],[Price]]*tbl_main[[#This Row],[Qty]])</f>
        <v>500</v>
      </c>
      <c r="N684" s="3">
        <f>_xlfn.LET(_xlpm.x,_xlfn.XLOOKUP(tbl_main[[#This Row],[Service]],tbl_service[Service],tbl_service[Profit],""),
               IF(tbl_main[[#This Row],[Qty]]="","",_xlpm.x*tbl_main[[#This Row],[Qty]]))</f>
        <v>225</v>
      </c>
    </row>
    <row r="685" spans="1:14" x14ac:dyDescent="0.25">
      <c r="A685" t="s">
        <v>727</v>
      </c>
      <c r="B685" s="1">
        <v>45881</v>
      </c>
      <c r="C685">
        <f>IF(tbl_main[[#This Row],[Date]]="","",YEAR(B685))</f>
        <v>2025</v>
      </c>
      <c r="D685" t="str">
        <f>IF(tbl_main[[#This Row],[Date]]="","",TEXT(B685,"mmm"))</f>
        <v>Aug</v>
      </c>
      <c r="E685" t="str">
        <f>IF(tbl_main[[#This Row],[Date]]="","",TEXT(B685,"DDD"))</f>
        <v>Tue</v>
      </c>
      <c r="F685" t="s">
        <v>30</v>
      </c>
      <c r="G685" t="s">
        <v>31</v>
      </c>
      <c r="H685" s="3" t="s">
        <v>26</v>
      </c>
      <c r="I685" s="3" t="s">
        <v>41</v>
      </c>
      <c r="J685" s="3" t="s">
        <v>17</v>
      </c>
      <c r="K685" s="3">
        <f>_xlfn.XLOOKUP(tbl_main[[#This Row],[Service]],tbl_service[Service],tbl_service[Price],"")</f>
        <v>200</v>
      </c>
      <c r="L685" s="3">
        <v>2</v>
      </c>
      <c r="M685" s="3">
        <f>IF(AND(tbl_main[[#This Row],[Price]]="",tbl_main[[#This Row],[Qty]]=""),"",tbl_main[[#This Row],[Price]]*tbl_main[[#This Row],[Qty]])</f>
        <v>400</v>
      </c>
      <c r="N685" s="3">
        <f>_xlfn.LET(_xlpm.x,_xlfn.XLOOKUP(tbl_main[[#This Row],[Service]],tbl_service[Service],tbl_service[Profit],""),
               IF(tbl_main[[#This Row],[Qty]]="","",_xlpm.x*tbl_main[[#This Row],[Qty]]))</f>
        <v>180</v>
      </c>
    </row>
    <row r="686" spans="1:14" x14ac:dyDescent="0.25">
      <c r="A686" t="s">
        <v>728</v>
      </c>
      <c r="B686" s="1">
        <v>45881</v>
      </c>
      <c r="C686">
        <f>IF(tbl_main[[#This Row],[Date]]="","",YEAR(B686))</f>
        <v>2025</v>
      </c>
      <c r="D686" t="str">
        <f>IF(tbl_main[[#This Row],[Date]]="","",TEXT(B686,"mmm"))</f>
        <v>Aug</v>
      </c>
      <c r="E686" t="str">
        <f>IF(tbl_main[[#This Row],[Date]]="","",TEXT(B686,"DDD"))</f>
        <v>Tue</v>
      </c>
      <c r="F686" t="s">
        <v>20</v>
      </c>
      <c r="G686" t="s">
        <v>21</v>
      </c>
      <c r="H686" s="3" t="s">
        <v>26</v>
      </c>
      <c r="I686" s="3" t="s">
        <v>41</v>
      </c>
      <c r="J686" s="3" t="s">
        <v>25</v>
      </c>
      <c r="K686" s="3">
        <f>_xlfn.XLOOKUP(tbl_main[[#This Row],[Service]],tbl_service[Service],tbl_service[Price],"")</f>
        <v>200</v>
      </c>
      <c r="L686" s="3">
        <v>1</v>
      </c>
      <c r="M686" s="3">
        <f>IF(AND(tbl_main[[#This Row],[Price]]="",tbl_main[[#This Row],[Qty]]=""),"",tbl_main[[#This Row],[Price]]*tbl_main[[#This Row],[Qty]])</f>
        <v>200</v>
      </c>
      <c r="N686" s="3">
        <f>_xlfn.LET(_xlpm.x,_xlfn.XLOOKUP(tbl_main[[#This Row],[Service]],tbl_service[Service],tbl_service[Profit],""),
               IF(tbl_main[[#This Row],[Qty]]="","",_xlpm.x*tbl_main[[#This Row],[Qty]]))</f>
        <v>90</v>
      </c>
    </row>
    <row r="687" spans="1:14" x14ac:dyDescent="0.25">
      <c r="A687" t="s">
        <v>729</v>
      </c>
      <c r="B687" s="1">
        <v>45881</v>
      </c>
      <c r="C687">
        <f>IF(tbl_main[[#This Row],[Date]]="","",YEAR(B687))</f>
        <v>2025</v>
      </c>
      <c r="D687" t="str">
        <f>IF(tbl_main[[#This Row],[Date]]="","",TEXT(B687,"mmm"))</f>
        <v>Aug</v>
      </c>
      <c r="E687" t="str">
        <f>IF(tbl_main[[#This Row],[Date]]="","",TEXT(B687,"DDD"))</f>
        <v>Tue</v>
      </c>
      <c r="F687" t="s">
        <v>13</v>
      </c>
      <c r="G687" t="s">
        <v>33</v>
      </c>
      <c r="H687" s="3" t="s">
        <v>26</v>
      </c>
      <c r="I687" s="3" t="s">
        <v>35</v>
      </c>
      <c r="J687" s="3" t="s">
        <v>25</v>
      </c>
      <c r="K687" s="3">
        <f>_xlfn.XLOOKUP(tbl_main[[#This Row],[Service]],tbl_service[Service],tbl_service[Price],"")</f>
        <v>200</v>
      </c>
      <c r="L687" s="3">
        <v>2</v>
      </c>
      <c r="M687" s="3">
        <f>IF(AND(tbl_main[[#This Row],[Price]]="",tbl_main[[#This Row],[Qty]]=""),"",tbl_main[[#This Row],[Price]]*tbl_main[[#This Row],[Qty]])</f>
        <v>400</v>
      </c>
      <c r="N687" s="3">
        <f>_xlfn.LET(_xlpm.x,_xlfn.XLOOKUP(tbl_main[[#This Row],[Service]],tbl_service[Service],tbl_service[Profit],""),
               IF(tbl_main[[#This Row],[Qty]]="","",_xlpm.x*tbl_main[[#This Row],[Qty]]))</f>
        <v>180</v>
      </c>
    </row>
    <row r="688" spans="1:14" x14ac:dyDescent="0.25">
      <c r="A688" t="s">
        <v>730</v>
      </c>
      <c r="B688" s="1">
        <v>45882</v>
      </c>
      <c r="C688">
        <f>IF(tbl_main[[#This Row],[Date]]="","",YEAR(B688))</f>
        <v>2025</v>
      </c>
      <c r="D688" t="str">
        <f>IF(tbl_main[[#This Row],[Date]]="","",TEXT(B688,"mmm"))</f>
        <v>Aug</v>
      </c>
      <c r="E688" t="str">
        <f>IF(tbl_main[[#This Row],[Date]]="","",TEXT(B688,"DDD"))</f>
        <v>Wed</v>
      </c>
      <c r="F688" t="s">
        <v>27</v>
      </c>
      <c r="G688" t="s">
        <v>40</v>
      </c>
      <c r="H688" s="3" t="s">
        <v>24</v>
      </c>
      <c r="I688" s="3" t="s">
        <v>35</v>
      </c>
      <c r="J688" s="3" t="s">
        <v>25</v>
      </c>
      <c r="K688" s="3">
        <f>_xlfn.XLOOKUP(tbl_main[[#This Row],[Service]],tbl_service[Service],tbl_service[Price],"")</f>
        <v>80</v>
      </c>
      <c r="L688" s="3">
        <v>2</v>
      </c>
      <c r="M688" s="3">
        <f>IF(AND(tbl_main[[#This Row],[Price]]="",tbl_main[[#This Row],[Qty]]=""),"",tbl_main[[#This Row],[Price]]*tbl_main[[#This Row],[Qty]])</f>
        <v>160</v>
      </c>
      <c r="N688" s="3">
        <f>_xlfn.LET(_xlpm.x,_xlfn.XLOOKUP(tbl_main[[#This Row],[Service]],tbl_service[Service],tbl_service[Profit],""),
               IF(tbl_main[[#This Row],[Qty]]="","",_xlpm.x*tbl_main[[#This Row],[Qty]]))</f>
        <v>72</v>
      </c>
    </row>
    <row r="689" spans="1:14" x14ac:dyDescent="0.25">
      <c r="A689" t="s">
        <v>731</v>
      </c>
      <c r="B689" s="1">
        <v>45882</v>
      </c>
      <c r="C689">
        <f>IF(tbl_main[[#This Row],[Date]]="","",YEAR(B689))</f>
        <v>2025</v>
      </c>
      <c r="D689" t="str">
        <f>IF(tbl_main[[#This Row],[Date]]="","",TEXT(B689,"mmm"))</f>
        <v>Aug</v>
      </c>
      <c r="E689" t="str">
        <f>IF(tbl_main[[#This Row],[Date]]="","",TEXT(B689,"DDD"))</f>
        <v>Wed</v>
      </c>
      <c r="F689" t="s">
        <v>27</v>
      </c>
      <c r="G689" t="s">
        <v>40</v>
      </c>
      <c r="H689" s="3" t="s">
        <v>24</v>
      </c>
      <c r="I689" s="3" t="s">
        <v>23</v>
      </c>
      <c r="J689" s="3" t="s">
        <v>17</v>
      </c>
      <c r="K689" s="3">
        <f>_xlfn.XLOOKUP(tbl_main[[#This Row],[Service]],tbl_service[Service],tbl_service[Price],"")</f>
        <v>80</v>
      </c>
      <c r="L689" s="3">
        <v>2</v>
      </c>
      <c r="M689" s="3">
        <f>IF(AND(tbl_main[[#This Row],[Price]]="",tbl_main[[#This Row],[Qty]]=""),"",tbl_main[[#This Row],[Price]]*tbl_main[[#This Row],[Qty]])</f>
        <v>160</v>
      </c>
      <c r="N689" s="3">
        <f>_xlfn.LET(_xlpm.x,_xlfn.XLOOKUP(tbl_main[[#This Row],[Service]],tbl_service[Service],tbl_service[Profit],""),
               IF(tbl_main[[#This Row],[Qty]]="","",_xlpm.x*tbl_main[[#This Row],[Qty]]))</f>
        <v>72</v>
      </c>
    </row>
    <row r="690" spans="1:14" x14ac:dyDescent="0.25">
      <c r="A690" t="s">
        <v>732</v>
      </c>
      <c r="B690" s="1">
        <v>45883</v>
      </c>
      <c r="C690">
        <f>IF(tbl_main[[#This Row],[Date]]="","",YEAR(B690))</f>
        <v>2025</v>
      </c>
      <c r="D690" t="str">
        <f>IF(tbl_main[[#This Row],[Date]]="","",TEXT(B690,"mmm"))</f>
        <v>Aug</v>
      </c>
      <c r="E690" t="str">
        <f>IF(tbl_main[[#This Row],[Date]]="","",TEXT(B690,"DDD"))</f>
        <v>Thu</v>
      </c>
      <c r="F690" t="s">
        <v>27</v>
      </c>
      <c r="G690" t="s">
        <v>28</v>
      </c>
      <c r="H690" s="3" t="s">
        <v>34</v>
      </c>
      <c r="I690" s="3" t="s">
        <v>37</v>
      </c>
      <c r="J690" s="3" t="s">
        <v>17</v>
      </c>
      <c r="K690" s="3">
        <f>_xlfn.XLOOKUP(tbl_main[[#This Row],[Service]],tbl_service[Service],tbl_service[Price],"")</f>
        <v>100</v>
      </c>
      <c r="L690" s="3">
        <v>1</v>
      </c>
      <c r="M690" s="3">
        <f>IF(AND(tbl_main[[#This Row],[Price]]="",tbl_main[[#This Row],[Qty]]=""),"",tbl_main[[#This Row],[Price]]*tbl_main[[#This Row],[Qty]])</f>
        <v>100</v>
      </c>
      <c r="N690" s="3">
        <f>_xlfn.LET(_xlpm.x,_xlfn.XLOOKUP(tbl_main[[#This Row],[Service]],tbl_service[Service],tbl_service[Profit],""),
               IF(tbl_main[[#This Row],[Qty]]="","",_xlpm.x*tbl_main[[#This Row],[Qty]]))</f>
        <v>45</v>
      </c>
    </row>
    <row r="691" spans="1:14" x14ac:dyDescent="0.25">
      <c r="A691" t="s">
        <v>733</v>
      </c>
      <c r="B691" s="1">
        <v>45883</v>
      </c>
      <c r="C691">
        <f>IF(tbl_main[[#This Row],[Date]]="","",YEAR(B691))</f>
        <v>2025</v>
      </c>
      <c r="D691" t="str">
        <f>IF(tbl_main[[#This Row],[Date]]="","",TEXT(B691,"mmm"))</f>
        <v>Aug</v>
      </c>
      <c r="E691" t="str">
        <f>IF(tbl_main[[#This Row],[Date]]="","",TEXT(B691,"DDD"))</f>
        <v>Thu</v>
      </c>
      <c r="F691" t="s">
        <v>27</v>
      </c>
      <c r="G691" t="s">
        <v>40</v>
      </c>
      <c r="H691" s="3" t="s">
        <v>34</v>
      </c>
      <c r="I691" s="3" t="s">
        <v>38</v>
      </c>
      <c r="J691" s="3" t="s">
        <v>32</v>
      </c>
      <c r="K691" s="3">
        <f>_xlfn.XLOOKUP(tbl_main[[#This Row],[Service]],tbl_service[Service],tbl_service[Price],"")</f>
        <v>100</v>
      </c>
      <c r="L691" s="3">
        <v>2</v>
      </c>
      <c r="M691" s="3">
        <f>IF(AND(tbl_main[[#This Row],[Price]]="",tbl_main[[#This Row],[Qty]]=""),"",tbl_main[[#This Row],[Price]]*tbl_main[[#This Row],[Qty]])</f>
        <v>200</v>
      </c>
      <c r="N691" s="3">
        <f>_xlfn.LET(_xlpm.x,_xlfn.XLOOKUP(tbl_main[[#This Row],[Service]],tbl_service[Service],tbl_service[Profit],""),
               IF(tbl_main[[#This Row],[Qty]]="","",_xlpm.x*tbl_main[[#This Row],[Qty]]))</f>
        <v>90</v>
      </c>
    </row>
    <row r="692" spans="1:14" x14ac:dyDescent="0.25">
      <c r="A692" t="s">
        <v>734</v>
      </c>
      <c r="B692" s="1">
        <v>45883</v>
      </c>
      <c r="C692">
        <f>IF(tbl_main[[#This Row],[Date]]="","",YEAR(B692))</f>
        <v>2025</v>
      </c>
      <c r="D692" t="str">
        <f>IF(tbl_main[[#This Row],[Date]]="","",TEXT(B692,"mmm"))</f>
        <v>Aug</v>
      </c>
      <c r="E692" t="str">
        <f>IF(tbl_main[[#This Row],[Date]]="","",TEXT(B692,"DDD"))</f>
        <v>Thu</v>
      </c>
      <c r="F692" t="s">
        <v>27</v>
      </c>
      <c r="G692" t="s">
        <v>40</v>
      </c>
      <c r="H692" s="3" t="s">
        <v>34</v>
      </c>
      <c r="I692" s="3" t="s">
        <v>16</v>
      </c>
      <c r="J692" s="3" t="s">
        <v>17</v>
      </c>
      <c r="K692" s="3">
        <f>_xlfn.XLOOKUP(tbl_main[[#This Row],[Service]],tbl_service[Service],tbl_service[Price],"")</f>
        <v>100</v>
      </c>
      <c r="L692" s="3">
        <v>1</v>
      </c>
      <c r="M692" s="3">
        <f>IF(AND(tbl_main[[#This Row],[Price]]="",tbl_main[[#This Row],[Qty]]=""),"",tbl_main[[#This Row],[Price]]*tbl_main[[#This Row],[Qty]])</f>
        <v>100</v>
      </c>
      <c r="N692" s="3">
        <f>_xlfn.LET(_xlpm.x,_xlfn.XLOOKUP(tbl_main[[#This Row],[Service]],tbl_service[Service],tbl_service[Profit],""),
               IF(tbl_main[[#This Row],[Qty]]="","",_xlpm.x*tbl_main[[#This Row],[Qty]]))</f>
        <v>45</v>
      </c>
    </row>
    <row r="693" spans="1:14" x14ac:dyDescent="0.25">
      <c r="A693" t="s">
        <v>735</v>
      </c>
      <c r="B693" s="1">
        <v>45883</v>
      </c>
      <c r="C693">
        <f>IF(tbl_main[[#This Row],[Date]]="","",YEAR(B693))</f>
        <v>2025</v>
      </c>
      <c r="D693" t="str">
        <f>IF(tbl_main[[#This Row],[Date]]="","",TEXT(B693,"mmm"))</f>
        <v>Aug</v>
      </c>
      <c r="E693" t="str">
        <f>IF(tbl_main[[#This Row],[Date]]="","",TEXT(B693,"DDD"))</f>
        <v>Thu</v>
      </c>
      <c r="F693" t="s">
        <v>13</v>
      </c>
      <c r="G693" t="s">
        <v>14</v>
      </c>
      <c r="H693" s="3" t="s">
        <v>26</v>
      </c>
      <c r="I693" s="3" t="s">
        <v>19</v>
      </c>
      <c r="J693" s="3" t="s">
        <v>25</v>
      </c>
      <c r="K693" s="3">
        <f>_xlfn.XLOOKUP(tbl_main[[#This Row],[Service]],tbl_service[Service],tbl_service[Price],"")</f>
        <v>200</v>
      </c>
      <c r="L693" s="3">
        <v>2</v>
      </c>
      <c r="M693" s="3">
        <f>IF(AND(tbl_main[[#This Row],[Price]]="",tbl_main[[#This Row],[Qty]]=""),"",tbl_main[[#This Row],[Price]]*tbl_main[[#This Row],[Qty]])</f>
        <v>400</v>
      </c>
      <c r="N693" s="3">
        <f>_xlfn.LET(_xlpm.x,_xlfn.XLOOKUP(tbl_main[[#This Row],[Service]],tbl_service[Service],tbl_service[Profit],""),
               IF(tbl_main[[#This Row],[Qty]]="","",_xlpm.x*tbl_main[[#This Row],[Qty]]))</f>
        <v>180</v>
      </c>
    </row>
    <row r="694" spans="1:14" x14ac:dyDescent="0.25">
      <c r="A694" t="s">
        <v>736</v>
      </c>
      <c r="B694" s="1">
        <v>45884</v>
      </c>
      <c r="C694">
        <f>IF(tbl_main[[#This Row],[Date]]="","",YEAR(B694))</f>
        <v>2025</v>
      </c>
      <c r="D694" t="str">
        <f>IF(tbl_main[[#This Row],[Date]]="","",TEXT(B694,"mmm"))</f>
        <v>Aug</v>
      </c>
      <c r="E694" t="str">
        <f>IF(tbl_main[[#This Row],[Date]]="","",TEXT(B694,"DDD"))</f>
        <v>Fri</v>
      </c>
      <c r="F694" t="s">
        <v>13</v>
      </c>
      <c r="G694" t="s">
        <v>33</v>
      </c>
      <c r="H694" s="3" t="s">
        <v>22</v>
      </c>
      <c r="I694" s="3" t="s">
        <v>19</v>
      </c>
      <c r="J694" s="3" t="s">
        <v>17</v>
      </c>
      <c r="K694" s="3">
        <f>_xlfn.XLOOKUP(tbl_main[[#This Row],[Service]],tbl_service[Service],tbl_service[Price],"")</f>
        <v>150</v>
      </c>
      <c r="L694" s="3">
        <v>1</v>
      </c>
      <c r="M694" s="3">
        <f>IF(AND(tbl_main[[#This Row],[Price]]="",tbl_main[[#This Row],[Qty]]=""),"",tbl_main[[#This Row],[Price]]*tbl_main[[#This Row],[Qty]])</f>
        <v>150</v>
      </c>
      <c r="N694" s="3">
        <f>_xlfn.LET(_xlpm.x,_xlfn.XLOOKUP(tbl_main[[#This Row],[Service]],tbl_service[Service],tbl_service[Profit],""),
               IF(tbl_main[[#This Row],[Qty]]="","",_xlpm.x*tbl_main[[#This Row],[Qty]]))</f>
        <v>67</v>
      </c>
    </row>
    <row r="695" spans="1:14" x14ac:dyDescent="0.25">
      <c r="A695" t="s">
        <v>737</v>
      </c>
      <c r="B695" s="1">
        <v>45884</v>
      </c>
      <c r="C695">
        <f>IF(tbl_main[[#This Row],[Date]]="","",YEAR(B695))</f>
        <v>2025</v>
      </c>
      <c r="D695" t="str">
        <f>IF(tbl_main[[#This Row],[Date]]="","",TEXT(B695,"mmm"))</f>
        <v>Aug</v>
      </c>
      <c r="E695" t="str">
        <f>IF(tbl_main[[#This Row],[Date]]="","",TEXT(B695,"DDD"))</f>
        <v>Fri</v>
      </c>
      <c r="F695" t="s">
        <v>20</v>
      </c>
      <c r="G695" t="s">
        <v>29</v>
      </c>
      <c r="H695" s="3" t="s">
        <v>26</v>
      </c>
      <c r="I695" s="3" t="s">
        <v>41</v>
      </c>
      <c r="J695" s="3" t="s">
        <v>32</v>
      </c>
      <c r="K695" s="3">
        <f>_xlfn.XLOOKUP(tbl_main[[#This Row],[Service]],tbl_service[Service],tbl_service[Price],"")</f>
        <v>200</v>
      </c>
      <c r="L695" s="3">
        <v>2</v>
      </c>
      <c r="M695" s="3">
        <f>IF(AND(tbl_main[[#This Row],[Price]]="",tbl_main[[#This Row],[Qty]]=""),"",tbl_main[[#This Row],[Price]]*tbl_main[[#This Row],[Qty]])</f>
        <v>400</v>
      </c>
      <c r="N695" s="3">
        <f>_xlfn.LET(_xlpm.x,_xlfn.XLOOKUP(tbl_main[[#This Row],[Service]],tbl_service[Service],tbl_service[Profit],""),
               IF(tbl_main[[#This Row],[Qty]]="","",_xlpm.x*tbl_main[[#This Row],[Qty]]))</f>
        <v>180</v>
      </c>
    </row>
    <row r="696" spans="1:14" x14ac:dyDescent="0.25">
      <c r="A696" t="s">
        <v>738</v>
      </c>
      <c r="B696" s="1">
        <v>45885</v>
      </c>
      <c r="C696">
        <f>IF(tbl_main[[#This Row],[Date]]="","",YEAR(B696))</f>
        <v>2025</v>
      </c>
      <c r="D696" t="str">
        <f>IF(tbl_main[[#This Row],[Date]]="","",TEXT(B696,"mmm"))</f>
        <v>Aug</v>
      </c>
      <c r="E696" t="str">
        <f>IF(tbl_main[[#This Row],[Date]]="","",TEXT(B696,"DDD"))</f>
        <v>Sat</v>
      </c>
      <c r="F696" t="s">
        <v>20</v>
      </c>
      <c r="G696" t="s">
        <v>29</v>
      </c>
      <c r="H696" s="3" t="s">
        <v>26</v>
      </c>
      <c r="I696" s="3" t="s">
        <v>41</v>
      </c>
      <c r="J696" s="3" t="s">
        <v>32</v>
      </c>
      <c r="K696" s="3">
        <f>_xlfn.XLOOKUP(tbl_main[[#This Row],[Service]],tbl_service[Service],tbl_service[Price],"")</f>
        <v>200</v>
      </c>
      <c r="L696" s="3">
        <v>2</v>
      </c>
      <c r="M696" s="3">
        <f>IF(AND(tbl_main[[#This Row],[Price]]="",tbl_main[[#This Row],[Qty]]=""),"",tbl_main[[#This Row],[Price]]*tbl_main[[#This Row],[Qty]])</f>
        <v>400</v>
      </c>
      <c r="N696" s="3">
        <f>_xlfn.LET(_xlpm.x,_xlfn.XLOOKUP(tbl_main[[#This Row],[Service]],tbl_service[Service],tbl_service[Profit],""),
               IF(tbl_main[[#This Row],[Qty]]="","",_xlpm.x*tbl_main[[#This Row],[Qty]]))</f>
        <v>180</v>
      </c>
    </row>
    <row r="697" spans="1:14" x14ac:dyDescent="0.25">
      <c r="A697" t="s">
        <v>739</v>
      </c>
      <c r="B697" s="1">
        <v>45885</v>
      </c>
      <c r="C697">
        <f>IF(tbl_main[[#This Row],[Date]]="","",YEAR(B697))</f>
        <v>2025</v>
      </c>
      <c r="D697" t="str">
        <f>IF(tbl_main[[#This Row],[Date]]="","",TEXT(B697,"mmm"))</f>
        <v>Aug</v>
      </c>
      <c r="E697" t="str">
        <f>IF(tbl_main[[#This Row],[Date]]="","",TEXT(B697,"DDD"))</f>
        <v>Sat</v>
      </c>
      <c r="F697" t="s">
        <v>20</v>
      </c>
      <c r="G697" t="s">
        <v>21</v>
      </c>
      <c r="H697" s="3" t="s">
        <v>24</v>
      </c>
      <c r="I697" s="3" t="s">
        <v>35</v>
      </c>
      <c r="J697" s="3" t="s">
        <v>25</v>
      </c>
      <c r="K697" s="3">
        <f>_xlfn.XLOOKUP(tbl_main[[#This Row],[Service]],tbl_service[Service],tbl_service[Price],"")</f>
        <v>80</v>
      </c>
      <c r="L697" s="3">
        <v>2</v>
      </c>
      <c r="M697" s="3">
        <f>IF(AND(tbl_main[[#This Row],[Price]]="",tbl_main[[#This Row],[Qty]]=""),"",tbl_main[[#This Row],[Price]]*tbl_main[[#This Row],[Qty]])</f>
        <v>160</v>
      </c>
      <c r="N697" s="3">
        <f>_xlfn.LET(_xlpm.x,_xlfn.XLOOKUP(tbl_main[[#This Row],[Service]],tbl_service[Service],tbl_service[Profit],""),
               IF(tbl_main[[#This Row],[Qty]]="","",_xlpm.x*tbl_main[[#This Row],[Qty]]))</f>
        <v>72</v>
      </c>
    </row>
    <row r="698" spans="1:14" x14ac:dyDescent="0.25">
      <c r="A698" t="s">
        <v>740</v>
      </c>
      <c r="B698" s="1">
        <v>45885</v>
      </c>
      <c r="C698">
        <f>IF(tbl_main[[#This Row],[Date]]="","",YEAR(B698))</f>
        <v>2025</v>
      </c>
      <c r="D698" t="str">
        <f>IF(tbl_main[[#This Row],[Date]]="","",TEXT(B698,"mmm"))</f>
        <v>Aug</v>
      </c>
      <c r="E698" t="str">
        <f>IF(tbl_main[[#This Row],[Date]]="","",TEXT(B698,"DDD"))</f>
        <v>Sat</v>
      </c>
      <c r="F698" t="s">
        <v>13</v>
      </c>
      <c r="G698" t="s">
        <v>33</v>
      </c>
      <c r="H698" s="3" t="s">
        <v>18</v>
      </c>
      <c r="I698" s="3" t="s">
        <v>35</v>
      </c>
      <c r="J698" s="3" t="s">
        <v>32</v>
      </c>
      <c r="K698" s="3">
        <f>_xlfn.XLOOKUP(tbl_main[[#This Row],[Service]],tbl_service[Service],tbl_service[Price],"")</f>
        <v>500</v>
      </c>
      <c r="L698" s="3">
        <v>1</v>
      </c>
      <c r="M698" s="3">
        <f>IF(AND(tbl_main[[#This Row],[Price]]="",tbl_main[[#This Row],[Qty]]=""),"",tbl_main[[#This Row],[Price]]*tbl_main[[#This Row],[Qty]])</f>
        <v>500</v>
      </c>
      <c r="N698" s="3">
        <f>_xlfn.LET(_xlpm.x,_xlfn.XLOOKUP(tbl_main[[#This Row],[Service]],tbl_service[Service],tbl_service[Profit],""),
               IF(tbl_main[[#This Row],[Qty]]="","",_xlpm.x*tbl_main[[#This Row],[Qty]]))</f>
        <v>157</v>
      </c>
    </row>
    <row r="699" spans="1:14" x14ac:dyDescent="0.25">
      <c r="A699" t="s">
        <v>741</v>
      </c>
      <c r="B699" s="1">
        <v>45886</v>
      </c>
      <c r="C699">
        <f>IF(tbl_main[[#This Row],[Date]]="","",YEAR(B699))</f>
        <v>2025</v>
      </c>
      <c r="D699" t="str">
        <f>IF(tbl_main[[#This Row],[Date]]="","",TEXT(B699,"mmm"))</f>
        <v>Aug</v>
      </c>
      <c r="E699" t="str">
        <f>IF(tbl_main[[#This Row],[Date]]="","",TEXT(B699,"DDD"))</f>
        <v>Sun</v>
      </c>
      <c r="F699" t="s">
        <v>20</v>
      </c>
      <c r="G699" t="s">
        <v>29</v>
      </c>
      <c r="H699" s="3" t="s">
        <v>15</v>
      </c>
      <c r="I699" s="3" t="s">
        <v>23</v>
      </c>
      <c r="J699" s="3" t="s">
        <v>32</v>
      </c>
      <c r="K699" s="3">
        <f>_xlfn.XLOOKUP(tbl_main[[#This Row],[Service]],tbl_service[Service],tbl_service[Price],"")</f>
        <v>500</v>
      </c>
      <c r="L699" s="3">
        <v>1</v>
      </c>
      <c r="M699" s="3">
        <f>IF(AND(tbl_main[[#This Row],[Price]]="",tbl_main[[#This Row],[Qty]]=""),"",tbl_main[[#This Row],[Price]]*tbl_main[[#This Row],[Qty]])</f>
        <v>500</v>
      </c>
      <c r="N699" s="3">
        <f>_xlfn.LET(_xlpm.x,_xlfn.XLOOKUP(tbl_main[[#This Row],[Service]],tbl_service[Service],tbl_service[Profit],""),
               IF(tbl_main[[#This Row],[Qty]]="","",_xlpm.x*tbl_main[[#This Row],[Qty]]))</f>
        <v>225</v>
      </c>
    </row>
    <row r="700" spans="1:14" x14ac:dyDescent="0.25">
      <c r="A700" t="s">
        <v>742</v>
      </c>
      <c r="B700" s="1">
        <v>45886</v>
      </c>
      <c r="C700">
        <f>IF(tbl_main[[#This Row],[Date]]="","",YEAR(B700))</f>
        <v>2025</v>
      </c>
      <c r="D700" t="str">
        <f>IF(tbl_main[[#This Row],[Date]]="","",TEXT(B700,"mmm"))</f>
        <v>Aug</v>
      </c>
      <c r="E700" t="str">
        <f>IF(tbl_main[[#This Row],[Date]]="","",TEXT(B700,"DDD"))</f>
        <v>Sun</v>
      </c>
      <c r="F700" t="s">
        <v>27</v>
      </c>
      <c r="G700" t="s">
        <v>28</v>
      </c>
      <c r="H700" s="3" t="s">
        <v>15</v>
      </c>
      <c r="I700" s="3" t="s">
        <v>37</v>
      </c>
      <c r="J700" s="3" t="s">
        <v>25</v>
      </c>
      <c r="K700" s="3">
        <f>_xlfn.XLOOKUP(tbl_main[[#This Row],[Service]],tbl_service[Service],tbl_service[Price],"")</f>
        <v>500</v>
      </c>
      <c r="L700" s="3">
        <v>2</v>
      </c>
      <c r="M700" s="3">
        <f>IF(AND(tbl_main[[#This Row],[Price]]="",tbl_main[[#This Row],[Qty]]=""),"",tbl_main[[#This Row],[Price]]*tbl_main[[#This Row],[Qty]])</f>
        <v>1000</v>
      </c>
      <c r="N700" s="3">
        <f>_xlfn.LET(_xlpm.x,_xlfn.XLOOKUP(tbl_main[[#This Row],[Service]],tbl_service[Service],tbl_service[Profit],""),
               IF(tbl_main[[#This Row],[Qty]]="","",_xlpm.x*tbl_main[[#This Row],[Qty]]))</f>
        <v>450</v>
      </c>
    </row>
    <row r="701" spans="1:14" x14ac:dyDescent="0.25">
      <c r="A701" t="s">
        <v>743</v>
      </c>
      <c r="B701" s="1">
        <v>45886</v>
      </c>
      <c r="C701">
        <f>IF(tbl_main[[#This Row],[Date]]="","",YEAR(B701))</f>
        <v>2025</v>
      </c>
      <c r="D701" t="str">
        <f>IF(tbl_main[[#This Row],[Date]]="","",TEXT(B701,"mmm"))</f>
        <v>Aug</v>
      </c>
      <c r="E701" t="str">
        <f>IF(tbl_main[[#This Row],[Date]]="","",TEXT(B701,"DDD"))</f>
        <v>Sun</v>
      </c>
      <c r="F701" t="s">
        <v>30</v>
      </c>
      <c r="G701" t="s">
        <v>36</v>
      </c>
      <c r="H701" s="3" t="s">
        <v>22</v>
      </c>
      <c r="I701" s="3" t="s">
        <v>38</v>
      </c>
      <c r="J701" s="3" t="s">
        <v>17</v>
      </c>
      <c r="K701" s="3">
        <f>_xlfn.XLOOKUP(tbl_main[[#This Row],[Service]],tbl_service[Service],tbl_service[Price],"")</f>
        <v>150</v>
      </c>
      <c r="L701" s="3">
        <v>2</v>
      </c>
      <c r="M701" s="3">
        <f>IF(AND(tbl_main[[#This Row],[Price]]="",tbl_main[[#This Row],[Qty]]=""),"",tbl_main[[#This Row],[Price]]*tbl_main[[#This Row],[Qty]])</f>
        <v>300</v>
      </c>
      <c r="N701" s="3">
        <f>_xlfn.LET(_xlpm.x,_xlfn.XLOOKUP(tbl_main[[#This Row],[Service]],tbl_service[Service],tbl_service[Profit],""),
               IF(tbl_main[[#This Row],[Qty]]="","",_xlpm.x*tbl_main[[#This Row],[Qty]]))</f>
        <v>134</v>
      </c>
    </row>
    <row r="702" spans="1:14" x14ac:dyDescent="0.25">
      <c r="A702" t="s">
        <v>744</v>
      </c>
      <c r="B702" s="1">
        <v>45887</v>
      </c>
      <c r="C702">
        <f>IF(tbl_main[[#This Row],[Date]]="","",YEAR(B702))</f>
        <v>2025</v>
      </c>
      <c r="D702" t="str">
        <f>IF(tbl_main[[#This Row],[Date]]="","",TEXT(B702,"mmm"))</f>
        <v>Aug</v>
      </c>
      <c r="E702" t="str">
        <f>IF(tbl_main[[#This Row],[Date]]="","",TEXT(B702,"DDD"))</f>
        <v>Mon</v>
      </c>
      <c r="F702" t="s">
        <v>20</v>
      </c>
      <c r="G702" t="s">
        <v>21</v>
      </c>
      <c r="H702" s="3" t="s">
        <v>34</v>
      </c>
      <c r="I702" s="3" t="s">
        <v>16</v>
      </c>
      <c r="J702" s="3" t="s">
        <v>32</v>
      </c>
      <c r="K702" s="3">
        <f>_xlfn.XLOOKUP(tbl_main[[#This Row],[Service]],tbl_service[Service],tbl_service[Price],"")</f>
        <v>100</v>
      </c>
      <c r="L702" s="3">
        <v>2</v>
      </c>
      <c r="M702" s="3">
        <f>IF(AND(tbl_main[[#This Row],[Price]]="",tbl_main[[#This Row],[Qty]]=""),"",tbl_main[[#This Row],[Price]]*tbl_main[[#This Row],[Qty]])</f>
        <v>200</v>
      </c>
      <c r="N702" s="3">
        <f>_xlfn.LET(_xlpm.x,_xlfn.XLOOKUP(tbl_main[[#This Row],[Service]],tbl_service[Service],tbl_service[Profit],""),
               IF(tbl_main[[#This Row],[Qty]]="","",_xlpm.x*tbl_main[[#This Row],[Qty]]))</f>
        <v>90</v>
      </c>
    </row>
    <row r="703" spans="1:14" x14ac:dyDescent="0.25">
      <c r="A703" t="s">
        <v>745</v>
      </c>
      <c r="B703" s="1">
        <v>45887</v>
      </c>
      <c r="C703">
        <f>IF(tbl_main[[#This Row],[Date]]="","",YEAR(B703))</f>
        <v>2025</v>
      </c>
      <c r="D703" t="str">
        <f>IF(tbl_main[[#This Row],[Date]]="","",TEXT(B703,"mmm"))</f>
        <v>Aug</v>
      </c>
      <c r="E703" t="str">
        <f>IF(tbl_main[[#This Row],[Date]]="","",TEXT(B703,"DDD"))</f>
        <v>Mon</v>
      </c>
      <c r="F703" t="s">
        <v>30</v>
      </c>
      <c r="G703" t="s">
        <v>31</v>
      </c>
      <c r="H703" s="3" t="s">
        <v>15</v>
      </c>
      <c r="I703" s="3" t="s">
        <v>19</v>
      </c>
      <c r="J703" s="3" t="s">
        <v>25</v>
      </c>
      <c r="K703" s="3">
        <f>_xlfn.XLOOKUP(tbl_main[[#This Row],[Service]],tbl_service[Service],tbl_service[Price],"")</f>
        <v>500</v>
      </c>
      <c r="L703" s="3">
        <v>2</v>
      </c>
      <c r="M703" s="3">
        <f>IF(AND(tbl_main[[#This Row],[Price]]="",tbl_main[[#This Row],[Qty]]=""),"",tbl_main[[#This Row],[Price]]*tbl_main[[#This Row],[Qty]])</f>
        <v>1000</v>
      </c>
      <c r="N703" s="3">
        <f>_xlfn.LET(_xlpm.x,_xlfn.XLOOKUP(tbl_main[[#This Row],[Service]],tbl_service[Service],tbl_service[Profit],""),
               IF(tbl_main[[#This Row],[Qty]]="","",_xlpm.x*tbl_main[[#This Row],[Qty]]))</f>
        <v>450</v>
      </c>
    </row>
    <row r="704" spans="1:14" x14ac:dyDescent="0.25">
      <c r="A704" t="s">
        <v>746</v>
      </c>
      <c r="B704" s="1">
        <v>45887</v>
      </c>
      <c r="C704">
        <f>IF(tbl_main[[#This Row],[Date]]="","",YEAR(B704))</f>
        <v>2025</v>
      </c>
      <c r="D704" t="str">
        <f>IF(tbl_main[[#This Row],[Date]]="","",TEXT(B704,"mmm"))</f>
        <v>Aug</v>
      </c>
      <c r="E704" t="str">
        <f>IF(tbl_main[[#This Row],[Date]]="","",TEXT(B704,"DDD"))</f>
        <v>Mon</v>
      </c>
      <c r="F704" t="s">
        <v>30</v>
      </c>
      <c r="G704" t="s">
        <v>36</v>
      </c>
      <c r="H704" s="3" t="s">
        <v>34</v>
      </c>
      <c r="I704" s="3" t="s">
        <v>19</v>
      </c>
      <c r="J704" s="3" t="s">
        <v>25</v>
      </c>
      <c r="K704" s="3">
        <f>_xlfn.XLOOKUP(tbl_main[[#This Row],[Service]],tbl_service[Service],tbl_service[Price],"")</f>
        <v>100</v>
      </c>
      <c r="L704" s="3">
        <v>2</v>
      </c>
      <c r="M704" s="3">
        <f>IF(AND(tbl_main[[#This Row],[Price]]="",tbl_main[[#This Row],[Qty]]=""),"",tbl_main[[#This Row],[Price]]*tbl_main[[#This Row],[Qty]])</f>
        <v>200</v>
      </c>
      <c r="N704" s="3">
        <f>_xlfn.LET(_xlpm.x,_xlfn.XLOOKUP(tbl_main[[#This Row],[Service]],tbl_service[Service],tbl_service[Profit],""),
               IF(tbl_main[[#This Row],[Qty]]="","",_xlpm.x*tbl_main[[#This Row],[Qty]]))</f>
        <v>90</v>
      </c>
    </row>
    <row r="705" spans="1:14" x14ac:dyDescent="0.25">
      <c r="A705" t="s">
        <v>747</v>
      </c>
      <c r="B705" s="1">
        <v>45887</v>
      </c>
      <c r="C705">
        <f>IF(tbl_main[[#This Row],[Date]]="","",YEAR(B705))</f>
        <v>2025</v>
      </c>
      <c r="D705" t="str">
        <f>IF(tbl_main[[#This Row],[Date]]="","",TEXT(B705,"mmm"))</f>
        <v>Aug</v>
      </c>
      <c r="E705" t="str">
        <f>IF(tbl_main[[#This Row],[Date]]="","",TEXT(B705,"DDD"))</f>
        <v>Mon</v>
      </c>
      <c r="F705" t="s">
        <v>30</v>
      </c>
      <c r="G705" t="s">
        <v>36</v>
      </c>
      <c r="H705" s="3" t="s">
        <v>18</v>
      </c>
      <c r="I705" s="3" t="s">
        <v>41</v>
      </c>
      <c r="J705" s="3" t="s">
        <v>32</v>
      </c>
      <c r="K705" s="3">
        <f>_xlfn.XLOOKUP(tbl_main[[#This Row],[Service]],tbl_service[Service],tbl_service[Price],"")</f>
        <v>500</v>
      </c>
      <c r="L705" s="3">
        <v>2</v>
      </c>
      <c r="M705" s="3">
        <f>IF(AND(tbl_main[[#This Row],[Price]]="",tbl_main[[#This Row],[Qty]]=""),"",tbl_main[[#This Row],[Price]]*tbl_main[[#This Row],[Qty]])</f>
        <v>1000</v>
      </c>
      <c r="N705" s="3">
        <f>_xlfn.LET(_xlpm.x,_xlfn.XLOOKUP(tbl_main[[#This Row],[Service]],tbl_service[Service],tbl_service[Profit],""),
               IF(tbl_main[[#This Row],[Qty]]="","",_xlpm.x*tbl_main[[#This Row],[Qty]]))</f>
        <v>314</v>
      </c>
    </row>
    <row r="706" spans="1:14" x14ac:dyDescent="0.25">
      <c r="A706" t="s">
        <v>748</v>
      </c>
      <c r="B706" s="1">
        <v>45888</v>
      </c>
      <c r="C706">
        <f>IF(tbl_main[[#This Row],[Date]]="","",YEAR(B706))</f>
        <v>2025</v>
      </c>
      <c r="D706" t="str">
        <f>IF(tbl_main[[#This Row],[Date]]="","",TEXT(B706,"mmm"))</f>
        <v>Aug</v>
      </c>
      <c r="E706" t="str">
        <f>IF(tbl_main[[#This Row],[Date]]="","",TEXT(B706,"DDD"))</f>
        <v>Tue</v>
      </c>
      <c r="F706" t="s">
        <v>13</v>
      </c>
      <c r="G706" t="s">
        <v>14</v>
      </c>
      <c r="H706" s="3" t="s">
        <v>24</v>
      </c>
      <c r="I706" s="3" t="s">
        <v>41</v>
      </c>
      <c r="J706" s="3" t="s">
        <v>32</v>
      </c>
      <c r="K706" s="3">
        <f>_xlfn.XLOOKUP(tbl_main[[#This Row],[Service]],tbl_service[Service],tbl_service[Price],"")</f>
        <v>80</v>
      </c>
      <c r="L706" s="3">
        <v>2</v>
      </c>
      <c r="M706" s="3">
        <f>IF(AND(tbl_main[[#This Row],[Price]]="",tbl_main[[#This Row],[Qty]]=""),"",tbl_main[[#This Row],[Price]]*tbl_main[[#This Row],[Qty]])</f>
        <v>160</v>
      </c>
      <c r="N706" s="3">
        <f>_xlfn.LET(_xlpm.x,_xlfn.XLOOKUP(tbl_main[[#This Row],[Service]],tbl_service[Service],tbl_service[Profit],""),
               IF(tbl_main[[#This Row],[Qty]]="","",_xlpm.x*tbl_main[[#This Row],[Qty]]))</f>
        <v>72</v>
      </c>
    </row>
    <row r="707" spans="1:14" x14ac:dyDescent="0.25">
      <c r="A707" t="s">
        <v>749</v>
      </c>
      <c r="B707" s="1">
        <v>45888</v>
      </c>
      <c r="C707">
        <f>IF(tbl_main[[#This Row],[Date]]="","",YEAR(B707))</f>
        <v>2025</v>
      </c>
      <c r="D707" t="str">
        <f>IF(tbl_main[[#This Row],[Date]]="","",TEXT(B707,"mmm"))</f>
        <v>Aug</v>
      </c>
      <c r="E707" t="str">
        <f>IF(tbl_main[[#This Row],[Date]]="","",TEXT(B707,"DDD"))</f>
        <v>Tue</v>
      </c>
      <c r="F707" t="s">
        <v>27</v>
      </c>
      <c r="G707" t="s">
        <v>28</v>
      </c>
      <c r="H707" s="3" t="s">
        <v>34</v>
      </c>
      <c r="I707" s="3" t="s">
        <v>35</v>
      </c>
      <c r="J707" s="3" t="s">
        <v>32</v>
      </c>
      <c r="K707" s="3">
        <f>_xlfn.XLOOKUP(tbl_main[[#This Row],[Service]],tbl_service[Service],tbl_service[Price],"")</f>
        <v>100</v>
      </c>
      <c r="L707" s="3">
        <v>1</v>
      </c>
      <c r="M707" s="3">
        <f>IF(AND(tbl_main[[#This Row],[Price]]="",tbl_main[[#This Row],[Qty]]=""),"",tbl_main[[#This Row],[Price]]*tbl_main[[#This Row],[Qty]])</f>
        <v>100</v>
      </c>
      <c r="N707" s="3">
        <f>_xlfn.LET(_xlpm.x,_xlfn.XLOOKUP(tbl_main[[#This Row],[Service]],tbl_service[Service],tbl_service[Profit],""),
               IF(tbl_main[[#This Row],[Qty]]="","",_xlpm.x*tbl_main[[#This Row],[Qty]]))</f>
        <v>45</v>
      </c>
    </row>
    <row r="708" spans="1:14" x14ac:dyDescent="0.25">
      <c r="A708" t="s">
        <v>750</v>
      </c>
      <c r="B708" s="1">
        <v>45888</v>
      </c>
      <c r="C708">
        <f>IF(tbl_main[[#This Row],[Date]]="","",YEAR(B708))</f>
        <v>2025</v>
      </c>
      <c r="D708" t="str">
        <f>IF(tbl_main[[#This Row],[Date]]="","",TEXT(B708,"mmm"))</f>
        <v>Aug</v>
      </c>
      <c r="E708" t="str">
        <f>IF(tbl_main[[#This Row],[Date]]="","",TEXT(B708,"DDD"))</f>
        <v>Tue</v>
      </c>
      <c r="F708" t="s">
        <v>27</v>
      </c>
      <c r="G708" t="s">
        <v>40</v>
      </c>
      <c r="H708" s="3" t="s">
        <v>26</v>
      </c>
      <c r="I708" s="3" t="s">
        <v>35</v>
      </c>
      <c r="J708" s="3" t="s">
        <v>17</v>
      </c>
      <c r="K708" s="3">
        <f>_xlfn.XLOOKUP(tbl_main[[#This Row],[Service]],tbl_service[Service],tbl_service[Price],"")</f>
        <v>200</v>
      </c>
      <c r="L708" s="3">
        <v>2</v>
      </c>
      <c r="M708" s="3">
        <f>IF(AND(tbl_main[[#This Row],[Price]]="",tbl_main[[#This Row],[Qty]]=""),"",tbl_main[[#This Row],[Price]]*tbl_main[[#This Row],[Qty]])</f>
        <v>400</v>
      </c>
      <c r="N708" s="3">
        <f>_xlfn.LET(_xlpm.x,_xlfn.XLOOKUP(tbl_main[[#This Row],[Service]],tbl_service[Service],tbl_service[Profit],""),
               IF(tbl_main[[#This Row],[Qty]]="","",_xlpm.x*tbl_main[[#This Row],[Qty]]))</f>
        <v>180</v>
      </c>
    </row>
    <row r="709" spans="1:14" x14ac:dyDescent="0.25">
      <c r="A709" t="s">
        <v>751</v>
      </c>
      <c r="B709" s="1">
        <v>45888</v>
      </c>
      <c r="C709">
        <f>IF(tbl_main[[#This Row],[Date]]="","",YEAR(B709))</f>
        <v>2025</v>
      </c>
      <c r="D709" t="str">
        <f>IF(tbl_main[[#This Row],[Date]]="","",TEXT(B709,"mmm"))</f>
        <v>Aug</v>
      </c>
      <c r="E709" t="str">
        <f>IF(tbl_main[[#This Row],[Date]]="","",TEXT(B709,"DDD"))</f>
        <v>Tue</v>
      </c>
      <c r="F709" t="s">
        <v>20</v>
      </c>
      <c r="G709" t="s">
        <v>21</v>
      </c>
      <c r="H709" s="3" t="s">
        <v>22</v>
      </c>
      <c r="I709" s="3" t="s">
        <v>23</v>
      </c>
      <c r="J709" s="3" t="s">
        <v>32</v>
      </c>
      <c r="K709" s="3">
        <f>_xlfn.XLOOKUP(tbl_main[[#This Row],[Service]],tbl_service[Service],tbl_service[Price],"")</f>
        <v>150</v>
      </c>
      <c r="L709" s="3">
        <v>2</v>
      </c>
      <c r="M709" s="3">
        <f>IF(AND(tbl_main[[#This Row],[Price]]="",tbl_main[[#This Row],[Qty]]=""),"",tbl_main[[#This Row],[Price]]*tbl_main[[#This Row],[Qty]])</f>
        <v>300</v>
      </c>
      <c r="N709" s="3">
        <f>_xlfn.LET(_xlpm.x,_xlfn.XLOOKUP(tbl_main[[#This Row],[Service]],tbl_service[Service],tbl_service[Profit],""),
               IF(tbl_main[[#This Row],[Qty]]="","",_xlpm.x*tbl_main[[#This Row],[Qty]]))</f>
        <v>134</v>
      </c>
    </row>
    <row r="710" spans="1:14" x14ac:dyDescent="0.25">
      <c r="A710" t="s">
        <v>752</v>
      </c>
      <c r="B710" s="1">
        <v>45889</v>
      </c>
      <c r="C710">
        <f>IF(tbl_main[[#This Row],[Date]]="","",YEAR(B710))</f>
        <v>2025</v>
      </c>
      <c r="D710" t="str">
        <f>IF(tbl_main[[#This Row],[Date]]="","",TEXT(B710,"mmm"))</f>
        <v>Aug</v>
      </c>
      <c r="E710" t="str">
        <f>IF(tbl_main[[#This Row],[Date]]="","",TEXT(B710,"DDD"))</f>
        <v>Wed</v>
      </c>
      <c r="F710" t="s">
        <v>30</v>
      </c>
      <c r="G710" t="s">
        <v>36</v>
      </c>
      <c r="H710" s="3" t="s">
        <v>22</v>
      </c>
      <c r="I710" s="3" t="s">
        <v>37</v>
      </c>
      <c r="J710" s="3" t="s">
        <v>25</v>
      </c>
      <c r="K710" s="3">
        <f>_xlfn.XLOOKUP(tbl_main[[#This Row],[Service]],tbl_service[Service],tbl_service[Price],"")</f>
        <v>150</v>
      </c>
      <c r="L710" s="3">
        <v>2</v>
      </c>
      <c r="M710" s="3">
        <f>IF(AND(tbl_main[[#This Row],[Price]]="",tbl_main[[#This Row],[Qty]]=""),"",tbl_main[[#This Row],[Price]]*tbl_main[[#This Row],[Qty]])</f>
        <v>300</v>
      </c>
      <c r="N710" s="3">
        <f>_xlfn.LET(_xlpm.x,_xlfn.XLOOKUP(tbl_main[[#This Row],[Service]],tbl_service[Service],tbl_service[Profit],""),
               IF(tbl_main[[#This Row],[Qty]]="","",_xlpm.x*tbl_main[[#This Row],[Qty]]))</f>
        <v>134</v>
      </c>
    </row>
    <row r="711" spans="1:14" x14ac:dyDescent="0.25">
      <c r="A711" t="s">
        <v>753</v>
      </c>
      <c r="B711" s="1">
        <v>45889</v>
      </c>
      <c r="C711">
        <f>IF(tbl_main[[#This Row],[Date]]="","",YEAR(B711))</f>
        <v>2025</v>
      </c>
      <c r="D711" t="str">
        <f>IF(tbl_main[[#This Row],[Date]]="","",TEXT(B711,"mmm"))</f>
        <v>Aug</v>
      </c>
      <c r="E711" t="str">
        <f>IF(tbl_main[[#This Row],[Date]]="","",TEXT(B711,"DDD"))</f>
        <v>Wed</v>
      </c>
      <c r="F711" t="s">
        <v>20</v>
      </c>
      <c r="G711" t="s">
        <v>29</v>
      </c>
      <c r="H711" s="3" t="s">
        <v>18</v>
      </c>
      <c r="I711" s="3" t="s">
        <v>38</v>
      </c>
      <c r="J711" s="3" t="s">
        <v>32</v>
      </c>
      <c r="K711" s="3">
        <f>_xlfn.XLOOKUP(tbl_main[[#This Row],[Service]],tbl_service[Service],tbl_service[Price],"")</f>
        <v>500</v>
      </c>
      <c r="L711" s="3">
        <v>2</v>
      </c>
      <c r="M711" s="3">
        <f>IF(AND(tbl_main[[#This Row],[Price]]="",tbl_main[[#This Row],[Qty]]=""),"",tbl_main[[#This Row],[Price]]*tbl_main[[#This Row],[Qty]])</f>
        <v>1000</v>
      </c>
      <c r="N711" s="3">
        <f>_xlfn.LET(_xlpm.x,_xlfn.XLOOKUP(tbl_main[[#This Row],[Service]],tbl_service[Service],tbl_service[Profit],""),
               IF(tbl_main[[#This Row],[Qty]]="","",_xlpm.x*tbl_main[[#This Row],[Qty]]))</f>
        <v>314</v>
      </c>
    </row>
    <row r="712" spans="1:14" x14ac:dyDescent="0.25">
      <c r="A712" t="s">
        <v>754</v>
      </c>
      <c r="B712" s="1">
        <v>45889</v>
      </c>
      <c r="C712">
        <f>IF(tbl_main[[#This Row],[Date]]="","",YEAR(B712))</f>
        <v>2025</v>
      </c>
      <c r="D712" t="str">
        <f>IF(tbl_main[[#This Row],[Date]]="","",TEXT(B712,"mmm"))</f>
        <v>Aug</v>
      </c>
      <c r="E712" t="str">
        <f>IF(tbl_main[[#This Row],[Date]]="","",TEXT(B712,"DDD"))</f>
        <v>Wed</v>
      </c>
      <c r="F712" t="s">
        <v>13</v>
      </c>
      <c r="G712" t="s">
        <v>14</v>
      </c>
      <c r="H712" s="3" t="s">
        <v>22</v>
      </c>
      <c r="I712" s="3" t="s">
        <v>16</v>
      </c>
      <c r="J712" s="3" t="s">
        <v>32</v>
      </c>
      <c r="K712" s="3">
        <f>_xlfn.XLOOKUP(tbl_main[[#This Row],[Service]],tbl_service[Service],tbl_service[Price],"")</f>
        <v>150</v>
      </c>
      <c r="L712" s="3">
        <v>2</v>
      </c>
      <c r="M712" s="3">
        <f>IF(AND(tbl_main[[#This Row],[Price]]="",tbl_main[[#This Row],[Qty]]=""),"",tbl_main[[#This Row],[Price]]*tbl_main[[#This Row],[Qty]])</f>
        <v>300</v>
      </c>
      <c r="N712" s="3">
        <f>_xlfn.LET(_xlpm.x,_xlfn.XLOOKUP(tbl_main[[#This Row],[Service]],tbl_service[Service],tbl_service[Profit],""),
               IF(tbl_main[[#This Row],[Qty]]="","",_xlpm.x*tbl_main[[#This Row],[Qty]]))</f>
        <v>134</v>
      </c>
    </row>
    <row r="713" spans="1:14" x14ac:dyDescent="0.25">
      <c r="A713" t="s">
        <v>755</v>
      </c>
      <c r="B713" s="1">
        <v>45890</v>
      </c>
      <c r="C713">
        <f>IF(tbl_main[[#This Row],[Date]]="","",YEAR(B713))</f>
        <v>2025</v>
      </c>
      <c r="D713" t="str">
        <f>IF(tbl_main[[#This Row],[Date]]="","",TEXT(B713,"mmm"))</f>
        <v>Aug</v>
      </c>
      <c r="E713" t="str">
        <f>IF(tbl_main[[#This Row],[Date]]="","",TEXT(B713,"DDD"))</f>
        <v>Thu</v>
      </c>
      <c r="F713" t="s">
        <v>30</v>
      </c>
      <c r="G713" t="s">
        <v>36</v>
      </c>
      <c r="H713" s="3" t="s">
        <v>24</v>
      </c>
      <c r="I713" s="3" t="s">
        <v>19</v>
      </c>
      <c r="J713" s="3" t="s">
        <v>25</v>
      </c>
      <c r="K713" s="3">
        <f>_xlfn.XLOOKUP(tbl_main[[#This Row],[Service]],tbl_service[Service],tbl_service[Price],"")</f>
        <v>80</v>
      </c>
      <c r="L713" s="3">
        <v>2</v>
      </c>
      <c r="M713" s="3">
        <f>IF(AND(tbl_main[[#This Row],[Price]]="",tbl_main[[#This Row],[Qty]]=""),"",tbl_main[[#This Row],[Price]]*tbl_main[[#This Row],[Qty]])</f>
        <v>160</v>
      </c>
      <c r="N713" s="3">
        <f>_xlfn.LET(_xlpm.x,_xlfn.XLOOKUP(tbl_main[[#This Row],[Service]],tbl_service[Service],tbl_service[Profit],""),
               IF(tbl_main[[#This Row],[Qty]]="","",_xlpm.x*tbl_main[[#This Row],[Qty]]))</f>
        <v>72</v>
      </c>
    </row>
    <row r="714" spans="1:14" x14ac:dyDescent="0.25">
      <c r="A714" t="s">
        <v>756</v>
      </c>
      <c r="B714" s="1">
        <v>45890</v>
      </c>
      <c r="C714">
        <f>IF(tbl_main[[#This Row],[Date]]="","",YEAR(B714))</f>
        <v>2025</v>
      </c>
      <c r="D714" t="str">
        <f>IF(tbl_main[[#This Row],[Date]]="","",TEXT(B714,"mmm"))</f>
        <v>Aug</v>
      </c>
      <c r="E714" t="str">
        <f>IF(tbl_main[[#This Row],[Date]]="","",TEXT(B714,"DDD"))</f>
        <v>Thu</v>
      </c>
      <c r="F714" t="s">
        <v>20</v>
      </c>
      <c r="G714" t="s">
        <v>39</v>
      </c>
      <c r="H714" s="3" t="s">
        <v>15</v>
      </c>
      <c r="I714" s="3" t="s">
        <v>19</v>
      </c>
      <c r="J714" s="3" t="s">
        <v>25</v>
      </c>
      <c r="K714" s="3">
        <f>_xlfn.XLOOKUP(tbl_main[[#This Row],[Service]],tbl_service[Service],tbl_service[Price],"")</f>
        <v>500</v>
      </c>
      <c r="L714" s="3">
        <v>1</v>
      </c>
      <c r="M714" s="3">
        <f>IF(AND(tbl_main[[#This Row],[Price]]="",tbl_main[[#This Row],[Qty]]=""),"",tbl_main[[#This Row],[Price]]*tbl_main[[#This Row],[Qty]])</f>
        <v>500</v>
      </c>
      <c r="N714" s="3">
        <f>_xlfn.LET(_xlpm.x,_xlfn.XLOOKUP(tbl_main[[#This Row],[Service]],tbl_service[Service],tbl_service[Profit],""),
               IF(tbl_main[[#This Row],[Qty]]="","",_xlpm.x*tbl_main[[#This Row],[Qty]]))</f>
        <v>225</v>
      </c>
    </row>
    <row r="715" spans="1:14" x14ac:dyDescent="0.25">
      <c r="A715" t="s">
        <v>757</v>
      </c>
      <c r="B715" s="1">
        <v>45890</v>
      </c>
      <c r="C715">
        <f>IF(tbl_main[[#This Row],[Date]]="","",YEAR(B715))</f>
        <v>2025</v>
      </c>
      <c r="D715" t="str">
        <f>IF(tbl_main[[#This Row],[Date]]="","",TEXT(B715,"mmm"))</f>
        <v>Aug</v>
      </c>
      <c r="E715" t="str">
        <f>IF(tbl_main[[#This Row],[Date]]="","",TEXT(B715,"DDD"))</f>
        <v>Thu</v>
      </c>
      <c r="F715" t="s">
        <v>20</v>
      </c>
      <c r="G715" t="s">
        <v>29</v>
      </c>
      <c r="H715" s="3" t="s">
        <v>15</v>
      </c>
      <c r="I715" s="3" t="s">
        <v>41</v>
      </c>
      <c r="J715" s="3" t="s">
        <v>32</v>
      </c>
      <c r="K715" s="3">
        <f>_xlfn.XLOOKUP(tbl_main[[#This Row],[Service]],tbl_service[Service],tbl_service[Price],"")</f>
        <v>500</v>
      </c>
      <c r="L715" s="3">
        <v>1</v>
      </c>
      <c r="M715" s="3">
        <f>IF(AND(tbl_main[[#This Row],[Price]]="",tbl_main[[#This Row],[Qty]]=""),"",tbl_main[[#This Row],[Price]]*tbl_main[[#This Row],[Qty]])</f>
        <v>500</v>
      </c>
      <c r="N715" s="3">
        <f>_xlfn.LET(_xlpm.x,_xlfn.XLOOKUP(tbl_main[[#This Row],[Service]],tbl_service[Service],tbl_service[Profit],""),
               IF(tbl_main[[#This Row],[Qty]]="","",_xlpm.x*tbl_main[[#This Row],[Qty]]))</f>
        <v>225</v>
      </c>
    </row>
    <row r="716" spans="1:14" x14ac:dyDescent="0.25">
      <c r="A716" t="s">
        <v>758</v>
      </c>
      <c r="B716" s="1">
        <v>45890</v>
      </c>
      <c r="C716">
        <f>IF(tbl_main[[#This Row],[Date]]="","",YEAR(B716))</f>
        <v>2025</v>
      </c>
      <c r="D716" t="str">
        <f>IF(tbl_main[[#This Row],[Date]]="","",TEXT(B716,"mmm"))</f>
        <v>Aug</v>
      </c>
      <c r="E716" t="str">
        <f>IF(tbl_main[[#This Row],[Date]]="","",TEXT(B716,"DDD"))</f>
        <v>Thu</v>
      </c>
      <c r="F716" t="s">
        <v>13</v>
      </c>
      <c r="G716" t="s">
        <v>14</v>
      </c>
      <c r="H716" s="3" t="s">
        <v>24</v>
      </c>
      <c r="I716" s="3" t="s">
        <v>41</v>
      </c>
      <c r="J716" s="3" t="s">
        <v>32</v>
      </c>
      <c r="K716" s="3">
        <f>_xlfn.XLOOKUP(tbl_main[[#This Row],[Service]],tbl_service[Service],tbl_service[Price],"")</f>
        <v>80</v>
      </c>
      <c r="L716" s="3">
        <v>1</v>
      </c>
      <c r="M716" s="3">
        <f>IF(AND(tbl_main[[#This Row],[Price]]="",tbl_main[[#This Row],[Qty]]=""),"",tbl_main[[#This Row],[Price]]*tbl_main[[#This Row],[Qty]])</f>
        <v>80</v>
      </c>
      <c r="N716" s="3">
        <f>_xlfn.LET(_xlpm.x,_xlfn.XLOOKUP(tbl_main[[#This Row],[Service]],tbl_service[Service],tbl_service[Profit],""),
               IF(tbl_main[[#This Row],[Qty]]="","",_xlpm.x*tbl_main[[#This Row],[Qty]]))</f>
        <v>36</v>
      </c>
    </row>
    <row r="717" spans="1:14" x14ac:dyDescent="0.25">
      <c r="A717" t="s">
        <v>759</v>
      </c>
      <c r="B717" s="1">
        <v>45891</v>
      </c>
      <c r="C717">
        <f>IF(tbl_main[[#This Row],[Date]]="","",YEAR(B717))</f>
        <v>2025</v>
      </c>
      <c r="D717" t="str">
        <f>IF(tbl_main[[#This Row],[Date]]="","",TEXT(B717,"mmm"))</f>
        <v>Aug</v>
      </c>
      <c r="E717" t="str">
        <f>IF(tbl_main[[#This Row],[Date]]="","",TEXT(B717,"DDD"))</f>
        <v>Fri</v>
      </c>
      <c r="F717" t="s">
        <v>13</v>
      </c>
      <c r="G717" t="s">
        <v>14</v>
      </c>
      <c r="H717" s="3" t="s">
        <v>26</v>
      </c>
      <c r="I717" s="3" t="s">
        <v>35</v>
      </c>
      <c r="J717" s="3" t="s">
        <v>32</v>
      </c>
      <c r="K717" s="3">
        <f>_xlfn.XLOOKUP(tbl_main[[#This Row],[Service]],tbl_service[Service],tbl_service[Price],"")</f>
        <v>200</v>
      </c>
      <c r="L717" s="3">
        <v>2</v>
      </c>
      <c r="M717" s="3">
        <f>IF(AND(tbl_main[[#This Row],[Price]]="",tbl_main[[#This Row],[Qty]]=""),"",tbl_main[[#This Row],[Price]]*tbl_main[[#This Row],[Qty]])</f>
        <v>400</v>
      </c>
      <c r="N717" s="3">
        <f>_xlfn.LET(_xlpm.x,_xlfn.XLOOKUP(tbl_main[[#This Row],[Service]],tbl_service[Service],tbl_service[Profit],""),
               IF(tbl_main[[#This Row],[Qty]]="","",_xlpm.x*tbl_main[[#This Row],[Qty]]))</f>
        <v>180</v>
      </c>
    </row>
    <row r="718" spans="1:14" x14ac:dyDescent="0.25">
      <c r="A718" t="s">
        <v>760</v>
      </c>
      <c r="B718" s="1">
        <v>45891</v>
      </c>
      <c r="C718">
        <f>IF(tbl_main[[#This Row],[Date]]="","",YEAR(B718))</f>
        <v>2025</v>
      </c>
      <c r="D718" t="str">
        <f>IF(tbl_main[[#This Row],[Date]]="","",TEXT(B718,"mmm"))</f>
        <v>Aug</v>
      </c>
      <c r="E718" t="str">
        <f>IF(tbl_main[[#This Row],[Date]]="","",TEXT(B718,"DDD"))</f>
        <v>Fri</v>
      </c>
      <c r="F718" t="s">
        <v>27</v>
      </c>
      <c r="G718" t="s">
        <v>40</v>
      </c>
      <c r="H718" s="3" t="s">
        <v>24</v>
      </c>
      <c r="I718" s="3" t="s">
        <v>35</v>
      </c>
      <c r="J718" s="3" t="s">
        <v>25</v>
      </c>
      <c r="K718" s="3">
        <f>_xlfn.XLOOKUP(tbl_main[[#This Row],[Service]],tbl_service[Service],tbl_service[Price],"")</f>
        <v>80</v>
      </c>
      <c r="L718" s="3">
        <v>2</v>
      </c>
      <c r="M718" s="3">
        <f>IF(AND(tbl_main[[#This Row],[Price]]="",tbl_main[[#This Row],[Qty]]=""),"",tbl_main[[#This Row],[Price]]*tbl_main[[#This Row],[Qty]])</f>
        <v>160</v>
      </c>
      <c r="N718" s="3">
        <f>_xlfn.LET(_xlpm.x,_xlfn.XLOOKUP(tbl_main[[#This Row],[Service]],tbl_service[Service],tbl_service[Profit],""),
               IF(tbl_main[[#This Row],[Qty]]="","",_xlpm.x*tbl_main[[#This Row],[Qty]]))</f>
        <v>72</v>
      </c>
    </row>
    <row r="719" spans="1:14" x14ac:dyDescent="0.25">
      <c r="A719" t="s">
        <v>761</v>
      </c>
      <c r="B719" s="1">
        <v>45892</v>
      </c>
      <c r="C719">
        <f>IF(tbl_main[[#This Row],[Date]]="","",YEAR(B719))</f>
        <v>2025</v>
      </c>
      <c r="D719" t="str">
        <f>IF(tbl_main[[#This Row],[Date]]="","",TEXT(B719,"mmm"))</f>
        <v>Aug</v>
      </c>
      <c r="E719" t="str">
        <f>IF(tbl_main[[#This Row],[Date]]="","",TEXT(B719,"DDD"))</f>
        <v>Sat</v>
      </c>
      <c r="F719" t="s">
        <v>30</v>
      </c>
      <c r="G719" t="s">
        <v>31</v>
      </c>
      <c r="H719" s="3" t="s">
        <v>34</v>
      </c>
      <c r="I719" s="3" t="s">
        <v>23</v>
      </c>
      <c r="J719" s="3" t="s">
        <v>25</v>
      </c>
      <c r="K719" s="3">
        <f>_xlfn.XLOOKUP(tbl_main[[#This Row],[Service]],tbl_service[Service],tbl_service[Price],"")</f>
        <v>100</v>
      </c>
      <c r="L719" s="3">
        <v>2</v>
      </c>
      <c r="M719" s="3">
        <f>IF(AND(tbl_main[[#This Row],[Price]]="",tbl_main[[#This Row],[Qty]]=""),"",tbl_main[[#This Row],[Price]]*tbl_main[[#This Row],[Qty]])</f>
        <v>200</v>
      </c>
      <c r="N719" s="3">
        <f>_xlfn.LET(_xlpm.x,_xlfn.XLOOKUP(tbl_main[[#This Row],[Service]],tbl_service[Service],tbl_service[Profit],""),
               IF(tbl_main[[#This Row],[Qty]]="","",_xlpm.x*tbl_main[[#This Row],[Qty]]))</f>
        <v>90</v>
      </c>
    </row>
    <row r="720" spans="1:14" x14ac:dyDescent="0.25">
      <c r="A720" t="s">
        <v>762</v>
      </c>
      <c r="B720" s="1">
        <v>45892</v>
      </c>
      <c r="C720">
        <f>IF(tbl_main[[#This Row],[Date]]="","",YEAR(B720))</f>
        <v>2025</v>
      </c>
      <c r="D720" t="str">
        <f>IF(tbl_main[[#This Row],[Date]]="","",TEXT(B720,"mmm"))</f>
        <v>Aug</v>
      </c>
      <c r="E720" t="str">
        <f>IF(tbl_main[[#This Row],[Date]]="","",TEXT(B720,"DDD"))</f>
        <v>Sat</v>
      </c>
      <c r="F720" t="s">
        <v>30</v>
      </c>
      <c r="G720" t="s">
        <v>36</v>
      </c>
      <c r="H720" s="3" t="s">
        <v>18</v>
      </c>
      <c r="I720" s="3" t="s">
        <v>37</v>
      </c>
      <c r="J720" s="3" t="s">
        <v>32</v>
      </c>
      <c r="K720" s="3">
        <f>_xlfn.XLOOKUP(tbl_main[[#This Row],[Service]],tbl_service[Service],tbl_service[Price],"")</f>
        <v>500</v>
      </c>
      <c r="L720" s="3">
        <v>1</v>
      </c>
      <c r="M720" s="3">
        <f>IF(AND(tbl_main[[#This Row],[Price]]="",tbl_main[[#This Row],[Qty]]=""),"",tbl_main[[#This Row],[Price]]*tbl_main[[#This Row],[Qty]])</f>
        <v>500</v>
      </c>
      <c r="N720" s="3">
        <f>_xlfn.LET(_xlpm.x,_xlfn.XLOOKUP(tbl_main[[#This Row],[Service]],tbl_service[Service],tbl_service[Profit],""),
               IF(tbl_main[[#This Row],[Qty]]="","",_xlpm.x*tbl_main[[#This Row],[Qty]]))</f>
        <v>157</v>
      </c>
    </row>
    <row r="721" spans="1:14" x14ac:dyDescent="0.25">
      <c r="A721" t="s">
        <v>763</v>
      </c>
      <c r="B721" s="1">
        <v>45892</v>
      </c>
      <c r="C721">
        <f>IF(tbl_main[[#This Row],[Date]]="","",YEAR(B721))</f>
        <v>2025</v>
      </c>
      <c r="D721" t="str">
        <f>IF(tbl_main[[#This Row],[Date]]="","",TEXT(B721,"mmm"))</f>
        <v>Aug</v>
      </c>
      <c r="E721" t="str">
        <f>IF(tbl_main[[#This Row],[Date]]="","",TEXT(B721,"DDD"))</f>
        <v>Sat</v>
      </c>
      <c r="F721" t="s">
        <v>30</v>
      </c>
      <c r="G721" t="s">
        <v>31</v>
      </c>
      <c r="H721" s="3" t="s">
        <v>24</v>
      </c>
      <c r="I721" s="3" t="s">
        <v>38</v>
      </c>
      <c r="J721" s="3" t="s">
        <v>32</v>
      </c>
      <c r="K721" s="3">
        <f>_xlfn.XLOOKUP(tbl_main[[#This Row],[Service]],tbl_service[Service],tbl_service[Price],"")</f>
        <v>80</v>
      </c>
      <c r="L721" s="3">
        <v>2</v>
      </c>
      <c r="M721" s="3">
        <f>IF(AND(tbl_main[[#This Row],[Price]]="",tbl_main[[#This Row],[Qty]]=""),"",tbl_main[[#This Row],[Price]]*tbl_main[[#This Row],[Qty]])</f>
        <v>160</v>
      </c>
      <c r="N721" s="3">
        <f>_xlfn.LET(_xlpm.x,_xlfn.XLOOKUP(tbl_main[[#This Row],[Service]],tbl_service[Service],tbl_service[Profit],""),
               IF(tbl_main[[#This Row],[Qty]]="","",_xlpm.x*tbl_main[[#This Row],[Qty]]))</f>
        <v>72</v>
      </c>
    </row>
    <row r="722" spans="1:14" x14ac:dyDescent="0.25">
      <c r="A722" t="s">
        <v>764</v>
      </c>
      <c r="B722" s="1">
        <v>45893</v>
      </c>
      <c r="C722">
        <f>IF(tbl_main[[#This Row],[Date]]="","",YEAR(B722))</f>
        <v>2025</v>
      </c>
      <c r="D722" t="str">
        <f>IF(tbl_main[[#This Row],[Date]]="","",TEXT(B722,"mmm"))</f>
        <v>Aug</v>
      </c>
      <c r="E722" t="str">
        <f>IF(tbl_main[[#This Row],[Date]]="","",TEXT(B722,"DDD"))</f>
        <v>Sun</v>
      </c>
      <c r="F722" t="s">
        <v>20</v>
      </c>
      <c r="G722" t="s">
        <v>29</v>
      </c>
      <c r="H722" s="3" t="s">
        <v>24</v>
      </c>
      <c r="I722" s="3" t="s">
        <v>16</v>
      </c>
      <c r="J722" s="3" t="s">
        <v>17</v>
      </c>
      <c r="K722" s="3">
        <f>_xlfn.XLOOKUP(tbl_main[[#This Row],[Service]],tbl_service[Service],tbl_service[Price],"")</f>
        <v>80</v>
      </c>
      <c r="L722" s="3">
        <v>2</v>
      </c>
      <c r="M722" s="3">
        <f>IF(AND(tbl_main[[#This Row],[Price]]="",tbl_main[[#This Row],[Qty]]=""),"",tbl_main[[#This Row],[Price]]*tbl_main[[#This Row],[Qty]])</f>
        <v>160</v>
      </c>
      <c r="N722" s="3">
        <f>_xlfn.LET(_xlpm.x,_xlfn.XLOOKUP(tbl_main[[#This Row],[Service]],tbl_service[Service],tbl_service[Profit],""),
               IF(tbl_main[[#This Row],[Qty]]="","",_xlpm.x*tbl_main[[#This Row],[Qty]]))</f>
        <v>72</v>
      </c>
    </row>
    <row r="723" spans="1:14" x14ac:dyDescent="0.25">
      <c r="A723" t="s">
        <v>765</v>
      </c>
      <c r="B723" s="1">
        <v>45893</v>
      </c>
      <c r="C723">
        <f>IF(tbl_main[[#This Row],[Date]]="","",YEAR(B723))</f>
        <v>2025</v>
      </c>
      <c r="D723" t="str">
        <f>IF(tbl_main[[#This Row],[Date]]="","",TEXT(B723,"mmm"))</f>
        <v>Aug</v>
      </c>
      <c r="E723" t="str">
        <f>IF(tbl_main[[#This Row],[Date]]="","",TEXT(B723,"DDD"))</f>
        <v>Sun</v>
      </c>
      <c r="F723" t="s">
        <v>27</v>
      </c>
      <c r="G723" t="s">
        <v>28</v>
      </c>
      <c r="H723" s="3" t="s">
        <v>26</v>
      </c>
      <c r="I723" s="3" t="s">
        <v>19</v>
      </c>
      <c r="J723" s="3" t="s">
        <v>17</v>
      </c>
      <c r="K723" s="3">
        <f>_xlfn.XLOOKUP(tbl_main[[#This Row],[Service]],tbl_service[Service],tbl_service[Price],"")</f>
        <v>200</v>
      </c>
      <c r="L723" s="3">
        <v>2</v>
      </c>
      <c r="M723" s="3">
        <f>IF(AND(tbl_main[[#This Row],[Price]]="",tbl_main[[#This Row],[Qty]]=""),"",tbl_main[[#This Row],[Price]]*tbl_main[[#This Row],[Qty]])</f>
        <v>400</v>
      </c>
      <c r="N723" s="3">
        <f>_xlfn.LET(_xlpm.x,_xlfn.XLOOKUP(tbl_main[[#This Row],[Service]],tbl_service[Service],tbl_service[Profit],""),
               IF(tbl_main[[#This Row],[Qty]]="","",_xlpm.x*tbl_main[[#This Row],[Qty]]))</f>
        <v>180</v>
      </c>
    </row>
    <row r="724" spans="1:14" x14ac:dyDescent="0.25">
      <c r="A724" t="s">
        <v>766</v>
      </c>
      <c r="B724" s="1">
        <v>45894</v>
      </c>
      <c r="C724">
        <f>IF(tbl_main[[#This Row],[Date]]="","",YEAR(B724))</f>
        <v>2025</v>
      </c>
      <c r="D724" t="str">
        <f>IF(tbl_main[[#This Row],[Date]]="","",TEXT(B724,"mmm"))</f>
        <v>Aug</v>
      </c>
      <c r="E724" t="str">
        <f>IF(tbl_main[[#This Row],[Date]]="","",TEXT(B724,"DDD"))</f>
        <v>Mon</v>
      </c>
      <c r="F724" t="s">
        <v>20</v>
      </c>
      <c r="G724" t="s">
        <v>39</v>
      </c>
      <c r="H724" s="3" t="s">
        <v>26</v>
      </c>
      <c r="I724" s="3" t="s">
        <v>19</v>
      </c>
      <c r="J724" s="3" t="s">
        <v>17</v>
      </c>
      <c r="K724" s="3">
        <f>_xlfn.XLOOKUP(tbl_main[[#This Row],[Service]],tbl_service[Service],tbl_service[Price],"")</f>
        <v>200</v>
      </c>
      <c r="L724" s="3">
        <v>2</v>
      </c>
      <c r="M724" s="3">
        <f>IF(AND(tbl_main[[#This Row],[Price]]="",tbl_main[[#This Row],[Qty]]=""),"",tbl_main[[#This Row],[Price]]*tbl_main[[#This Row],[Qty]])</f>
        <v>400</v>
      </c>
      <c r="N724" s="3">
        <f>_xlfn.LET(_xlpm.x,_xlfn.XLOOKUP(tbl_main[[#This Row],[Service]],tbl_service[Service],tbl_service[Profit],""),
               IF(tbl_main[[#This Row],[Qty]]="","",_xlpm.x*tbl_main[[#This Row],[Qty]]))</f>
        <v>180</v>
      </c>
    </row>
    <row r="725" spans="1:14" x14ac:dyDescent="0.25">
      <c r="A725" t="s">
        <v>767</v>
      </c>
      <c r="B725" s="1">
        <v>45894</v>
      </c>
      <c r="C725">
        <f>IF(tbl_main[[#This Row],[Date]]="","",YEAR(B725))</f>
        <v>2025</v>
      </c>
      <c r="D725" t="str">
        <f>IF(tbl_main[[#This Row],[Date]]="","",TEXT(B725,"mmm"))</f>
        <v>Aug</v>
      </c>
      <c r="E725" t="str">
        <f>IF(tbl_main[[#This Row],[Date]]="","",TEXT(B725,"DDD"))</f>
        <v>Mon</v>
      </c>
      <c r="F725" t="s">
        <v>27</v>
      </c>
      <c r="G725" t="s">
        <v>40</v>
      </c>
      <c r="H725" s="3" t="s">
        <v>15</v>
      </c>
      <c r="I725" s="3" t="s">
        <v>41</v>
      </c>
      <c r="J725" s="3" t="s">
        <v>25</v>
      </c>
      <c r="K725" s="3">
        <f>_xlfn.XLOOKUP(tbl_main[[#This Row],[Service]],tbl_service[Service],tbl_service[Price],"")</f>
        <v>500</v>
      </c>
      <c r="L725" s="3">
        <v>2</v>
      </c>
      <c r="M725" s="3">
        <f>IF(AND(tbl_main[[#This Row],[Price]]="",tbl_main[[#This Row],[Qty]]=""),"",tbl_main[[#This Row],[Price]]*tbl_main[[#This Row],[Qty]])</f>
        <v>1000</v>
      </c>
      <c r="N725" s="3">
        <f>_xlfn.LET(_xlpm.x,_xlfn.XLOOKUP(tbl_main[[#This Row],[Service]],tbl_service[Service],tbl_service[Profit],""),
               IF(tbl_main[[#This Row],[Qty]]="","",_xlpm.x*tbl_main[[#This Row],[Qty]]))</f>
        <v>450</v>
      </c>
    </row>
    <row r="726" spans="1:14" x14ac:dyDescent="0.25">
      <c r="A726" t="s">
        <v>768</v>
      </c>
      <c r="B726" s="1">
        <v>45895</v>
      </c>
      <c r="C726">
        <f>IF(tbl_main[[#This Row],[Date]]="","",YEAR(B726))</f>
        <v>2025</v>
      </c>
      <c r="D726" t="str">
        <f>IF(tbl_main[[#This Row],[Date]]="","",TEXT(B726,"mmm"))</f>
        <v>Aug</v>
      </c>
      <c r="E726" t="str">
        <f>IF(tbl_main[[#This Row],[Date]]="","",TEXT(B726,"DDD"))</f>
        <v>Tue</v>
      </c>
      <c r="F726" t="s">
        <v>27</v>
      </c>
      <c r="G726" t="s">
        <v>40</v>
      </c>
      <c r="H726" s="3" t="s">
        <v>34</v>
      </c>
      <c r="I726" s="3" t="s">
        <v>41</v>
      </c>
      <c r="J726" s="3" t="s">
        <v>25</v>
      </c>
      <c r="K726" s="3">
        <f>_xlfn.XLOOKUP(tbl_main[[#This Row],[Service]],tbl_service[Service],tbl_service[Price],"")</f>
        <v>100</v>
      </c>
      <c r="L726" s="3">
        <v>2</v>
      </c>
      <c r="M726" s="3">
        <f>IF(AND(tbl_main[[#This Row],[Price]]="",tbl_main[[#This Row],[Qty]]=""),"",tbl_main[[#This Row],[Price]]*tbl_main[[#This Row],[Qty]])</f>
        <v>200</v>
      </c>
      <c r="N726" s="3">
        <f>_xlfn.LET(_xlpm.x,_xlfn.XLOOKUP(tbl_main[[#This Row],[Service]],tbl_service[Service],tbl_service[Profit],""),
               IF(tbl_main[[#This Row],[Qty]]="","",_xlpm.x*tbl_main[[#This Row],[Qty]]))</f>
        <v>90</v>
      </c>
    </row>
    <row r="727" spans="1:14" x14ac:dyDescent="0.25">
      <c r="A727" t="s">
        <v>769</v>
      </c>
      <c r="B727" s="1">
        <v>45895</v>
      </c>
      <c r="C727">
        <f>IF(tbl_main[[#This Row],[Date]]="","",YEAR(B727))</f>
        <v>2025</v>
      </c>
      <c r="D727" t="str">
        <f>IF(tbl_main[[#This Row],[Date]]="","",TEXT(B727,"mmm"))</f>
        <v>Aug</v>
      </c>
      <c r="E727" t="str">
        <f>IF(tbl_main[[#This Row],[Date]]="","",TEXT(B727,"DDD"))</f>
        <v>Tue</v>
      </c>
      <c r="F727" t="s">
        <v>30</v>
      </c>
      <c r="G727" t="s">
        <v>31</v>
      </c>
      <c r="H727" s="3" t="s">
        <v>24</v>
      </c>
      <c r="I727" s="3" t="s">
        <v>35</v>
      </c>
      <c r="J727" s="3" t="s">
        <v>32</v>
      </c>
      <c r="K727" s="3">
        <f>_xlfn.XLOOKUP(tbl_main[[#This Row],[Service]],tbl_service[Service],tbl_service[Price],"")</f>
        <v>80</v>
      </c>
      <c r="L727" s="3">
        <v>2</v>
      </c>
      <c r="M727" s="3">
        <f>IF(AND(tbl_main[[#This Row],[Price]]="",tbl_main[[#This Row],[Qty]]=""),"",tbl_main[[#This Row],[Price]]*tbl_main[[#This Row],[Qty]])</f>
        <v>160</v>
      </c>
      <c r="N727" s="3">
        <f>_xlfn.LET(_xlpm.x,_xlfn.XLOOKUP(tbl_main[[#This Row],[Service]],tbl_service[Service],tbl_service[Profit],""),
               IF(tbl_main[[#This Row],[Qty]]="","",_xlpm.x*tbl_main[[#This Row],[Qty]]))</f>
        <v>72</v>
      </c>
    </row>
    <row r="728" spans="1:14" x14ac:dyDescent="0.25">
      <c r="A728" t="s">
        <v>770</v>
      </c>
      <c r="B728" s="1">
        <v>45896</v>
      </c>
      <c r="C728">
        <f>IF(tbl_main[[#This Row],[Date]]="","",YEAR(B728))</f>
        <v>2025</v>
      </c>
      <c r="D728" t="str">
        <f>IF(tbl_main[[#This Row],[Date]]="","",TEXT(B728,"mmm"))</f>
        <v>Aug</v>
      </c>
      <c r="E728" t="str">
        <f>IF(tbl_main[[#This Row],[Date]]="","",TEXT(B728,"DDD"))</f>
        <v>Wed</v>
      </c>
      <c r="F728" t="s">
        <v>27</v>
      </c>
      <c r="G728" t="s">
        <v>28</v>
      </c>
      <c r="H728" s="3" t="s">
        <v>15</v>
      </c>
      <c r="I728" s="3" t="s">
        <v>35</v>
      </c>
      <c r="J728" s="3" t="s">
        <v>17</v>
      </c>
      <c r="K728" s="3">
        <f>_xlfn.XLOOKUP(tbl_main[[#This Row],[Service]],tbl_service[Service],tbl_service[Price],"")</f>
        <v>500</v>
      </c>
      <c r="L728" s="3">
        <v>1</v>
      </c>
      <c r="M728" s="3">
        <f>IF(AND(tbl_main[[#This Row],[Price]]="",tbl_main[[#This Row],[Qty]]=""),"",tbl_main[[#This Row],[Price]]*tbl_main[[#This Row],[Qty]])</f>
        <v>500</v>
      </c>
      <c r="N728" s="3">
        <f>_xlfn.LET(_xlpm.x,_xlfn.XLOOKUP(tbl_main[[#This Row],[Service]],tbl_service[Service],tbl_service[Profit],""),
               IF(tbl_main[[#This Row],[Qty]]="","",_xlpm.x*tbl_main[[#This Row],[Qty]]))</f>
        <v>225</v>
      </c>
    </row>
    <row r="729" spans="1:14" x14ac:dyDescent="0.25">
      <c r="A729" t="s">
        <v>771</v>
      </c>
      <c r="B729" s="1">
        <v>45896</v>
      </c>
      <c r="C729">
        <f>IF(tbl_main[[#This Row],[Date]]="","",YEAR(B729))</f>
        <v>2025</v>
      </c>
      <c r="D729" t="str">
        <f>IF(tbl_main[[#This Row],[Date]]="","",TEXT(B729,"mmm"))</f>
        <v>Aug</v>
      </c>
      <c r="E729" t="str">
        <f>IF(tbl_main[[#This Row],[Date]]="","",TEXT(B729,"DDD"))</f>
        <v>Wed</v>
      </c>
      <c r="F729" t="s">
        <v>27</v>
      </c>
      <c r="G729" t="s">
        <v>28</v>
      </c>
      <c r="H729" s="3" t="s">
        <v>34</v>
      </c>
      <c r="I729" s="3" t="s">
        <v>23</v>
      </c>
      <c r="J729" s="3" t="s">
        <v>32</v>
      </c>
      <c r="K729" s="3">
        <f>_xlfn.XLOOKUP(tbl_main[[#This Row],[Service]],tbl_service[Service],tbl_service[Price],"")</f>
        <v>100</v>
      </c>
      <c r="L729" s="3">
        <v>2</v>
      </c>
      <c r="M729" s="3">
        <f>IF(AND(tbl_main[[#This Row],[Price]]="",tbl_main[[#This Row],[Qty]]=""),"",tbl_main[[#This Row],[Price]]*tbl_main[[#This Row],[Qty]])</f>
        <v>200</v>
      </c>
      <c r="N729" s="3">
        <f>_xlfn.LET(_xlpm.x,_xlfn.XLOOKUP(tbl_main[[#This Row],[Service]],tbl_service[Service],tbl_service[Profit],""),
               IF(tbl_main[[#This Row],[Qty]]="","",_xlpm.x*tbl_main[[#This Row],[Qty]]))</f>
        <v>90</v>
      </c>
    </row>
    <row r="730" spans="1:14" x14ac:dyDescent="0.25">
      <c r="A730" t="s">
        <v>772</v>
      </c>
      <c r="B730" s="1">
        <v>45897</v>
      </c>
      <c r="C730">
        <f>IF(tbl_main[[#This Row],[Date]]="","",YEAR(B730))</f>
        <v>2025</v>
      </c>
      <c r="D730" t="str">
        <f>IF(tbl_main[[#This Row],[Date]]="","",TEXT(B730,"mmm"))</f>
        <v>Aug</v>
      </c>
      <c r="E730" t="str">
        <f>IF(tbl_main[[#This Row],[Date]]="","",TEXT(B730,"DDD"))</f>
        <v>Thu</v>
      </c>
      <c r="F730" t="s">
        <v>13</v>
      </c>
      <c r="G730" t="s">
        <v>14</v>
      </c>
      <c r="H730" s="3" t="s">
        <v>15</v>
      </c>
      <c r="I730" s="3" t="s">
        <v>37</v>
      </c>
      <c r="J730" s="3" t="s">
        <v>17</v>
      </c>
      <c r="K730" s="3">
        <f>_xlfn.XLOOKUP(tbl_main[[#This Row],[Service]],tbl_service[Service],tbl_service[Price],"")</f>
        <v>500</v>
      </c>
      <c r="L730" s="3">
        <v>2</v>
      </c>
      <c r="M730" s="3">
        <f>IF(AND(tbl_main[[#This Row],[Price]]="",tbl_main[[#This Row],[Qty]]=""),"",tbl_main[[#This Row],[Price]]*tbl_main[[#This Row],[Qty]])</f>
        <v>1000</v>
      </c>
      <c r="N730" s="3">
        <f>_xlfn.LET(_xlpm.x,_xlfn.XLOOKUP(tbl_main[[#This Row],[Service]],tbl_service[Service],tbl_service[Profit],""),
               IF(tbl_main[[#This Row],[Qty]]="","",_xlpm.x*tbl_main[[#This Row],[Qty]]))</f>
        <v>450</v>
      </c>
    </row>
    <row r="731" spans="1:14" x14ac:dyDescent="0.25">
      <c r="A731" t="s">
        <v>773</v>
      </c>
      <c r="B731" s="1">
        <v>45897</v>
      </c>
      <c r="C731">
        <f>IF(tbl_main[[#This Row],[Date]]="","",YEAR(B731))</f>
        <v>2025</v>
      </c>
      <c r="D731" t="str">
        <f>IF(tbl_main[[#This Row],[Date]]="","",TEXT(B731,"mmm"))</f>
        <v>Aug</v>
      </c>
      <c r="E731" t="str">
        <f>IF(tbl_main[[#This Row],[Date]]="","",TEXT(B731,"DDD"))</f>
        <v>Thu</v>
      </c>
      <c r="F731" t="s">
        <v>13</v>
      </c>
      <c r="G731" t="s">
        <v>33</v>
      </c>
      <c r="H731" s="3" t="s">
        <v>26</v>
      </c>
      <c r="I731" s="3" t="s">
        <v>38</v>
      </c>
      <c r="J731" s="3" t="s">
        <v>17</v>
      </c>
      <c r="K731" s="3">
        <f>_xlfn.XLOOKUP(tbl_main[[#This Row],[Service]],tbl_service[Service],tbl_service[Price],"")</f>
        <v>200</v>
      </c>
      <c r="L731" s="3">
        <v>2</v>
      </c>
      <c r="M731" s="3">
        <f>IF(AND(tbl_main[[#This Row],[Price]]="",tbl_main[[#This Row],[Qty]]=""),"",tbl_main[[#This Row],[Price]]*tbl_main[[#This Row],[Qty]])</f>
        <v>400</v>
      </c>
      <c r="N731" s="3">
        <f>_xlfn.LET(_xlpm.x,_xlfn.XLOOKUP(tbl_main[[#This Row],[Service]],tbl_service[Service],tbl_service[Profit],""),
               IF(tbl_main[[#This Row],[Qty]]="","",_xlpm.x*tbl_main[[#This Row],[Qty]]))</f>
        <v>180</v>
      </c>
    </row>
    <row r="732" spans="1:14" x14ac:dyDescent="0.25">
      <c r="A732" t="s">
        <v>774</v>
      </c>
      <c r="B732" s="1">
        <v>45897</v>
      </c>
      <c r="C732">
        <f>IF(tbl_main[[#This Row],[Date]]="","",YEAR(B732))</f>
        <v>2025</v>
      </c>
      <c r="D732" t="str">
        <f>IF(tbl_main[[#This Row],[Date]]="","",TEXT(B732,"mmm"))</f>
        <v>Aug</v>
      </c>
      <c r="E732" t="str">
        <f>IF(tbl_main[[#This Row],[Date]]="","",TEXT(B732,"DDD"))</f>
        <v>Thu</v>
      </c>
      <c r="F732" t="s">
        <v>27</v>
      </c>
      <c r="G732" t="s">
        <v>28</v>
      </c>
      <c r="H732" s="3" t="s">
        <v>22</v>
      </c>
      <c r="I732" s="3" t="s">
        <v>16</v>
      </c>
      <c r="J732" s="3" t="s">
        <v>25</v>
      </c>
      <c r="K732" s="3">
        <f>_xlfn.XLOOKUP(tbl_main[[#This Row],[Service]],tbl_service[Service],tbl_service[Price],"")</f>
        <v>150</v>
      </c>
      <c r="L732" s="3">
        <v>1</v>
      </c>
      <c r="M732" s="3">
        <f>IF(AND(tbl_main[[#This Row],[Price]]="",tbl_main[[#This Row],[Qty]]=""),"",tbl_main[[#This Row],[Price]]*tbl_main[[#This Row],[Qty]])</f>
        <v>150</v>
      </c>
      <c r="N732" s="3">
        <f>_xlfn.LET(_xlpm.x,_xlfn.XLOOKUP(tbl_main[[#This Row],[Service]],tbl_service[Service],tbl_service[Profit],""),
               IF(tbl_main[[#This Row],[Qty]]="","",_xlpm.x*tbl_main[[#This Row],[Qty]]))</f>
        <v>67</v>
      </c>
    </row>
    <row r="733" spans="1:14" x14ac:dyDescent="0.25">
      <c r="A733" t="s">
        <v>775</v>
      </c>
      <c r="B733" s="1">
        <v>45897</v>
      </c>
      <c r="C733">
        <f>IF(tbl_main[[#This Row],[Date]]="","",YEAR(B733))</f>
        <v>2025</v>
      </c>
      <c r="D733" t="str">
        <f>IF(tbl_main[[#This Row],[Date]]="","",TEXT(B733,"mmm"))</f>
        <v>Aug</v>
      </c>
      <c r="E733" t="str">
        <f>IF(tbl_main[[#This Row],[Date]]="","",TEXT(B733,"DDD"))</f>
        <v>Thu</v>
      </c>
      <c r="F733" t="s">
        <v>27</v>
      </c>
      <c r="G733" t="s">
        <v>40</v>
      </c>
      <c r="H733" s="3" t="s">
        <v>18</v>
      </c>
      <c r="I733" s="3" t="s">
        <v>19</v>
      </c>
      <c r="J733" s="3" t="s">
        <v>25</v>
      </c>
      <c r="K733" s="3">
        <f>_xlfn.XLOOKUP(tbl_main[[#This Row],[Service]],tbl_service[Service],tbl_service[Price],"")</f>
        <v>500</v>
      </c>
      <c r="L733" s="3">
        <v>2</v>
      </c>
      <c r="M733" s="3">
        <f>IF(AND(tbl_main[[#This Row],[Price]]="",tbl_main[[#This Row],[Qty]]=""),"",tbl_main[[#This Row],[Price]]*tbl_main[[#This Row],[Qty]])</f>
        <v>1000</v>
      </c>
      <c r="N733" s="3">
        <f>_xlfn.LET(_xlpm.x,_xlfn.XLOOKUP(tbl_main[[#This Row],[Service]],tbl_service[Service],tbl_service[Profit],""),
               IF(tbl_main[[#This Row],[Qty]]="","",_xlpm.x*tbl_main[[#This Row],[Qty]]))</f>
        <v>314</v>
      </c>
    </row>
    <row r="734" spans="1:14" x14ac:dyDescent="0.25">
      <c r="A734" t="s">
        <v>776</v>
      </c>
      <c r="B734" s="1">
        <v>45898</v>
      </c>
      <c r="C734">
        <f>IF(tbl_main[[#This Row],[Date]]="","",YEAR(B734))</f>
        <v>2025</v>
      </c>
      <c r="D734" t="str">
        <f>IF(tbl_main[[#This Row],[Date]]="","",TEXT(B734,"mmm"))</f>
        <v>Aug</v>
      </c>
      <c r="E734" t="str">
        <f>IF(tbl_main[[#This Row],[Date]]="","",TEXT(B734,"DDD"))</f>
        <v>Fri</v>
      </c>
      <c r="F734" t="s">
        <v>20</v>
      </c>
      <c r="G734" t="s">
        <v>21</v>
      </c>
      <c r="H734" s="3" t="s">
        <v>22</v>
      </c>
      <c r="I734" s="3" t="s">
        <v>19</v>
      </c>
      <c r="J734" s="3" t="s">
        <v>25</v>
      </c>
      <c r="K734" s="3">
        <f>_xlfn.XLOOKUP(tbl_main[[#This Row],[Service]],tbl_service[Service],tbl_service[Price],"")</f>
        <v>150</v>
      </c>
      <c r="L734" s="3">
        <v>2</v>
      </c>
      <c r="M734" s="3">
        <f>IF(AND(tbl_main[[#This Row],[Price]]="",tbl_main[[#This Row],[Qty]]=""),"",tbl_main[[#This Row],[Price]]*tbl_main[[#This Row],[Qty]])</f>
        <v>300</v>
      </c>
      <c r="N734" s="3">
        <f>_xlfn.LET(_xlpm.x,_xlfn.XLOOKUP(tbl_main[[#This Row],[Service]],tbl_service[Service],tbl_service[Profit],""),
               IF(tbl_main[[#This Row],[Qty]]="","",_xlpm.x*tbl_main[[#This Row],[Qty]]))</f>
        <v>134</v>
      </c>
    </row>
    <row r="735" spans="1:14" x14ac:dyDescent="0.25">
      <c r="A735" t="s">
        <v>777</v>
      </c>
      <c r="B735" s="1">
        <v>45898</v>
      </c>
      <c r="C735">
        <f>IF(tbl_main[[#This Row],[Date]]="","",YEAR(B735))</f>
        <v>2025</v>
      </c>
      <c r="D735" t="str">
        <f>IF(tbl_main[[#This Row],[Date]]="","",TEXT(B735,"mmm"))</f>
        <v>Aug</v>
      </c>
      <c r="E735" t="str">
        <f>IF(tbl_main[[#This Row],[Date]]="","",TEXT(B735,"DDD"))</f>
        <v>Fri</v>
      </c>
      <c r="F735" t="s">
        <v>30</v>
      </c>
      <c r="G735" t="s">
        <v>36</v>
      </c>
      <c r="H735" s="3" t="s">
        <v>24</v>
      </c>
      <c r="I735" s="3" t="s">
        <v>41</v>
      </c>
      <c r="J735" s="3" t="s">
        <v>17</v>
      </c>
      <c r="K735" s="3">
        <f>_xlfn.XLOOKUP(tbl_main[[#This Row],[Service]],tbl_service[Service],tbl_service[Price],"")</f>
        <v>80</v>
      </c>
      <c r="L735" s="3">
        <v>2</v>
      </c>
      <c r="M735" s="3">
        <f>IF(AND(tbl_main[[#This Row],[Price]]="",tbl_main[[#This Row],[Qty]]=""),"",tbl_main[[#This Row],[Price]]*tbl_main[[#This Row],[Qty]])</f>
        <v>160</v>
      </c>
      <c r="N735" s="3">
        <f>_xlfn.LET(_xlpm.x,_xlfn.XLOOKUP(tbl_main[[#This Row],[Service]],tbl_service[Service],tbl_service[Profit],""),
               IF(tbl_main[[#This Row],[Qty]]="","",_xlpm.x*tbl_main[[#This Row],[Qty]]))</f>
        <v>72</v>
      </c>
    </row>
    <row r="736" spans="1:14" x14ac:dyDescent="0.25">
      <c r="A736" t="s">
        <v>778</v>
      </c>
      <c r="B736" s="1">
        <v>45898</v>
      </c>
      <c r="C736">
        <f>IF(tbl_main[[#This Row],[Date]]="","",YEAR(B736))</f>
        <v>2025</v>
      </c>
      <c r="D736" t="str">
        <f>IF(tbl_main[[#This Row],[Date]]="","",TEXT(B736,"mmm"))</f>
        <v>Aug</v>
      </c>
      <c r="E736" t="str">
        <f>IF(tbl_main[[#This Row],[Date]]="","",TEXT(B736,"DDD"))</f>
        <v>Fri</v>
      </c>
      <c r="F736" t="s">
        <v>30</v>
      </c>
      <c r="G736" t="s">
        <v>36</v>
      </c>
      <c r="H736" s="3" t="s">
        <v>24</v>
      </c>
      <c r="I736" s="3" t="s">
        <v>41</v>
      </c>
      <c r="J736" s="3" t="s">
        <v>25</v>
      </c>
      <c r="K736" s="3">
        <f>_xlfn.XLOOKUP(tbl_main[[#This Row],[Service]],tbl_service[Service],tbl_service[Price],"")</f>
        <v>80</v>
      </c>
      <c r="L736" s="3">
        <v>1</v>
      </c>
      <c r="M736" s="3">
        <f>IF(AND(tbl_main[[#This Row],[Price]]="",tbl_main[[#This Row],[Qty]]=""),"",tbl_main[[#This Row],[Price]]*tbl_main[[#This Row],[Qty]])</f>
        <v>80</v>
      </c>
      <c r="N736" s="3">
        <f>_xlfn.LET(_xlpm.x,_xlfn.XLOOKUP(tbl_main[[#This Row],[Service]],tbl_service[Service],tbl_service[Profit],""),
               IF(tbl_main[[#This Row],[Qty]]="","",_xlpm.x*tbl_main[[#This Row],[Qty]]))</f>
        <v>36</v>
      </c>
    </row>
    <row r="737" spans="1:14" x14ac:dyDescent="0.25">
      <c r="A737" t="s">
        <v>779</v>
      </c>
      <c r="B737" s="1">
        <v>45899</v>
      </c>
      <c r="C737">
        <f>IF(tbl_main[[#This Row],[Date]]="","",YEAR(B737))</f>
        <v>2025</v>
      </c>
      <c r="D737" t="str">
        <f>IF(tbl_main[[#This Row],[Date]]="","",TEXT(B737,"mmm"))</f>
        <v>Aug</v>
      </c>
      <c r="E737" t="str">
        <f>IF(tbl_main[[#This Row],[Date]]="","",TEXT(B737,"DDD"))</f>
        <v>Sat</v>
      </c>
      <c r="F737" t="s">
        <v>27</v>
      </c>
      <c r="G737" t="s">
        <v>40</v>
      </c>
      <c r="H737" s="3" t="s">
        <v>24</v>
      </c>
      <c r="I737" s="3" t="s">
        <v>35</v>
      </c>
      <c r="J737" s="3" t="s">
        <v>25</v>
      </c>
      <c r="K737" s="3">
        <f>_xlfn.XLOOKUP(tbl_main[[#This Row],[Service]],tbl_service[Service],tbl_service[Price],"")</f>
        <v>80</v>
      </c>
      <c r="L737" s="3">
        <v>2</v>
      </c>
      <c r="M737" s="3">
        <f>IF(AND(tbl_main[[#This Row],[Price]]="",tbl_main[[#This Row],[Qty]]=""),"",tbl_main[[#This Row],[Price]]*tbl_main[[#This Row],[Qty]])</f>
        <v>160</v>
      </c>
      <c r="N737" s="3">
        <f>_xlfn.LET(_xlpm.x,_xlfn.XLOOKUP(tbl_main[[#This Row],[Service]],tbl_service[Service],tbl_service[Profit],""),
               IF(tbl_main[[#This Row],[Qty]]="","",_xlpm.x*tbl_main[[#This Row],[Qty]]))</f>
        <v>72</v>
      </c>
    </row>
    <row r="738" spans="1:14" x14ac:dyDescent="0.25">
      <c r="A738" t="s">
        <v>780</v>
      </c>
      <c r="B738" s="1">
        <v>45899</v>
      </c>
      <c r="C738">
        <f>IF(tbl_main[[#This Row],[Date]]="","",YEAR(B738))</f>
        <v>2025</v>
      </c>
      <c r="D738" t="str">
        <f>IF(tbl_main[[#This Row],[Date]]="","",TEXT(B738,"mmm"))</f>
        <v>Aug</v>
      </c>
      <c r="E738" t="str">
        <f>IF(tbl_main[[#This Row],[Date]]="","",TEXT(B738,"DDD"))</f>
        <v>Sat</v>
      </c>
      <c r="F738" t="s">
        <v>13</v>
      </c>
      <c r="G738" t="s">
        <v>33</v>
      </c>
      <c r="H738" s="3" t="s">
        <v>22</v>
      </c>
      <c r="I738" s="3" t="s">
        <v>35</v>
      </c>
      <c r="J738" s="3" t="s">
        <v>25</v>
      </c>
      <c r="K738" s="3">
        <f>_xlfn.XLOOKUP(tbl_main[[#This Row],[Service]],tbl_service[Service],tbl_service[Price],"")</f>
        <v>150</v>
      </c>
      <c r="L738" s="3">
        <v>1</v>
      </c>
      <c r="M738" s="3">
        <f>IF(AND(tbl_main[[#This Row],[Price]]="",tbl_main[[#This Row],[Qty]]=""),"",tbl_main[[#This Row],[Price]]*tbl_main[[#This Row],[Qty]])</f>
        <v>150</v>
      </c>
      <c r="N738" s="3">
        <f>_xlfn.LET(_xlpm.x,_xlfn.XLOOKUP(tbl_main[[#This Row],[Service]],tbl_service[Service],tbl_service[Profit],""),
               IF(tbl_main[[#This Row],[Qty]]="","",_xlpm.x*tbl_main[[#This Row],[Qty]]))</f>
        <v>67</v>
      </c>
    </row>
    <row r="739" spans="1:14" x14ac:dyDescent="0.25">
      <c r="A739" t="s">
        <v>781</v>
      </c>
      <c r="B739" s="1">
        <v>45899</v>
      </c>
      <c r="C739">
        <f>IF(tbl_main[[#This Row],[Date]]="","",YEAR(B739))</f>
        <v>2025</v>
      </c>
      <c r="D739" t="str">
        <f>IF(tbl_main[[#This Row],[Date]]="","",TEXT(B739,"mmm"))</f>
        <v>Aug</v>
      </c>
      <c r="E739" t="str">
        <f>IF(tbl_main[[#This Row],[Date]]="","",TEXT(B739,"DDD"))</f>
        <v>Sat</v>
      </c>
      <c r="F739" t="s">
        <v>30</v>
      </c>
      <c r="G739" t="s">
        <v>36</v>
      </c>
      <c r="H739" s="3" t="s">
        <v>22</v>
      </c>
      <c r="I739" s="3" t="s">
        <v>23</v>
      </c>
      <c r="J739" s="3" t="s">
        <v>25</v>
      </c>
      <c r="K739" s="3">
        <f>_xlfn.XLOOKUP(tbl_main[[#This Row],[Service]],tbl_service[Service],tbl_service[Price],"")</f>
        <v>150</v>
      </c>
      <c r="L739" s="3">
        <v>2</v>
      </c>
      <c r="M739" s="3">
        <f>IF(AND(tbl_main[[#This Row],[Price]]="",tbl_main[[#This Row],[Qty]]=""),"",tbl_main[[#This Row],[Price]]*tbl_main[[#This Row],[Qty]])</f>
        <v>300</v>
      </c>
      <c r="N739" s="3">
        <f>_xlfn.LET(_xlpm.x,_xlfn.XLOOKUP(tbl_main[[#This Row],[Service]],tbl_service[Service],tbl_service[Profit],""),
               IF(tbl_main[[#This Row],[Qty]]="","",_xlpm.x*tbl_main[[#This Row],[Qty]]))</f>
        <v>134</v>
      </c>
    </row>
    <row r="740" spans="1:14" x14ac:dyDescent="0.25">
      <c r="A740" t="s">
        <v>782</v>
      </c>
      <c r="B740" s="1">
        <v>45900</v>
      </c>
      <c r="C740">
        <f>IF(tbl_main[[#This Row],[Date]]="","",YEAR(B740))</f>
        <v>2025</v>
      </c>
      <c r="D740" t="str">
        <f>IF(tbl_main[[#This Row],[Date]]="","",TEXT(B740,"mmm"))</f>
        <v>Aug</v>
      </c>
      <c r="E740" t="str">
        <f>IF(tbl_main[[#This Row],[Date]]="","",TEXT(B740,"DDD"))</f>
        <v>Sun</v>
      </c>
      <c r="F740" t="s">
        <v>20</v>
      </c>
      <c r="G740" t="s">
        <v>21</v>
      </c>
      <c r="H740" s="3" t="s">
        <v>34</v>
      </c>
      <c r="I740" s="3" t="s">
        <v>37</v>
      </c>
      <c r="J740" s="3" t="s">
        <v>32</v>
      </c>
      <c r="K740" s="3">
        <f>_xlfn.XLOOKUP(tbl_main[[#This Row],[Service]],tbl_service[Service],tbl_service[Price],"")</f>
        <v>100</v>
      </c>
      <c r="L740" s="3">
        <v>1</v>
      </c>
      <c r="M740" s="3">
        <f>IF(AND(tbl_main[[#This Row],[Price]]="",tbl_main[[#This Row],[Qty]]=""),"",tbl_main[[#This Row],[Price]]*tbl_main[[#This Row],[Qty]])</f>
        <v>100</v>
      </c>
      <c r="N740" s="3">
        <f>_xlfn.LET(_xlpm.x,_xlfn.XLOOKUP(tbl_main[[#This Row],[Service]],tbl_service[Service],tbl_service[Profit],""),
               IF(tbl_main[[#This Row],[Qty]]="","",_xlpm.x*tbl_main[[#This Row],[Qty]]))</f>
        <v>45</v>
      </c>
    </row>
    <row r="741" spans="1:14" x14ac:dyDescent="0.25">
      <c r="A741" t="s">
        <v>783</v>
      </c>
      <c r="B741" s="1">
        <v>45900</v>
      </c>
      <c r="C741">
        <f>IF(tbl_main[[#This Row],[Date]]="","",YEAR(B741))</f>
        <v>2025</v>
      </c>
      <c r="D741" t="str">
        <f>IF(tbl_main[[#This Row],[Date]]="","",TEXT(B741,"mmm"))</f>
        <v>Aug</v>
      </c>
      <c r="E741" t="str">
        <f>IF(tbl_main[[#This Row],[Date]]="","",TEXT(B741,"DDD"))</f>
        <v>Sun</v>
      </c>
      <c r="F741" t="s">
        <v>27</v>
      </c>
      <c r="G741" t="s">
        <v>28</v>
      </c>
      <c r="H741" s="3" t="s">
        <v>24</v>
      </c>
      <c r="I741" s="3" t="s">
        <v>38</v>
      </c>
      <c r="J741" s="3" t="s">
        <v>25</v>
      </c>
      <c r="K741" s="3">
        <f>_xlfn.XLOOKUP(tbl_main[[#This Row],[Service]],tbl_service[Service],tbl_service[Price],"")</f>
        <v>80</v>
      </c>
      <c r="L741" s="3">
        <v>1</v>
      </c>
      <c r="M741" s="3">
        <f>IF(AND(tbl_main[[#This Row],[Price]]="",tbl_main[[#This Row],[Qty]]=""),"",tbl_main[[#This Row],[Price]]*tbl_main[[#This Row],[Qty]])</f>
        <v>80</v>
      </c>
      <c r="N741" s="3">
        <f>_xlfn.LET(_xlpm.x,_xlfn.XLOOKUP(tbl_main[[#This Row],[Service]],tbl_service[Service],tbl_service[Profit],""),
               IF(tbl_main[[#This Row],[Qty]]="","",_xlpm.x*tbl_main[[#This Row],[Qty]]))</f>
        <v>36</v>
      </c>
    </row>
    <row r="742" spans="1:14" x14ac:dyDescent="0.25">
      <c r="A742" t="s">
        <v>784</v>
      </c>
      <c r="B742" s="1">
        <v>45901</v>
      </c>
      <c r="C742">
        <f>IF(tbl_main[[#This Row],[Date]]="","",YEAR(B742))</f>
        <v>2025</v>
      </c>
      <c r="D742" t="str">
        <f>IF(tbl_main[[#This Row],[Date]]="","",TEXT(B742,"mmm"))</f>
        <v>Sep</v>
      </c>
      <c r="E742" t="str">
        <f>IF(tbl_main[[#This Row],[Date]]="","",TEXT(B742,"DDD"))</f>
        <v>Mon</v>
      </c>
      <c r="F742" t="s">
        <v>13</v>
      </c>
      <c r="G742" t="s">
        <v>14</v>
      </c>
      <c r="H742" s="3" t="s">
        <v>24</v>
      </c>
      <c r="I742" s="3" t="s">
        <v>16</v>
      </c>
      <c r="J742" s="3" t="s">
        <v>32</v>
      </c>
      <c r="K742" s="3">
        <f>_xlfn.XLOOKUP(tbl_main[[#This Row],[Service]],tbl_service[Service],tbl_service[Price],"")</f>
        <v>80</v>
      </c>
      <c r="L742" s="3">
        <v>1</v>
      </c>
      <c r="M742" s="3">
        <f>IF(AND(tbl_main[[#This Row],[Price]]="",tbl_main[[#This Row],[Qty]]=""),"",tbl_main[[#This Row],[Price]]*tbl_main[[#This Row],[Qty]])</f>
        <v>80</v>
      </c>
      <c r="N742" s="3">
        <f>_xlfn.LET(_xlpm.x,_xlfn.XLOOKUP(tbl_main[[#This Row],[Service]],tbl_service[Service],tbl_service[Profit],""),
               IF(tbl_main[[#This Row],[Qty]]="","",_xlpm.x*tbl_main[[#This Row],[Qty]]))</f>
        <v>36</v>
      </c>
    </row>
    <row r="743" spans="1:14" x14ac:dyDescent="0.25">
      <c r="A743" t="s">
        <v>785</v>
      </c>
      <c r="B743" s="1">
        <v>45901</v>
      </c>
      <c r="C743">
        <f>IF(tbl_main[[#This Row],[Date]]="","",YEAR(B743))</f>
        <v>2025</v>
      </c>
      <c r="D743" t="str">
        <f>IF(tbl_main[[#This Row],[Date]]="","",TEXT(B743,"mmm"))</f>
        <v>Sep</v>
      </c>
      <c r="E743" t="str">
        <f>IF(tbl_main[[#This Row],[Date]]="","",TEXT(B743,"DDD"))</f>
        <v>Mon</v>
      </c>
      <c r="F743" t="s">
        <v>30</v>
      </c>
      <c r="G743" t="s">
        <v>31</v>
      </c>
      <c r="H743" s="3" t="s">
        <v>24</v>
      </c>
      <c r="I743" s="3" t="s">
        <v>19</v>
      </c>
      <c r="J743" s="3" t="s">
        <v>25</v>
      </c>
      <c r="K743" s="3">
        <f>_xlfn.XLOOKUP(tbl_main[[#This Row],[Service]],tbl_service[Service],tbl_service[Price],"")</f>
        <v>80</v>
      </c>
      <c r="L743" s="3">
        <v>2</v>
      </c>
      <c r="M743" s="3">
        <f>IF(AND(tbl_main[[#This Row],[Price]]="",tbl_main[[#This Row],[Qty]]=""),"",tbl_main[[#This Row],[Price]]*tbl_main[[#This Row],[Qty]])</f>
        <v>160</v>
      </c>
      <c r="N743" s="3">
        <f>_xlfn.LET(_xlpm.x,_xlfn.XLOOKUP(tbl_main[[#This Row],[Service]],tbl_service[Service],tbl_service[Profit],""),
               IF(tbl_main[[#This Row],[Qty]]="","",_xlpm.x*tbl_main[[#This Row],[Qty]]))</f>
        <v>72</v>
      </c>
    </row>
    <row r="744" spans="1:14" x14ac:dyDescent="0.25">
      <c r="A744" t="s">
        <v>786</v>
      </c>
      <c r="B744" s="1">
        <v>45902</v>
      </c>
      <c r="C744">
        <f>IF(tbl_main[[#This Row],[Date]]="","",YEAR(B744))</f>
        <v>2025</v>
      </c>
      <c r="D744" t="str">
        <f>IF(tbl_main[[#This Row],[Date]]="","",TEXT(B744,"mmm"))</f>
        <v>Sep</v>
      </c>
      <c r="E744" t="str">
        <f>IF(tbl_main[[#This Row],[Date]]="","",TEXT(B744,"DDD"))</f>
        <v>Tue</v>
      </c>
      <c r="F744" t="s">
        <v>30</v>
      </c>
      <c r="G744" t="s">
        <v>36</v>
      </c>
      <c r="H744" s="3" t="s">
        <v>15</v>
      </c>
      <c r="I744" s="3" t="s">
        <v>19</v>
      </c>
      <c r="J744" s="3" t="s">
        <v>32</v>
      </c>
      <c r="K744" s="3">
        <f>_xlfn.XLOOKUP(tbl_main[[#This Row],[Service]],tbl_service[Service],tbl_service[Price],"")</f>
        <v>500</v>
      </c>
      <c r="L744" s="3">
        <v>1</v>
      </c>
      <c r="M744" s="3">
        <f>IF(AND(tbl_main[[#This Row],[Price]]="",tbl_main[[#This Row],[Qty]]=""),"",tbl_main[[#This Row],[Price]]*tbl_main[[#This Row],[Qty]])</f>
        <v>500</v>
      </c>
      <c r="N744" s="3">
        <f>_xlfn.LET(_xlpm.x,_xlfn.XLOOKUP(tbl_main[[#This Row],[Service]],tbl_service[Service],tbl_service[Profit],""),
               IF(tbl_main[[#This Row],[Qty]]="","",_xlpm.x*tbl_main[[#This Row],[Qty]]))</f>
        <v>225</v>
      </c>
    </row>
    <row r="745" spans="1:14" x14ac:dyDescent="0.25">
      <c r="A745" t="s">
        <v>787</v>
      </c>
      <c r="B745" s="1">
        <v>45902</v>
      </c>
      <c r="C745">
        <f>IF(tbl_main[[#This Row],[Date]]="","",YEAR(B745))</f>
        <v>2025</v>
      </c>
      <c r="D745" t="str">
        <f>IF(tbl_main[[#This Row],[Date]]="","",TEXT(B745,"mmm"))</f>
        <v>Sep</v>
      </c>
      <c r="E745" t="str">
        <f>IF(tbl_main[[#This Row],[Date]]="","",TEXT(B745,"DDD"))</f>
        <v>Tue</v>
      </c>
      <c r="F745" t="s">
        <v>20</v>
      </c>
      <c r="G745" t="s">
        <v>29</v>
      </c>
      <c r="H745" s="3" t="s">
        <v>24</v>
      </c>
      <c r="I745" s="3" t="s">
        <v>41</v>
      </c>
      <c r="J745" s="3" t="s">
        <v>32</v>
      </c>
      <c r="K745" s="3">
        <f>_xlfn.XLOOKUP(tbl_main[[#This Row],[Service]],tbl_service[Service],tbl_service[Price],"")</f>
        <v>80</v>
      </c>
      <c r="L745" s="3">
        <v>1</v>
      </c>
      <c r="M745" s="3">
        <f>IF(AND(tbl_main[[#This Row],[Price]]="",tbl_main[[#This Row],[Qty]]=""),"",tbl_main[[#This Row],[Price]]*tbl_main[[#This Row],[Qty]])</f>
        <v>80</v>
      </c>
      <c r="N745" s="3">
        <f>_xlfn.LET(_xlpm.x,_xlfn.XLOOKUP(tbl_main[[#This Row],[Service]],tbl_service[Service],tbl_service[Profit],""),
               IF(tbl_main[[#This Row],[Qty]]="","",_xlpm.x*tbl_main[[#This Row],[Qty]]))</f>
        <v>36</v>
      </c>
    </row>
    <row r="746" spans="1:14" x14ac:dyDescent="0.25">
      <c r="A746" t="s">
        <v>788</v>
      </c>
      <c r="B746" s="1">
        <v>45902</v>
      </c>
      <c r="C746">
        <f>IF(tbl_main[[#This Row],[Date]]="","",YEAR(B746))</f>
        <v>2025</v>
      </c>
      <c r="D746" t="str">
        <f>IF(tbl_main[[#This Row],[Date]]="","",TEXT(B746,"mmm"))</f>
        <v>Sep</v>
      </c>
      <c r="E746" t="str">
        <f>IF(tbl_main[[#This Row],[Date]]="","",TEXT(B746,"DDD"))</f>
        <v>Tue</v>
      </c>
      <c r="F746" t="s">
        <v>30</v>
      </c>
      <c r="G746" t="s">
        <v>31</v>
      </c>
      <c r="H746" s="3" t="s">
        <v>22</v>
      </c>
      <c r="I746" s="3" t="s">
        <v>41</v>
      </c>
      <c r="J746" s="3" t="s">
        <v>32</v>
      </c>
      <c r="K746" s="3">
        <f>_xlfn.XLOOKUP(tbl_main[[#This Row],[Service]],tbl_service[Service],tbl_service[Price],"")</f>
        <v>150</v>
      </c>
      <c r="L746" s="3">
        <v>2</v>
      </c>
      <c r="M746" s="3">
        <f>IF(AND(tbl_main[[#This Row],[Price]]="",tbl_main[[#This Row],[Qty]]=""),"",tbl_main[[#This Row],[Price]]*tbl_main[[#This Row],[Qty]])</f>
        <v>300</v>
      </c>
      <c r="N746" s="3">
        <f>_xlfn.LET(_xlpm.x,_xlfn.XLOOKUP(tbl_main[[#This Row],[Service]],tbl_service[Service],tbl_service[Profit],""),
               IF(tbl_main[[#This Row],[Qty]]="","",_xlpm.x*tbl_main[[#This Row],[Qty]]))</f>
        <v>134</v>
      </c>
    </row>
    <row r="747" spans="1:14" x14ac:dyDescent="0.25">
      <c r="A747" t="s">
        <v>789</v>
      </c>
      <c r="B747" s="1">
        <v>45903</v>
      </c>
      <c r="C747">
        <f>IF(tbl_main[[#This Row],[Date]]="","",YEAR(B747))</f>
        <v>2025</v>
      </c>
      <c r="D747" t="str">
        <f>IF(tbl_main[[#This Row],[Date]]="","",TEXT(B747,"mmm"))</f>
        <v>Sep</v>
      </c>
      <c r="E747" t="str">
        <f>IF(tbl_main[[#This Row],[Date]]="","",TEXT(B747,"DDD"))</f>
        <v>Wed</v>
      </c>
      <c r="F747" t="s">
        <v>27</v>
      </c>
      <c r="G747" t="s">
        <v>28</v>
      </c>
      <c r="H747" s="3" t="s">
        <v>26</v>
      </c>
      <c r="I747" s="3" t="s">
        <v>35</v>
      </c>
      <c r="J747" s="3" t="s">
        <v>17</v>
      </c>
      <c r="K747" s="3">
        <f>_xlfn.XLOOKUP(tbl_main[[#This Row],[Service]],tbl_service[Service],tbl_service[Price],"")</f>
        <v>200</v>
      </c>
      <c r="L747" s="3">
        <v>2</v>
      </c>
      <c r="M747" s="3">
        <f>IF(AND(tbl_main[[#This Row],[Price]]="",tbl_main[[#This Row],[Qty]]=""),"",tbl_main[[#This Row],[Price]]*tbl_main[[#This Row],[Qty]])</f>
        <v>400</v>
      </c>
      <c r="N747" s="3">
        <f>_xlfn.LET(_xlpm.x,_xlfn.XLOOKUP(tbl_main[[#This Row],[Service]],tbl_service[Service],tbl_service[Profit],""),
               IF(tbl_main[[#This Row],[Qty]]="","",_xlpm.x*tbl_main[[#This Row],[Qty]]))</f>
        <v>180</v>
      </c>
    </row>
    <row r="748" spans="1:14" x14ac:dyDescent="0.25">
      <c r="A748" t="s">
        <v>790</v>
      </c>
      <c r="B748" s="1">
        <v>45903</v>
      </c>
      <c r="C748">
        <f>IF(tbl_main[[#This Row],[Date]]="","",YEAR(B748))</f>
        <v>2025</v>
      </c>
      <c r="D748" t="str">
        <f>IF(tbl_main[[#This Row],[Date]]="","",TEXT(B748,"mmm"))</f>
        <v>Sep</v>
      </c>
      <c r="E748" t="str">
        <f>IF(tbl_main[[#This Row],[Date]]="","",TEXT(B748,"DDD"))</f>
        <v>Wed</v>
      </c>
      <c r="F748" t="s">
        <v>30</v>
      </c>
      <c r="G748" t="s">
        <v>36</v>
      </c>
      <c r="H748" s="3" t="s">
        <v>18</v>
      </c>
      <c r="I748" s="3" t="s">
        <v>35</v>
      </c>
      <c r="J748" s="3" t="s">
        <v>17</v>
      </c>
      <c r="K748" s="3">
        <f>_xlfn.XLOOKUP(tbl_main[[#This Row],[Service]],tbl_service[Service],tbl_service[Price],"")</f>
        <v>500</v>
      </c>
      <c r="L748" s="3">
        <v>1</v>
      </c>
      <c r="M748" s="3">
        <f>IF(AND(tbl_main[[#This Row],[Price]]="",tbl_main[[#This Row],[Qty]]=""),"",tbl_main[[#This Row],[Price]]*tbl_main[[#This Row],[Qty]])</f>
        <v>500</v>
      </c>
      <c r="N748" s="3">
        <f>_xlfn.LET(_xlpm.x,_xlfn.XLOOKUP(tbl_main[[#This Row],[Service]],tbl_service[Service],tbl_service[Profit],""),
               IF(tbl_main[[#This Row],[Qty]]="","",_xlpm.x*tbl_main[[#This Row],[Qty]]))</f>
        <v>157</v>
      </c>
    </row>
    <row r="749" spans="1:14" x14ac:dyDescent="0.25">
      <c r="A749" t="s">
        <v>791</v>
      </c>
      <c r="B749" s="1">
        <v>45903</v>
      </c>
      <c r="C749">
        <f>IF(tbl_main[[#This Row],[Date]]="","",YEAR(B749))</f>
        <v>2025</v>
      </c>
      <c r="D749" t="str">
        <f>IF(tbl_main[[#This Row],[Date]]="","",TEXT(B749,"mmm"))</f>
        <v>Sep</v>
      </c>
      <c r="E749" t="str">
        <f>IF(tbl_main[[#This Row],[Date]]="","",TEXT(B749,"DDD"))</f>
        <v>Wed</v>
      </c>
      <c r="F749" t="s">
        <v>13</v>
      </c>
      <c r="G749" t="s">
        <v>14</v>
      </c>
      <c r="H749" s="3" t="s">
        <v>24</v>
      </c>
      <c r="I749" s="3" t="s">
        <v>23</v>
      </c>
      <c r="J749" s="3" t="s">
        <v>25</v>
      </c>
      <c r="K749" s="3">
        <f>_xlfn.XLOOKUP(tbl_main[[#This Row],[Service]],tbl_service[Service],tbl_service[Price],"")</f>
        <v>80</v>
      </c>
      <c r="L749" s="3">
        <v>2</v>
      </c>
      <c r="M749" s="3">
        <f>IF(AND(tbl_main[[#This Row],[Price]]="",tbl_main[[#This Row],[Qty]]=""),"",tbl_main[[#This Row],[Price]]*tbl_main[[#This Row],[Qty]])</f>
        <v>160</v>
      </c>
      <c r="N749" s="3">
        <f>_xlfn.LET(_xlpm.x,_xlfn.XLOOKUP(tbl_main[[#This Row],[Service]],tbl_service[Service],tbl_service[Profit],""),
               IF(tbl_main[[#This Row],[Qty]]="","",_xlpm.x*tbl_main[[#This Row],[Qty]]))</f>
        <v>72</v>
      </c>
    </row>
    <row r="750" spans="1:14" x14ac:dyDescent="0.25">
      <c r="A750" t="s">
        <v>792</v>
      </c>
      <c r="B750" s="1">
        <v>45904</v>
      </c>
      <c r="C750">
        <f>IF(tbl_main[[#This Row],[Date]]="","",YEAR(B750))</f>
        <v>2025</v>
      </c>
      <c r="D750" t="str">
        <f>IF(tbl_main[[#This Row],[Date]]="","",TEXT(B750,"mmm"))</f>
        <v>Sep</v>
      </c>
      <c r="E750" t="str">
        <f>IF(tbl_main[[#This Row],[Date]]="","",TEXT(B750,"DDD"))</f>
        <v>Thu</v>
      </c>
      <c r="F750" t="s">
        <v>13</v>
      </c>
      <c r="G750" t="s">
        <v>14</v>
      </c>
      <c r="H750" s="3" t="s">
        <v>26</v>
      </c>
      <c r="I750" s="3" t="s">
        <v>37</v>
      </c>
      <c r="J750" s="3" t="s">
        <v>32</v>
      </c>
      <c r="K750" s="3">
        <f>_xlfn.XLOOKUP(tbl_main[[#This Row],[Service]],tbl_service[Service],tbl_service[Price],"")</f>
        <v>200</v>
      </c>
      <c r="L750" s="3">
        <v>1</v>
      </c>
      <c r="M750" s="3">
        <f>IF(AND(tbl_main[[#This Row],[Price]]="",tbl_main[[#This Row],[Qty]]=""),"",tbl_main[[#This Row],[Price]]*tbl_main[[#This Row],[Qty]])</f>
        <v>200</v>
      </c>
      <c r="N750" s="3">
        <f>_xlfn.LET(_xlpm.x,_xlfn.XLOOKUP(tbl_main[[#This Row],[Service]],tbl_service[Service],tbl_service[Profit],""),
               IF(tbl_main[[#This Row],[Qty]]="","",_xlpm.x*tbl_main[[#This Row],[Qty]]))</f>
        <v>90</v>
      </c>
    </row>
    <row r="751" spans="1:14" x14ac:dyDescent="0.25">
      <c r="A751" t="s">
        <v>793</v>
      </c>
      <c r="B751" s="1">
        <v>45904</v>
      </c>
      <c r="C751">
        <f>IF(tbl_main[[#This Row],[Date]]="","",YEAR(B751))</f>
        <v>2025</v>
      </c>
      <c r="D751" t="str">
        <f>IF(tbl_main[[#This Row],[Date]]="","",TEXT(B751,"mmm"))</f>
        <v>Sep</v>
      </c>
      <c r="E751" t="str">
        <f>IF(tbl_main[[#This Row],[Date]]="","",TEXT(B751,"DDD"))</f>
        <v>Thu</v>
      </c>
      <c r="F751" t="s">
        <v>20</v>
      </c>
      <c r="G751" t="s">
        <v>21</v>
      </c>
      <c r="H751" s="3" t="s">
        <v>18</v>
      </c>
      <c r="I751" s="3" t="s">
        <v>38</v>
      </c>
      <c r="J751" s="3" t="s">
        <v>32</v>
      </c>
      <c r="K751" s="3">
        <f>_xlfn.XLOOKUP(tbl_main[[#This Row],[Service]],tbl_service[Service],tbl_service[Price],"")</f>
        <v>500</v>
      </c>
      <c r="L751" s="3">
        <v>2</v>
      </c>
      <c r="M751" s="3">
        <f>IF(AND(tbl_main[[#This Row],[Price]]="",tbl_main[[#This Row],[Qty]]=""),"",tbl_main[[#This Row],[Price]]*tbl_main[[#This Row],[Qty]])</f>
        <v>1000</v>
      </c>
      <c r="N751" s="3">
        <f>_xlfn.LET(_xlpm.x,_xlfn.XLOOKUP(tbl_main[[#This Row],[Service]],tbl_service[Service],tbl_service[Profit],""),
               IF(tbl_main[[#This Row],[Qty]]="","",_xlpm.x*tbl_main[[#This Row],[Qty]]))</f>
        <v>314</v>
      </c>
    </row>
    <row r="752" spans="1:14" x14ac:dyDescent="0.25">
      <c r="A752" t="s">
        <v>794</v>
      </c>
      <c r="B752" s="1">
        <v>45904</v>
      </c>
      <c r="C752">
        <f>IF(tbl_main[[#This Row],[Date]]="","",YEAR(B752))</f>
        <v>2025</v>
      </c>
      <c r="D752" t="str">
        <f>IF(tbl_main[[#This Row],[Date]]="","",TEXT(B752,"mmm"))</f>
        <v>Sep</v>
      </c>
      <c r="E752" t="str">
        <f>IF(tbl_main[[#This Row],[Date]]="","",TEXT(B752,"DDD"))</f>
        <v>Thu</v>
      </c>
      <c r="F752" t="s">
        <v>13</v>
      </c>
      <c r="G752" t="s">
        <v>14</v>
      </c>
      <c r="H752" s="3" t="s">
        <v>34</v>
      </c>
      <c r="I752" s="3" t="s">
        <v>16</v>
      </c>
      <c r="J752" s="3" t="s">
        <v>17</v>
      </c>
      <c r="K752" s="3">
        <f>_xlfn.XLOOKUP(tbl_main[[#This Row],[Service]],tbl_service[Service],tbl_service[Price],"")</f>
        <v>100</v>
      </c>
      <c r="L752" s="3">
        <v>1</v>
      </c>
      <c r="M752" s="3">
        <f>IF(AND(tbl_main[[#This Row],[Price]]="",tbl_main[[#This Row],[Qty]]=""),"",tbl_main[[#This Row],[Price]]*tbl_main[[#This Row],[Qty]])</f>
        <v>100</v>
      </c>
      <c r="N752" s="3">
        <f>_xlfn.LET(_xlpm.x,_xlfn.XLOOKUP(tbl_main[[#This Row],[Service]],tbl_service[Service],tbl_service[Profit],""),
               IF(tbl_main[[#This Row],[Qty]]="","",_xlpm.x*tbl_main[[#This Row],[Qty]]))</f>
        <v>45</v>
      </c>
    </row>
    <row r="753" spans="1:14" x14ac:dyDescent="0.25">
      <c r="A753" t="s">
        <v>795</v>
      </c>
      <c r="B753" s="1">
        <v>45904</v>
      </c>
      <c r="C753">
        <f>IF(tbl_main[[#This Row],[Date]]="","",YEAR(B753))</f>
        <v>2025</v>
      </c>
      <c r="D753" t="str">
        <f>IF(tbl_main[[#This Row],[Date]]="","",TEXT(B753,"mmm"))</f>
        <v>Sep</v>
      </c>
      <c r="E753" t="str">
        <f>IF(tbl_main[[#This Row],[Date]]="","",TEXT(B753,"DDD"))</f>
        <v>Thu</v>
      </c>
      <c r="F753" t="s">
        <v>30</v>
      </c>
      <c r="G753" t="s">
        <v>31</v>
      </c>
      <c r="H753" s="3" t="s">
        <v>18</v>
      </c>
      <c r="I753" s="3" t="s">
        <v>19</v>
      </c>
      <c r="J753" s="3" t="s">
        <v>25</v>
      </c>
      <c r="K753" s="3">
        <f>_xlfn.XLOOKUP(tbl_main[[#This Row],[Service]],tbl_service[Service],tbl_service[Price],"")</f>
        <v>500</v>
      </c>
      <c r="L753" s="3">
        <v>2</v>
      </c>
      <c r="M753" s="3">
        <f>IF(AND(tbl_main[[#This Row],[Price]]="",tbl_main[[#This Row],[Qty]]=""),"",tbl_main[[#This Row],[Price]]*tbl_main[[#This Row],[Qty]])</f>
        <v>1000</v>
      </c>
      <c r="N753" s="3">
        <f>_xlfn.LET(_xlpm.x,_xlfn.XLOOKUP(tbl_main[[#This Row],[Service]],tbl_service[Service],tbl_service[Profit],""),
               IF(tbl_main[[#This Row],[Qty]]="","",_xlpm.x*tbl_main[[#This Row],[Qty]]))</f>
        <v>314</v>
      </c>
    </row>
    <row r="754" spans="1:14" x14ac:dyDescent="0.25">
      <c r="A754" t="s">
        <v>796</v>
      </c>
      <c r="B754" s="1">
        <v>45905</v>
      </c>
      <c r="C754">
        <f>IF(tbl_main[[#This Row],[Date]]="","",YEAR(B754))</f>
        <v>2025</v>
      </c>
      <c r="D754" t="str">
        <f>IF(tbl_main[[#This Row],[Date]]="","",TEXT(B754,"mmm"))</f>
        <v>Sep</v>
      </c>
      <c r="E754" t="str">
        <f>IF(tbl_main[[#This Row],[Date]]="","",TEXT(B754,"DDD"))</f>
        <v>Fri</v>
      </c>
      <c r="F754" t="s">
        <v>30</v>
      </c>
      <c r="G754" t="s">
        <v>36</v>
      </c>
      <c r="H754" s="3" t="s">
        <v>34</v>
      </c>
      <c r="I754" s="3" t="s">
        <v>19</v>
      </c>
      <c r="J754" s="3" t="s">
        <v>25</v>
      </c>
      <c r="K754" s="3">
        <f>_xlfn.XLOOKUP(tbl_main[[#This Row],[Service]],tbl_service[Service],tbl_service[Price],"")</f>
        <v>100</v>
      </c>
      <c r="L754" s="3">
        <v>1</v>
      </c>
      <c r="M754" s="3">
        <f>IF(AND(tbl_main[[#This Row],[Price]]="",tbl_main[[#This Row],[Qty]]=""),"",tbl_main[[#This Row],[Price]]*tbl_main[[#This Row],[Qty]])</f>
        <v>100</v>
      </c>
      <c r="N754" s="3">
        <f>_xlfn.LET(_xlpm.x,_xlfn.XLOOKUP(tbl_main[[#This Row],[Service]],tbl_service[Service],tbl_service[Profit],""),
               IF(tbl_main[[#This Row],[Qty]]="","",_xlpm.x*tbl_main[[#This Row],[Qty]]))</f>
        <v>45</v>
      </c>
    </row>
    <row r="755" spans="1:14" x14ac:dyDescent="0.25">
      <c r="A755" t="s">
        <v>797</v>
      </c>
      <c r="B755" s="1">
        <v>45905</v>
      </c>
      <c r="C755">
        <f>IF(tbl_main[[#This Row],[Date]]="","",YEAR(B755))</f>
        <v>2025</v>
      </c>
      <c r="D755" t="str">
        <f>IF(tbl_main[[#This Row],[Date]]="","",TEXT(B755,"mmm"))</f>
        <v>Sep</v>
      </c>
      <c r="E755" t="str">
        <f>IF(tbl_main[[#This Row],[Date]]="","",TEXT(B755,"DDD"))</f>
        <v>Fri</v>
      </c>
      <c r="F755" t="s">
        <v>20</v>
      </c>
      <c r="G755" t="s">
        <v>29</v>
      </c>
      <c r="H755" s="3" t="s">
        <v>24</v>
      </c>
      <c r="I755" s="3" t="s">
        <v>41</v>
      </c>
      <c r="J755" s="3" t="s">
        <v>25</v>
      </c>
      <c r="K755" s="3">
        <f>_xlfn.XLOOKUP(tbl_main[[#This Row],[Service]],tbl_service[Service],tbl_service[Price],"")</f>
        <v>80</v>
      </c>
      <c r="L755" s="3">
        <v>2</v>
      </c>
      <c r="M755" s="3">
        <f>IF(AND(tbl_main[[#This Row],[Price]]="",tbl_main[[#This Row],[Qty]]=""),"",tbl_main[[#This Row],[Price]]*tbl_main[[#This Row],[Qty]])</f>
        <v>160</v>
      </c>
      <c r="N755" s="3">
        <f>_xlfn.LET(_xlpm.x,_xlfn.XLOOKUP(tbl_main[[#This Row],[Service]],tbl_service[Service],tbl_service[Profit],""),
               IF(tbl_main[[#This Row],[Qty]]="","",_xlpm.x*tbl_main[[#This Row],[Qty]]))</f>
        <v>72</v>
      </c>
    </row>
    <row r="756" spans="1:14" x14ac:dyDescent="0.25">
      <c r="A756" t="s">
        <v>798</v>
      </c>
      <c r="B756" s="1">
        <v>45906</v>
      </c>
      <c r="C756">
        <f>IF(tbl_main[[#This Row],[Date]]="","",YEAR(B756))</f>
        <v>2025</v>
      </c>
      <c r="D756" t="str">
        <f>IF(tbl_main[[#This Row],[Date]]="","",TEXT(B756,"mmm"))</f>
        <v>Sep</v>
      </c>
      <c r="E756" t="str">
        <f>IF(tbl_main[[#This Row],[Date]]="","",TEXT(B756,"DDD"))</f>
        <v>Sat</v>
      </c>
      <c r="F756" t="s">
        <v>27</v>
      </c>
      <c r="G756" t="s">
        <v>40</v>
      </c>
      <c r="H756" s="3" t="s">
        <v>26</v>
      </c>
      <c r="I756" s="3" t="s">
        <v>41</v>
      </c>
      <c r="J756" s="3" t="s">
        <v>17</v>
      </c>
      <c r="K756" s="3">
        <f>_xlfn.XLOOKUP(tbl_main[[#This Row],[Service]],tbl_service[Service],tbl_service[Price],"")</f>
        <v>200</v>
      </c>
      <c r="L756" s="3">
        <v>1</v>
      </c>
      <c r="M756" s="3">
        <f>IF(AND(tbl_main[[#This Row],[Price]]="",tbl_main[[#This Row],[Qty]]=""),"",tbl_main[[#This Row],[Price]]*tbl_main[[#This Row],[Qty]])</f>
        <v>200</v>
      </c>
      <c r="N756" s="3">
        <f>_xlfn.LET(_xlpm.x,_xlfn.XLOOKUP(tbl_main[[#This Row],[Service]],tbl_service[Service],tbl_service[Profit],""),
               IF(tbl_main[[#This Row],[Qty]]="","",_xlpm.x*tbl_main[[#This Row],[Qty]]))</f>
        <v>90</v>
      </c>
    </row>
    <row r="757" spans="1:14" x14ac:dyDescent="0.25">
      <c r="A757" t="s">
        <v>799</v>
      </c>
      <c r="B757" s="1">
        <v>45906</v>
      </c>
      <c r="C757">
        <f>IF(tbl_main[[#This Row],[Date]]="","",YEAR(B757))</f>
        <v>2025</v>
      </c>
      <c r="D757" t="str">
        <f>IF(tbl_main[[#This Row],[Date]]="","",TEXT(B757,"mmm"))</f>
        <v>Sep</v>
      </c>
      <c r="E757" t="str">
        <f>IF(tbl_main[[#This Row],[Date]]="","",TEXT(B757,"DDD"))</f>
        <v>Sat</v>
      </c>
      <c r="F757" t="s">
        <v>30</v>
      </c>
      <c r="G757" t="s">
        <v>36</v>
      </c>
      <c r="H757" s="3" t="s">
        <v>34</v>
      </c>
      <c r="I757" s="3" t="s">
        <v>35</v>
      </c>
      <c r="J757" s="3" t="s">
        <v>25</v>
      </c>
      <c r="K757" s="3">
        <f>_xlfn.XLOOKUP(tbl_main[[#This Row],[Service]],tbl_service[Service],tbl_service[Price],"")</f>
        <v>100</v>
      </c>
      <c r="L757" s="3">
        <v>2</v>
      </c>
      <c r="M757" s="3">
        <f>IF(AND(tbl_main[[#This Row],[Price]]="",tbl_main[[#This Row],[Qty]]=""),"",tbl_main[[#This Row],[Price]]*tbl_main[[#This Row],[Qty]])</f>
        <v>200</v>
      </c>
      <c r="N757" s="3">
        <f>_xlfn.LET(_xlpm.x,_xlfn.XLOOKUP(tbl_main[[#This Row],[Service]],tbl_service[Service],tbl_service[Profit],""),
               IF(tbl_main[[#This Row],[Qty]]="","",_xlpm.x*tbl_main[[#This Row],[Qty]]))</f>
        <v>90</v>
      </c>
    </row>
    <row r="758" spans="1:14" x14ac:dyDescent="0.25">
      <c r="A758" t="s">
        <v>800</v>
      </c>
      <c r="B758" s="1">
        <v>45907</v>
      </c>
      <c r="C758">
        <f>IF(tbl_main[[#This Row],[Date]]="","",YEAR(B758))</f>
        <v>2025</v>
      </c>
      <c r="D758" t="str">
        <f>IF(tbl_main[[#This Row],[Date]]="","",TEXT(B758,"mmm"))</f>
        <v>Sep</v>
      </c>
      <c r="E758" t="str">
        <f>IF(tbl_main[[#This Row],[Date]]="","",TEXT(B758,"DDD"))</f>
        <v>Sun</v>
      </c>
      <c r="F758" t="s">
        <v>13</v>
      </c>
      <c r="G758" t="s">
        <v>33</v>
      </c>
      <c r="H758" s="3" t="s">
        <v>15</v>
      </c>
      <c r="I758" s="3" t="s">
        <v>35</v>
      </c>
      <c r="J758" s="3" t="s">
        <v>17</v>
      </c>
      <c r="K758" s="3">
        <f>_xlfn.XLOOKUP(tbl_main[[#This Row],[Service]],tbl_service[Service],tbl_service[Price],"")</f>
        <v>500</v>
      </c>
      <c r="L758" s="3">
        <v>2</v>
      </c>
      <c r="M758" s="3">
        <f>IF(AND(tbl_main[[#This Row],[Price]]="",tbl_main[[#This Row],[Qty]]=""),"",tbl_main[[#This Row],[Price]]*tbl_main[[#This Row],[Qty]])</f>
        <v>1000</v>
      </c>
      <c r="N758" s="3">
        <f>_xlfn.LET(_xlpm.x,_xlfn.XLOOKUP(tbl_main[[#This Row],[Service]],tbl_service[Service],tbl_service[Profit],""),
               IF(tbl_main[[#This Row],[Qty]]="","",_xlpm.x*tbl_main[[#This Row],[Qty]]))</f>
        <v>450</v>
      </c>
    </row>
    <row r="759" spans="1:14" x14ac:dyDescent="0.25">
      <c r="A759" t="s">
        <v>801</v>
      </c>
      <c r="B759" s="1">
        <v>45907</v>
      </c>
      <c r="C759">
        <f>IF(tbl_main[[#This Row],[Date]]="","",YEAR(B759))</f>
        <v>2025</v>
      </c>
      <c r="D759" t="str">
        <f>IF(tbl_main[[#This Row],[Date]]="","",TEXT(B759,"mmm"))</f>
        <v>Sep</v>
      </c>
      <c r="E759" t="str">
        <f>IF(tbl_main[[#This Row],[Date]]="","",TEXT(B759,"DDD"))</f>
        <v>Sun</v>
      </c>
      <c r="F759" t="s">
        <v>30</v>
      </c>
      <c r="G759" t="s">
        <v>36</v>
      </c>
      <c r="H759" s="3" t="s">
        <v>24</v>
      </c>
      <c r="I759" s="3" t="s">
        <v>23</v>
      </c>
      <c r="J759" s="3" t="s">
        <v>25</v>
      </c>
      <c r="K759" s="3">
        <f>_xlfn.XLOOKUP(tbl_main[[#This Row],[Service]],tbl_service[Service],tbl_service[Price],"")</f>
        <v>80</v>
      </c>
      <c r="L759" s="3">
        <v>1</v>
      </c>
      <c r="M759" s="3">
        <f>IF(AND(tbl_main[[#This Row],[Price]]="",tbl_main[[#This Row],[Qty]]=""),"",tbl_main[[#This Row],[Price]]*tbl_main[[#This Row],[Qty]])</f>
        <v>80</v>
      </c>
      <c r="N759" s="3">
        <f>_xlfn.LET(_xlpm.x,_xlfn.XLOOKUP(tbl_main[[#This Row],[Service]],tbl_service[Service],tbl_service[Profit],""),
               IF(tbl_main[[#This Row],[Qty]]="","",_xlpm.x*tbl_main[[#This Row],[Qty]]))</f>
        <v>36</v>
      </c>
    </row>
    <row r="760" spans="1:14" x14ac:dyDescent="0.25">
      <c r="A760" t="s">
        <v>802</v>
      </c>
      <c r="B760" s="1">
        <v>45908</v>
      </c>
      <c r="C760">
        <f>IF(tbl_main[[#This Row],[Date]]="","",YEAR(B760))</f>
        <v>2025</v>
      </c>
      <c r="D760" t="str">
        <f>IF(tbl_main[[#This Row],[Date]]="","",TEXT(B760,"mmm"))</f>
        <v>Sep</v>
      </c>
      <c r="E760" t="str">
        <f>IF(tbl_main[[#This Row],[Date]]="","",TEXT(B760,"DDD"))</f>
        <v>Mon</v>
      </c>
      <c r="F760" t="s">
        <v>30</v>
      </c>
      <c r="G760" t="s">
        <v>36</v>
      </c>
      <c r="H760" s="3" t="s">
        <v>18</v>
      </c>
      <c r="I760" s="3" t="s">
        <v>37</v>
      </c>
      <c r="J760" s="3" t="s">
        <v>17</v>
      </c>
      <c r="K760" s="3">
        <f>_xlfn.XLOOKUP(tbl_main[[#This Row],[Service]],tbl_service[Service],tbl_service[Price],"")</f>
        <v>500</v>
      </c>
      <c r="L760" s="3">
        <v>2</v>
      </c>
      <c r="M760" s="3">
        <f>IF(AND(tbl_main[[#This Row],[Price]]="",tbl_main[[#This Row],[Qty]]=""),"",tbl_main[[#This Row],[Price]]*tbl_main[[#This Row],[Qty]])</f>
        <v>1000</v>
      </c>
      <c r="N760" s="3">
        <f>_xlfn.LET(_xlpm.x,_xlfn.XLOOKUP(tbl_main[[#This Row],[Service]],tbl_service[Service],tbl_service[Profit],""),
               IF(tbl_main[[#This Row],[Qty]]="","",_xlpm.x*tbl_main[[#This Row],[Qty]]))</f>
        <v>314</v>
      </c>
    </row>
    <row r="761" spans="1:14" x14ac:dyDescent="0.25">
      <c r="A761" t="s">
        <v>803</v>
      </c>
      <c r="B761" s="1">
        <v>45908</v>
      </c>
      <c r="C761">
        <f>IF(tbl_main[[#This Row],[Date]]="","",YEAR(B761))</f>
        <v>2025</v>
      </c>
      <c r="D761" t="str">
        <f>IF(tbl_main[[#This Row],[Date]]="","",TEXT(B761,"mmm"))</f>
        <v>Sep</v>
      </c>
      <c r="E761" t="str">
        <f>IF(tbl_main[[#This Row],[Date]]="","",TEXT(B761,"DDD"))</f>
        <v>Mon</v>
      </c>
      <c r="F761" t="s">
        <v>27</v>
      </c>
      <c r="G761" t="s">
        <v>40</v>
      </c>
      <c r="H761" s="3" t="s">
        <v>22</v>
      </c>
      <c r="I761" s="3" t="s">
        <v>38</v>
      </c>
      <c r="J761" s="3" t="s">
        <v>17</v>
      </c>
      <c r="K761" s="3">
        <f>_xlfn.XLOOKUP(tbl_main[[#This Row],[Service]],tbl_service[Service],tbl_service[Price],"")</f>
        <v>150</v>
      </c>
      <c r="L761" s="3">
        <v>2</v>
      </c>
      <c r="M761" s="3">
        <f>IF(AND(tbl_main[[#This Row],[Price]]="",tbl_main[[#This Row],[Qty]]=""),"",tbl_main[[#This Row],[Price]]*tbl_main[[#This Row],[Qty]])</f>
        <v>300</v>
      </c>
      <c r="N761" s="3">
        <f>_xlfn.LET(_xlpm.x,_xlfn.XLOOKUP(tbl_main[[#This Row],[Service]],tbl_service[Service],tbl_service[Profit],""),
               IF(tbl_main[[#This Row],[Qty]]="","",_xlpm.x*tbl_main[[#This Row],[Qty]]))</f>
        <v>134</v>
      </c>
    </row>
    <row r="762" spans="1:14" x14ac:dyDescent="0.25">
      <c r="A762" t="s">
        <v>804</v>
      </c>
      <c r="B762" s="1">
        <v>45908</v>
      </c>
      <c r="C762">
        <f>IF(tbl_main[[#This Row],[Date]]="","",YEAR(B762))</f>
        <v>2025</v>
      </c>
      <c r="D762" t="str">
        <f>IF(tbl_main[[#This Row],[Date]]="","",TEXT(B762,"mmm"))</f>
        <v>Sep</v>
      </c>
      <c r="E762" t="str">
        <f>IF(tbl_main[[#This Row],[Date]]="","",TEXT(B762,"DDD"))</f>
        <v>Mon</v>
      </c>
      <c r="F762" t="s">
        <v>30</v>
      </c>
      <c r="G762" t="s">
        <v>36</v>
      </c>
      <c r="H762" s="3" t="s">
        <v>18</v>
      </c>
      <c r="I762" s="3" t="s">
        <v>16</v>
      </c>
      <c r="J762" s="3" t="s">
        <v>25</v>
      </c>
      <c r="K762" s="3">
        <f>_xlfn.XLOOKUP(tbl_main[[#This Row],[Service]],tbl_service[Service],tbl_service[Price],"")</f>
        <v>500</v>
      </c>
      <c r="L762" s="3">
        <v>1</v>
      </c>
      <c r="M762" s="3">
        <f>IF(AND(tbl_main[[#This Row],[Price]]="",tbl_main[[#This Row],[Qty]]=""),"",tbl_main[[#This Row],[Price]]*tbl_main[[#This Row],[Qty]])</f>
        <v>500</v>
      </c>
      <c r="N762" s="3">
        <f>_xlfn.LET(_xlpm.x,_xlfn.XLOOKUP(tbl_main[[#This Row],[Service]],tbl_service[Service],tbl_service[Profit],""),
               IF(tbl_main[[#This Row],[Qty]]="","",_xlpm.x*tbl_main[[#This Row],[Qty]]))</f>
        <v>157</v>
      </c>
    </row>
    <row r="763" spans="1:14" x14ac:dyDescent="0.25">
      <c r="A763" t="s">
        <v>805</v>
      </c>
      <c r="B763" s="1">
        <v>45909</v>
      </c>
      <c r="C763">
        <f>IF(tbl_main[[#This Row],[Date]]="","",YEAR(B763))</f>
        <v>2025</v>
      </c>
      <c r="D763" t="str">
        <f>IF(tbl_main[[#This Row],[Date]]="","",TEXT(B763,"mmm"))</f>
        <v>Sep</v>
      </c>
      <c r="E763" t="str">
        <f>IF(tbl_main[[#This Row],[Date]]="","",TEXT(B763,"DDD"))</f>
        <v>Tue</v>
      </c>
      <c r="F763" t="s">
        <v>27</v>
      </c>
      <c r="G763" t="s">
        <v>28</v>
      </c>
      <c r="H763" s="3" t="s">
        <v>24</v>
      </c>
      <c r="I763" s="3" t="s">
        <v>19</v>
      </c>
      <c r="J763" s="3" t="s">
        <v>25</v>
      </c>
      <c r="K763" s="3">
        <f>_xlfn.XLOOKUP(tbl_main[[#This Row],[Service]],tbl_service[Service],tbl_service[Price],"")</f>
        <v>80</v>
      </c>
      <c r="L763" s="3">
        <v>2</v>
      </c>
      <c r="M763" s="3">
        <f>IF(AND(tbl_main[[#This Row],[Price]]="",tbl_main[[#This Row],[Qty]]=""),"",tbl_main[[#This Row],[Price]]*tbl_main[[#This Row],[Qty]])</f>
        <v>160</v>
      </c>
      <c r="N763" s="3">
        <f>_xlfn.LET(_xlpm.x,_xlfn.XLOOKUP(tbl_main[[#This Row],[Service]],tbl_service[Service],tbl_service[Profit],""),
               IF(tbl_main[[#This Row],[Qty]]="","",_xlpm.x*tbl_main[[#This Row],[Qty]]))</f>
        <v>72</v>
      </c>
    </row>
    <row r="764" spans="1:14" x14ac:dyDescent="0.25">
      <c r="A764" t="s">
        <v>806</v>
      </c>
      <c r="B764" s="1">
        <v>45909</v>
      </c>
      <c r="C764">
        <f>IF(tbl_main[[#This Row],[Date]]="","",YEAR(B764))</f>
        <v>2025</v>
      </c>
      <c r="D764" t="str">
        <f>IF(tbl_main[[#This Row],[Date]]="","",TEXT(B764,"mmm"))</f>
        <v>Sep</v>
      </c>
      <c r="E764" t="str">
        <f>IF(tbl_main[[#This Row],[Date]]="","",TEXT(B764,"DDD"))</f>
        <v>Tue</v>
      </c>
      <c r="F764" t="s">
        <v>30</v>
      </c>
      <c r="G764" t="s">
        <v>31</v>
      </c>
      <c r="H764" s="3" t="s">
        <v>24</v>
      </c>
      <c r="I764" s="3" t="s">
        <v>19</v>
      </c>
      <c r="J764" s="3" t="s">
        <v>17</v>
      </c>
      <c r="K764" s="3">
        <f>_xlfn.XLOOKUP(tbl_main[[#This Row],[Service]],tbl_service[Service],tbl_service[Price],"")</f>
        <v>80</v>
      </c>
      <c r="L764" s="3">
        <v>1</v>
      </c>
      <c r="M764" s="3">
        <f>IF(AND(tbl_main[[#This Row],[Price]]="",tbl_main[[#This Row],[Qty]]=""),"",tbl_main[[#This Row],[Price]]*tbl_main[[#This Row],[Qty]])</f>
        <v>80</v>
      </c>
      <c r="N764" s="3">
        <f>_xlfn.LET(_xlpm.x,_xlfn.XLOOKUP(tbl_main[[#This Row],[Service]],tbl_service[Service],tbl_service[Profit],""),
               IF(tbl_main[[#This Row],[Qty]]="","",_xlpm.x*tbl_main[[#This Row],[Qty]]))</f>
        <v>36</v>
      </c>
    </row>
    <row r="765" spans="1:14" x14ac:dyDescent="0.25">
      <c r="A765" t="s">
        <v>807</v>
      </c>
      <c r="B765" s="1">
        <v>45910</v>
      </c>
      <c r="C765">
        <f>IF(tbl_main[[#This Row],[Date]]="","",YEAR(B765))</f>
        <v>2025</v>
      </c>
      <c r="D765" t="str">
        <f>IF(tbl_main[[#This Row],[Date]]="","",TEXT(B765,"mmm"))</f>
        <v>Sep</v>
      </c>
      <c r="E765" t="str">
        <f>IF(tbl_main[[#This Row],[Date]]="","",TEXT(B765,"DDD"))</f>
        <v>Wed</v>
      </c>
      <c r="F765" t="s">
        <v>13</v>
      </c>
      <c r="G765" t="s">
        <v>33</v>
      </c>
      <c r="H765" s="3" t="s">
        <v>18</v>
      </c>
      <c r="I765" s="3" t="s">
        <v>41</v>
      </c>
      <c r="J765" s="3" t="s">
        <v>32</v>
      </c>
      <c r="K765" s="3">
        <f>_xlfn.XLOOKUP(tbl_main[[#This Row],[Service]],tbl_service[Service],tbl_service[Price],"")</f>
        <v>500</v>
      </c>
      <c r="L765" s="3">
        <v>1</v>
      </c>
      <c r="M765" s="3">
        <f>IF(AND(tbl_main[[#This Row],[Price]]="",tbl_main[[#This Row],[Qty]]=""),"",tbl_main[[#This Row],[Price]]*tbl_main[[#This Row],[Qty]])</f>
        <v>500</v>
      </c>
      <c r="N765" s="3">
        <f>_xlfn.LET(_xlpm.x,_xlfn.XLOOKUP(tbl_main[[#This Row],[Service]],tbl_service[Service],tbl_service[Profit],""),
               IF(tbl_main[[#This Row],[Qty]]="","",_xlpm.x*tbl_main[[#This Row],[Qty]]))</f>
        <v>157</v>
      </c>
    </row>
    <row r="766" spans="1:14" x14ac:dyDescent="0.25">
      <c r="A766" t="s">
        <v>808</v>
      </c>
      <c r="B766" s="1">
        <v>45910</v>
      </c>
      <c r="C766">
        <f>IF(tbl_main[[#This Row],[Date]]="","",YEAR(B766))</f>
        <v>2025</v>
      </c>
      <c r="D766" t="str">
        <f>IF(tbl_main[[#This Row],[Date]]="","",TEXT(B766,"mmm"))</f>
        <v>Sep</v>
      </c>
      <c r="E766" t="str">
        <f>IF(tbl_main[[#This Row],[Date]]="","",TEXT(B766,"DDD"))</f>
        <v>Wed</v>
      </c>
      <c r="F766" t="s">
        <v>13</v>
      </c>
      <c r="G766" t="s">
        <v>14</v>
      </c>
      <c r="H766" s="3" t="s">
        <v>34</v>
      </c>
      <c r="I766" s="3" t="s">
        <v>41</v>
      </c>
      <c r="J766" s="3" t="s">
        <v>32</v>
      </c>
      <c r="K766" s="3">
        <f>_xlfn.XLOOKUP(tbl_main[[#This Row],[Service]],tbl_service[Service],tbl_service[Price],"")</f>
        <v>100</v>
      </c>
      <c r="L766" s="3">
        <v>1</v>
      </c>
      <c r="M766" s="3">
        <f>IF(AND(tbl_main[[#This Row],[Price]]="",tbl_main[[#This Row],[Qty]]=""),"",tbl_main[[#This Row],[Price]]*tbl_main[[#This Row],[Qty]])</f>
        <v>100</v>
      </c>
      <c r="N766" s="3">
        <f>_xlfn.LET(_xlpm.x,_xlfn.XLOOKUP(tbl_main[[#This Row],[Service]],tbl_service[Service],tbl_service[Profit],""),
               IF(tbl_main[[#This Row],[Qty]]="","",_xlpm.x*tbl_main[[#This Row],[Qty]]))</f>
        <v>45</v>
      </c>
    </row>
    <row r="767" spans="1:14" x14ac:dyDescent="0.25">
      <c r="A767" t="s">
        <v>809</v>
      </c>
      <c r="B767" s="1">
        <v>45910</v>
      </c>
      <c r="C767">
        <f>IF(tbl_main[[#This Row],[Date]]="","",YEAR(B767))</f>
        <v>2025</v>
      </c>
      <c r="D767" t="str">
        <f>IF(tbl_main[[#This Row],[Date]]="","",TEXT(B767,"mmm"))</f>
        <v>Sep</v>
      </c>
      <c r="E767" t="str">
        <f>IF(tbl_main[[#This Row],[Date]]="","",TEXT(B767,"DDD"))</f>
        <v>Wed</v>
      </c>
      <c r="F767" t="s">
        <v>13</v>
      </c>
      <c r="G767" t="s">
        <v>33</v>
      </c>
      <c r="H767" s="3" t="s">
        <v>15</v>
      </c>
      <c r="I767" s="3" t="s">
        <v>35</v>
      </c>
      <c r="J767" s="3" t="s">
        <v>32</v>
      </c>
      <c r="K767" s="3">
        <f>_xlfn.XLOOKUP(tbl_main[[#This Row],[Service]],tbl_service[Service],tbl_service[Price],"")</f>
        <v>500</v>
      </c>
      <c r="L767" s="3">
        <v>1</v>
      </c>
      <c r="M767" s="3">
        <f>IF(AND(tbl_main[[#This Row],[Price]]="",tbl_main[[#This Row],[Qty]]=""),"",tbl_main[[#This Row],[Price]]*tbl_main[[#This Row],[Qty]])</f>
        <v>500</v>
      </c>
      <c r="N767" s="3">
        <f>_xlfn.LET(_xlpm.x,_xlfn.XLOOKUP(tbl_main[[#This Row],[Service]],tbl_service[Service],tbl_service[Profit],""),
               IF(tbl_main[[#This Row],[Qty]]="","",_xlpm.x*tbl_main[[#This Row],[Qty]]))</f>
        <v>225</v>
      </c>
    </row>
    <row r="768" spans="1:14" x14ac:dyDescent="0.25">
      <c r="A768" t="s">
        <v>810</v>
      </c>
      <c r="B768" s="1">
        <v>45910</v>
      </c>
      <c r="C768">
        <f>IF(tbl_main[[#This Row],[Date]]="","",YEAR(B768))</f>
        <v>2025</v>
      </c>
      <c r="D768" t="str">
        <f>IF(tbl_main[[#This Row],[Date]]="","",TEXT(B768,"mmm"))</f>
        <v>Sep</v>
      </c>
      <c r="E768" t="str">
        <f>IF(tbl_main[[#This Row],[Date]]="","",TEXT(B768,"DDD"))</f>
        <v>Wed</v>
      </c>
      <c r="F768" t="s">
        <v>30</v>
      </c>
      <c r="G768" t="s">
        <v>36</v>
      </c>
      <c r="H768" s="3" t="s">
        <v>18</v>
      </c>
      <c r="I768" s="3" t="s">
        <v>35</v>
      </c>
      <c r="J768" s="3" t="s">
        <v>25</v>
      </c>
      <c r="K768" s="3">
        <f>_xlfn.XLOOKUP(tbl_main[[#This Row],[Service]],tbl_service[Service],tbl_service[Price],"")</f>
        <v>500</v>
      </c>
      <c r="L768" s="3">
        <v>2</v>
      </c>
      <c r="M768" s="3">
        <f>IF(AND(tbl_main[[#This Row],[Price]]="",tbl_main[[#This Row],[Qty]]=""),"",tbl_main[[#This Row],[Price]]*tbl_main[[#This Row],[Qty]])</f>
        <v>1000</v>
      </c>
      <c r="N768" s="3">
        <f>_xlfn.LET(_xlpm.x,_xlfn.XLOOKUP(tbl_main[[#This Row],[Service]],tbl_service[Service],tbl_service[Profit],""),
               IF(tbl_main[[#This Row],[Qty]]="","",_xlpm.x*tbl_main[[#This Row],[Qty]]))</f>
        <v>314</v>
      </c>
    </row>
    <row r="769" spans="1:14" x14ac:dyDescent="0.25">
      <c r="A769" t="s">
        <v>811</v>
      </c>
      <c r="B769" s="1">
        <v>45911</v>
      </c>
      <c r="C769">
        <f>IF(tbl_main[[#This Row],[Date]]="","",YEAR(B769))</f>
        <v>2025</v>
      </c>
      <c r="D769" t="str">
        <f>IF(tbl_main[[#This Row],[Date]]="","",TEXT(B769,"mmm"))</f>
        <v>Sep</v>
      </c>
      <c r="E769" t="str">
        <f>IF(tbl_main[[#This Row],[Date]]="","",TEXT(B769,"DDD"))</f>
        <v>Thu</v>
      </c>
      <c r="F769" t="s">
        <v>27</v>
      </c>
      <c r="G769" t="s">
        <v>40</v>
      </c>
      <c r="H769" s="3" t="s">
        <v>18</v>
      </c>
      <c r="I769" s="3" t="s">
        <v>23</v>
      </c>
      <c r="J769" s="3" t="s">
        <v>32</v>
      </c>
      <c r="K769" s="3">
        <f>_xlfn.XLOOKUP(tbl_main[[#This Row],[Service]],tbl_service[Service],tbl_service[Price],"")</f>
        <v>500</v>
      </c>
      <c r="L769" s="3">
        <v>1</v>
      </c>
      <c r="M769" s="3">
        <f>IF(AND(tbl_main[[#This Row],[Price]]="",tbl_main[[#This Row],[Qty]]=""),"",tbl_main[[#This Row],[Price]]*tbl_main[[#This Row],[Qty]])</f>
        <v>500</v>
      </c>
      <c r="N769" s="3">
        <f>_xlfn.LET(_xlpm.x,_xlfn.XLOOKUP(tbl_main[[#This Row],[Service]],tbl_service[Service],tbl_service[Profit],""),
               IF(tbl_main[[#This Row],[Qty]]="","",_xlpm.x*tbl_main[[#This Row],[Qty]]))</f>
        <v>157</v>
      </c>
    </row>
    <row r="770" spans="1:14" x14ac:dyDescent="0.25">
      <c r="A770" t="s">
        <v>812</v>
      </c>
      <c r="B770" s="1">
        <v>45911</v>
      </c>
      <c r="C770">
        <f>IF(tbl_main[[#This Row],[Date]]="","",YEAR(B770))</f>
        <v>2025</v>
      </c>
      <c r="D770" t="str">
        <f>IF(tbl_main[[#This Row],[Date]]="","",TEXT(B770,"mmm"))</f>
        <v>Sep</v>
      </c>
      <c r="E770" t="str">
        <f>IF(tbl_main[[#This Row],[Date]]="","",TEXT(B770,"DDD"))</f>
        <v>Thu</v>
      </c>
      <c r="F770" t="s">
        <v>27</v>
      </c>
      <c r="G770" t="s">
        <v>28</v>
      </c>
      <c r="H770" s="3" t="s">
        <v>18</v>
      </c>
      <c r="I770" s="3" t="s">
        <v>37</v>
      </c>
      <c r="J770" s="3" t="s">
        <v>32</v>
      </c>
      <c r="K770" s="3">
        <f>_xlfn.XLOOKUP(tbl_main[[#This Row],[Service]],tbl_service[Service],tbl_service[Price],"")</f>
        <v>500</v>
      </c>
      <c r="L770" s="3">
        <v>1</v>
      </c>
      <c r="M770" s="3">
        <f>IF(AND(tbl_main[[#This Row],[Price]]="",tbl_main[[#This Row],[Qty]]=""),"",tbl_main[[#This Row],[Price]]*tbl_main[[#This Row],[Qty]])</f>
        <v>500</v>
      </c>
      <c r="N770" s="3">
        <f>_xlfn.LET(_xlpm.x,_xlfn.XLOOKUP(tbl_main[[#This Row],[Service]],tbl_service[Service],tbl_service[Profit],""),
               IF(tbl_main[[#This Row],[Qty]]="","",_xlpm.x*tbl_main[[#This Row],[Qty]]))</f>
        <v>157</v>
      </c>
    </row>
    <row r="771" spans="1:14" x14ac:dyDescent="0.25">
      <c r="A771" t="s">
        <v>813</v>
      </c>
      <c r="B771" s="1">
        <v>45911</v>
      </c>
      <c r="C771">
        <f>IF(tbl_main[[#This Row],[Date]]="","",YEAR(B771))</f>
        <v>2025</v>
      </c>
      <c r="D771" t="str">
        <f>IF(tbl_main[[#This Row],[Date]]="","",TEXT(B771,"mmm"))</f>
        <v>Sep</v>
      </c>
      <c r="E771" t="str">
        <f>IF(tbl_main[[#This Row],[Date]]="","",TEXT(B771,"DDD"))</f>
        <v>Thu</v>
      </c>
      <c r="F771" t="s">
        <v>27</v>
      </c>
      <c r="G771" t="s">
        <v>28</v>
      </c>
      <c r="H771" s="3" t="s">
        <v>18</v>
      </c>
      <c r="I771" s="3" t="s">
        <v>38</v>
      </c>
      <c r="J771" s="3" t="s">
        <v>17</v>
      </c>
      <c r="K771" s="3">
        <f>_xlfn.XLOOKUP(tbl_main[[#This Row],[Service]],tbl_service[Service],tbl_service[Price],"")</f>
        <v>500</v>
      </c>
      <c r="L771" s="3">
        <v>1</v>
      </c>
      <c r="M771" s="3">
        <f>IF(AND(tbl_main[[#This Row],[Price]]="",tbl_main[[#This Row],[Qty]]=""),"",tbl_main[[#This Row],[Price]]*tbl_main[[#This Row],[Qty]])</f>
        <v>500</v>
      </c>
      <c r="N771" s="3">
        <f>_xlfn.LET(_xlpm.x,_xlfn.XLOOKUP(tbl_main[[#This Row],[Service]],tbl_service[Service],tbl_service[Profit],""),
               IF(tbl_main[[#This Row],[Qty]]="","",_xlpm.x*tbl_main[[#This Row],[Qty]]))</f>
        <v>157</v>
      </c>
    </row>
    <row r="772" spans="1:14" x14ac:dyDescent="0.25">
      <c r="A772" t="s">
        <v>814</v>
      </c>
      <c r="B772" s="1">
        <v>45911</v>
      </c>
      <c r="C772">
        <f>IF(tbl_main[[#This Row],[Date]]="","",YEAR(B772))</f>
        <v>2025</v>
      </c>
      <c r="D772" t="str">
        <f>IF(tbl_main[[#This Row],[Date]]="","",TEXT(B772,"mmm"))</f>
        <v>Sep</v>
      </c>
      <c r="E772" t="str">
        <f>IF(tbl_main[[#This Row],[Date]]="","",TEXT(B772,"DDD"))</f>
        <v>Thu</v>
      </c>
      <c r="F772" t="s">
        <v>20</v>
      </c>
      <c r="G772" t="s">
        <v>21</v>
      </c>
      <c r="H772" s="3" t="s">
        <v>26</v>
      </c>
      <c r="I772" s="3" t="s">
        <v>16</v>
      </c>
      <c r="J772" s="3" t="s">
        <v>25</v>
      </c>
      <c r="K772" s="3">
        <f>_xlfn.XLOOKUP(tbl_main[[#This Row],[Service]],tbl_service[Service],tbl_service[Price],"")</f>
        <v>200</v>
      </c>
      <c r="L772" s="3">
        <v>1</v>
      </c>
      <c r="M772" s="3">
        <f>IF(AND(tbl_main[[#This Row],[Price]]="",tbl_main[[#This Row],[Qty]]=""),"",tbl_main[[#This Row],[Price]]*tbl_main[[#This Row],[Qty]])</f>
        <v>200</v>
      </c>
      <c r="N772" s="3">
        <f>_xlfn.LET(_xlpm.x,_xlfn.XLOOKUP(tbl_main[[#This Row],[Service]],tbl_service[Service],tbl_service[Profit],""),
               IF(tbl_main[[#This Row],[Qty]]="","",_xlpm.x*tbl_main[[#This Row],[Qty]]))</f>
        <v>90</v>
      </c>
    </row>
    <row r="773" spans="1:14" x14ac:dyDescent="0.25">
      <c r="A773" t="s">
        <v>815</v>
      </c>
      <c r="B773" s="1">
        <v>45912</v>
      </c>
      <c r="C773">
        <f>IF(tbl_main[[#This Row],[Date]]="","",YEAR(B773))</f>
        <v>2025</v>
      </c>
      <c r="D773" t="str">
        <f>IF(tbl_main[[#This Row],[Date]]="","",TEXT(B773,"mmm"))</f>
        <v>Sep</v>
      </c>
      <c r="E773" t="str">
        <f>IF(tbl_main[[#This Row],[Date]]="","",TEXT(B773,"DDD"))</f>
        <v>Fri</v>
      </c>
      <c r="F773" t="s">
        <v>30</v>
      </c>
      <c r="G773" t="s">
        <v>31</v>
      </c>
      <c r="H773" s="3" t="s">
        <v>26</v>
      </c>
      <c r="I773" s="3" t="s">
        <v>19</v>
      </c>
      <c r="J773" s="3" t="s">
        <v>17</v>
      </c>
      <c r="K773" s="3">
        <f>_xlfn.XLOOKUP(tbl_main[[#This Row],[Service]],tbl_service[Service],tbl_service[Price],"")</f>
        <v>200</v>
      </c>
      <c r="L773" s="3">
        <v>2</v>
      </c>
      <c r="M773" s="3">
        <f>IF(AND(tbl_main[[#This Row],[Price]]="",tbl_main[[#This Row],[Qty]]=""),"",tbl_main[[#This Row],[Price]]*tbl_main[[#This Row],[Qty]])</f>
        <v>400</v>
      </c>
      <c r="N773" s="3">
        <f>_xlfn.LET(_xlpm.x,_xlfn.XLOOKUP(tbl_main[[#This Row],[Service]],tbl_service[Service],tbl_service[Profit],""),
               IF(tbl_main[[#This Row],[Qty]]="","",_xlpm.x*tbl_main[[#This Row],[Qty]]))</f>
        <v>180</v>
      </c>
    </row>
    <row r="774" spans="1:14" x14ac:dyDescent="0.25">
      <c r="A774" t="s">
        <v>816</v>
      </c>
      <c r="B774" s="1">
        <v>45912</v>
      </c>
      <c r="C774">
        <f>IF(tbl_main[[#This Row],[Date]]="","",YEAR(B774))</f>
        <v>2025</v>
      </c>
      <c r="D774" t="str">
        <f>IF(tbl_main[[#This Row],[Date]]="","",TEXT(B774,"mmm"))</f>
        <v>Sep</v>
      </c>
      <c r="E774" t="str">
        <f>IF(tbl_main[[#This Row],[Date]]="","",TEXT(B774,"DDD"))</f>
        <v>Fri</v>
      </c>
      <c r="F774" t="s">
        <v>30</v>
      </c>
      <c r="G774" t="s">
        <v>31</v>
      </c>
      <c r="H774" s="3" t="s">
        <v>15</v>
      </c>
      <c r="I774" s="3" t="s">
        <v>19</v>
      </c>
      <c r="J774" s="3" t="s">
        <v>17</v>
      </c>
      <c r="K774" s="3">
        <f>_xlfn.XLOOKUP(tbl_main[[#This Row],[Service]],tbl_service[Service],tbl_service[Price],"")</f>
        <v>500</v>
      </c>
      <c r="L774" s="3">
        <v>1</v>
      </c>
      <c r="M774" s="3">
        <f>IF(AND(tbl_main[[#This Row],[Price]]="",tbl_main[[#This Row],[Qty]]=""),"",tbl_main[[#This Row],[Price]]*tbl_main[[#This Row],[Qty]])</f>
        <v>500</v>
      </c>
      <c r="N774" s="3">
        <f>_xlfn.LET(_xlpm.x,_xlfn.XLOOKUP(tbl_main[[#This Row],[Service]],tbl_service[Service],tbl_service[Profit],""),
               IF(tbl_main[[#This Row],[Qty]]="","",_xlpm.x*tbl_main[[#This Row],[Qty]]))</f>
        <v>225</v>
      </c>
    </row>
    <row r="775" spans="1:14" x14ac:dyDescent="0.25">
      <c r="A775" t="s">
        <v>817</v>
      </c>
      <c r="B775" s="1">
        <v>45913</v>
      </c>
      <c r="C775">
        <f>IF(tbl_main[[#This Row],[Date]]="","",YEAR(B775))</f>
        <v>2025</v>
      </c>
      <c r="D775" t="str">
        <f>IF(tbl_main[[#This Row],[Date]]="","",TEXT(B775,"mmm"))</f>
        <v>Sep</v>
      </c>
      <c r="E775" t="str">
        <f>IF(tbl_main[[#This Row],[Date]]="","",TEXT(B775,"DDD"))</f>
        <v>Sat</v>
      </c>
      <c r="F775" t="s">
        <v>20</v>
      </c>
      <c r="G775" t="s">
        <v>21</v>
      </c>
      <c r="H775" s="3" t="s">
        <v>24</v>
      </c>
      <c r="I775" s="3" t="s">
        <v>41</v>
      </c>
      <c r="J775" s="3" t="s">
        <v>17</v>
      </c>
      <c r="K775" s="3">
        <f>_xlfn.XLOOKUP(tbl_main[[#This Row],[Service]],tbl_service[Service],tbl_service[Price],"")</f>
        <v>80</v>
      </c>
      <c r="L775" s="3">
        <v>2</v>
      </c>
      <c r="M775" s="3">
        <f>IF(AND(tbl_main[[#This Row],[Price]]="",tbl_main[[#This Row],[Qty]]=""),"",tbl_main[[#This Row],[Price]]*tbl_main[[#This Row],[Qty]])</f>
        <v>160</v>
      </c>
      <c r="N775" s="3">
        <f>_xlfn.LET(_xlpm.x,_xlfn.XLOOKUP(tbl_main[[#This Row],[Service]],tbl_service[Service],tbl_service[Profit],""),
               IF(tbl_main[[#This Row],[Qty]]="","",_xlpm.x*tbl_main[[#This Row],[Qty]]))</f>
        <v>72</v>
      </c>
    </row>
    <row r="776" spans="1:14" x14ac:dyDescent="0.25">
      <c r="A776" t="s">
        <v>818</v>
      </c>
      <c r="B776" s="1">
        <v>45913</v>
      </c>
      <c r="C776">
        <f>IF(tbl_main[[#This Row],[Date]]="","",YEAR(B776))</f>
        <v>2025</v>
      </c>
      <c r="D776" t="str">
        <f>IF(tbl_main[[#This Row],[Date]]="","",TEXT(B776,"mmm"))</f>
        <v>Sep</v>
      </c>
      <c r="E776" t="str">
        <f>IF(tbl_main[[#This Row],[Date]]="","",TEXT(B776,"DDD"))</f>
        <v>Sat</v>
      </c>
      <c r="F776" t="s">
        <v>20</v>
      </c>
      <c r="G776" t="s">
        <v>39</v>
      </c>
      <c r="H776" s="3" t="s">
        <v>15</v>
      </c>
      <c r="I776" s="3" t="s">
        <v>41</v>
      </c>
      <c r="J776" s="3" t="s">
        <v>17</v>
      </c>
      <c r="K776" s="3">
        <f>_xlfn.XLOOKUP(tbl_main[[#This Row],[Service]],tbl_service[Service],tbl_service[Price],"")</f>
        <v>500</v>
      </c>
      <c r="L776" s="3">
        <v>2</v>
      </c>
      <c r="M776" s="3">
        <f>IF(AND(tbl_main[[#This Row],[Price]]="",tbl_main[[#This Row],[Qty]]=""),"",tbl_main[[#This Row],[Price]]*tbl_main[[#This Row],[Qty]])</f>
        <v>1000</v>
      </c>
      <c r="N776" s="3">
        <f>_xlfn.LET(_xlpm.x,_xlfn.XLOOKUP(tbl_main[[#This Row],[Service]],tbl_service[Service],tbl_service[Profit],""),
               IF(tbl_main[[#This Row],[Qty]]="","",_xlpm.x*tbl_main[[#This Row],[Qty]]))</f>
        <v>450</v>
      </c>
    </row>
    <row r="777" spans="1:14" x14ac:dyDescent="0.25">
      <c r="A777" t="s">
        <v>819</v>
      </c>
      <c r="B777" s="1">
        <v>45913</v>
      </c>
      <c r="C777">
        <f>IF(tbl_main[[#This Row],[Date]]="","",YEAR(B777))</f>
        <v>2025</v>
      </c>
      <c r="D777" t="str">
        <f>IF(tbl_main[[#This Row],[Date]]="","",TEXT(B777,"mmm"))</f>
        <v>Sep</v>
      </c>
      <c r="E777" t="str">
        <f>IF(tbl_main[[#This Row],[Date]]="","",TEXT(B777,"DDD"))</f>
        <v>Sat</v>
      </c>
      <c r="F777" t="s">
        <v>30</v>
      </c>
      <c r="G777" t="s">
        <v>31</v>
      </c>
      <c r="H777" s="3" t="s">
        <v>26</v>
      </c>
      <c r="I777" s="3" t="s">
        <v>35</v>
      </c>
      <c r="J777" s="3" t="s">
        <v>25</v>
      </c>
      <c r="K777" s="3">
        <f>_xlfn.XLOOKUP(tbl_main[[#This Row],[Service]],tbl_service[Service],tbl_service[Price],"")</f>
        <v>200</v>
      </c>
      <c r="L777" s="3">
        <v>1</v>
      </c>
      <c r="M777" s="3">
        <f>IF(AND(tbl_main[[#This Row],[Price]]="",tbl_main[[#This Row],[Qty]]=""),"",tbl_main[[#This Row],[Price]]*tbl_main[[#This Row],[Qty]])</f>
        <v>200</v>
      </c>
      <c r="N777" s="3">
        <f>_xlfn.LET(_xlpm.x,_xlfn.XLOOKUP(tbl_main[[#This Row],[Service]],tbl_service[Service],tbl_service[Profit],""),
               IF(tbl_main[[#This Row],[Qty]]="","",_xlpm.x*tbl_main[[#This Row],[Qty]]))</f>
        <v>90</v>
      </c>
    </row>
    <row r="778" spans="1:14" x14ac:dyDescent="0.25">
      <c r="A778" t="s">
        <v>820</v>
      </c>
      <c r="B778" s="1">
        <v>45914</v>
      </c>
      <c r="C778">
        <f>IF(tbl_main[[#This Row],[Date]]="","",YEAR(B778))</f>
        <v>2025</v>
      </c>
      <c r="D778" t="str">
        <f>IF(tbl_main[[#This Row],[Date]]="","",TEXT(B778,"mmm"))</f>
        <v>Sep</v>
      </c>
      <c r="E778" t="str">
        <f>IF(tbl_main[[#This Row],[Date]]="","",TEXT(B778,"DDD"))</f>
        <v>Sun</v>
      </c>
      <c r="F778" t="s">
        <v>27</v>
      </c>
      <c r="G778" t="s">
        <v>28</v>
      </c>
      <c r="H778" s="3" t="s">
        <v>22</v>
      </c>
      <c r="I778" s="3" t="s">
        <v>35</v>
      </c>
      <c r="J778" s="3" t="s">
        <v>32</v>
      </c>
      <c r="K778" s="3">
        <f>_xlfn.XLOOKUP(tbl_main[[#This Row],[Service]],tbl_service[Service],tbl_service[Price],"")</f>
        <v>150</v>
      </c>
      <c r="L778" s="3">
        <v>1</v>
      </c>
      <c r="M778" s="3">
        <f>IF(AND(tbl_main[[#This Row],[Price]]="",tbl_main[[#This Row],[Qty]]=""),"",tbl_main[[#This Row],[Price]]*tbl_main[[#This Row],[Qty]])</f>
        <v>150</v>
      </c>
      <c r="N778" s="3">
        <f>_xlfn.LET(_xlpm.x,_xlfn.XLOOKUP(tbl_main[[#This Row],[Service]],tbl_service[Service],tbl_service[Profit],""),
               IF(tbl_main[[#This Row],[Qty]]="","",_xlpm.x*tbl_main[[#This Row],[Qty]]))</f>
        <v>67</v>
      </c>
    </row>
    <row r="779" spans="1:14" x14ac:dyDescent="0.25">
      <c r="A779" t="s">
        <v>821</v>
      </c>
      <c r="B779" s="1">
        <v>45914</v>
      </c>
      <c r="C779">
        <f>IF(tbl_main[[#This Row],[Date]]="","",YEAR(B779))</f>
        <v>2025</v>
      </c>
      <c r="D779" t="str">
        <f>IF(tbl_main[[#This Row],[Date]]="","",TEXT(B779,"mmm"))</f>
        <v>Sep</v>
      </c>
      <c r="E779" t="str">
        <f>IF(tbl_main[[#This Row],[Date]]="","",TEXT(B779,"DDD"))</f>
        <v>Sun</v>
      </c>
      <c r="F779" t="s">
        <v>30</v>
      </c>
      <c r="G779" t="s">
        <v>31</v>
      </c>
      <c r="H779" s="3" t="s">
        <v>34</v>
      </c>
      <c r="I779" s="3" t="s">
        <v>23</v>
      </c>
      <c r="J779" s="3" t="s">
        <v>17</v>
      </c>
      <c r="K779" s="3">
        <f>_xlfn.XLOOKUP(tbl_main[[#This Row],[Service]],tbl_service[Service],tbl_service[Price],"")</f>
        <v>100</v>
      </c>
      <c r="L779" s="3">
        <v>1</v>
      </c>
      <c r="M779" s="3">
        <f>IF(AND(tbl_main[[#This Row],[Price]]="",tbl_main[[#This Row],[Qty]]=""),"",tbl_main[[#This Row],[Price]]*tbl_main[[#This Row],[Qty]])</f>
        <v>100</v>
      </c>
      <c r="N779" s="3">
        <f>_xlfn.LET(_xlpm.x,_xlfn.XLOOKUP(tbl_main[[#This Row],[Service]],tbl_service[Service],tbl_service[Profit],""),
               IF(tbl_main[[#This Row],[Qty]]="","",_xlpm.x*tbl_main[[#This Row],[Qty]]))</f>
        <v>45</v>
      </c>
    </row>
    <row r="780" spans="1:14" x14ac:dyDescent="0.25">
      <c r="A780" t="s">
        <v>822</v>
      </c>
      <c r="B780" s="1">
        <v>45914</v>
      </c>
      <c r="C780">
        <f>IF(tbl_main[[#This Row],[Date]]="","",YEAR(B780))</f>
        <v>2025</v>
      </c>
      <c r="D780" t="str">
        <f>IF(tbl_main[[#This Row],[Date]]="","",TEXT(B780,"mmm"))</f>
        <v>Sep</v>
      </c>
      <c r="E780" t="str">
        <f>IF(tbl_main[[#This Row],[Date]]="","",TEXT(B780,"DDD"))</f>
        <v>Sun</v>
      </c>
      <c r="F780" t="s">
        <v>27</v>
      </c>
      <c r="G780" t="s">
        <v>28</v>
      </c>
      <c r="H780" s="3" t="s">
        <v>26</v>
      </c>
      <c r="I780" s="3" t="s">
        <v>37</v>
      </c>
      <c r="J780" s="3" t="s">
        <v>32</v>
      </c>
      <c r="K780" s="3">
        <f>_xlfn.XLOOKUP(tbl_main[[#This Row],[Service]],tbl_service[Service],tbl_service[Price],"")</f>
        <v>200</v>
      </c>
      <c r="L780" s="3">
        <v>1</v>
      </c>
      <c r="M780" s="3">
        <f>IF(AND(tbl_main[[#This Row],[Price]]="",tbl_main[[#This Row],[Qty]]=""),"",tbl_main[[#This Row],[Price]]*tbl_main[[#This Row],[Qty]])</f>
        <v>200</v>
      </c>
      <c r="N780" s="3">
        <f>_xlfn.LET(_xlpm.x,_xlfn.XLOOKUP(tbl_main[[#This Row],[Service]],tbl_service[Service],tbl_service[Profit],""),
               IF(tbl_main[[#This Row],[Qty]]="","",_xlpm.x*tbl_main[[#This Row],[Qty]]))</f>
        <v>90</v>
      </c>
    </row>
    <row r="781" spans="1:14" x14ac:dyDescent="0.25">
      <c r="A781" t="s">
        <v>823</v>
      </c>
      <c r="B781" s="1">
        <v>45915</v>
      </c>
      <c r="C781">
        <f>IF(tbl_main[[#This Row],[Date]]="","",YEAR(B781))</f>
        <v>2025</v>
      </c>
      <c r="D781" t="str">
        <f>IF(tbl_main[[#This Row],[Date]]="","",TEXT(B781,"mmm"))</f>
        <v>Sep</v>
      </c>
      <c r="E781" t="str">
        <f>IF(tbl_main[[#This Row],[Date]]="","",TEXT(B781,"DDD"))</f>
        <v>Mon</v>
      </c>
      <c r="F781" t="s">
        <v>13</v>
      </c>
      <c r="G781" t="s">
        <v>14</v>
      </c>
      <c r="H781" s="3" t="s">
        <v>34</v>
      </c>
      <c r="I781" s="3" t="s">
        <v>38</v>
      </c>
      <c r="J781" s="3" t="s">
        <v>32</v>
      </c>
      <c r="K781" s="3">
        <f>_xlfn.XLOOKUP(tbl_main[[#This Row],[Service]],tbl_service[Service],tbl_service[Price],"")</f>
        <v>100</v>
      </c>
      <c r="L781" s="3">
        <v>2</v>
      </c>
      <c r="M781" s="3">
        <f>IF(AND(tbl_main[[#This Row],[Price]]="",tbl_main[[#This Row],[Qty]]=""),"",tbl_main[[#This Row],[Price]]*tbl_main[[#This Row],[Qty]])</f>
        <v>200</v>
      </c>
      <c r="N781" s="3">
        <f>_xlfn.LET(_xlpm.x,_xlfn.XLOOKUP(tbl_main[[#This Row],[Service]],tbl_service[Service],tbl_service[Profit],""),
               IF(tbl_main[[#This Row],[Qty]]="","",_xlpm.x*tbl_main[[#This Row],[Qty]]))</f>
        <v>90</v>
      </c>
    </row>
    <row r="782" spans="1:14" x14ac:dyDescent="0.25">
      <c r="A782" t="s">
        <v>824</v>
      </c>
      <c r="B782" s="1">
        <v>45915</v>
      </c>
      <c r="C782">
        <f>IF(tbl_main[[#This Row],[Date]]="","",YEAR(B782))</f>
        <v>2025</v>
      </c>
      <c r="D782" t="str">
        <f>IF(tbl_main[[#This Row],[Date]]="","",TEXT(B782,"mmm"))</f>
        <v>Sep</v>
      </c>
      <c r="E782" t="str">
        <f>IF(tbl_main[[#This Row],[Date]]="","",TEXT(B782,"DDD"))</f>
        <v>Mon</v>
      </c>
      <c r="F782" t="s">
        <v>13</v>
      </c>
      <c r="G782" t="s">
        <v>33</v>
      </c>
      <c r="H782" s="3" t="s">
        <v>34</v>
      </c>
      <c r="I782" s="3" t="s">
        <v>16</v>
      </c>
      <c r="J782" s="3" t="s">
        <v>32</v>
      </c>
      <c r="K782" s="3">
        <f>_xlfn.XLOOKUP(tbl_main[[#This Row],[Service]],tbl_service[Service],tbl_service[Price],"")</f>
        <v>100</v>
      </c>
      <c r="L782" s="3">
        <v>2</v>
      </c>
      <c r="M782" s="3">
        <f>IF(AND(tbl_main[[#This Row],[Price]]="",tbl_main[[#This Row],[Qty]]=""),"",tbl_main[[#This Row],[Price]]*tbl_main[[#This Row],[Qty]])</f>
        <v>200</v>
      </c>
      <c r="N782" s="3">
        <f>_xlfn.LET(_xlpm.x,_xlfn.XLOOKUP(tbl_main[[#This Row],[Service]],tbl_service[Service],tbl_service[Profit],""),
               IF(tbl_main[[#This Row],[Qty]]="","",_xlpm.x*tbl_main[[#This Row],[Qty]]))</f>
        <v>90</v>
      </c>
    </row>
    <row r="783" spans="1:14" x14ac:dyDescent="0.25">
      <c r="A783" t="s">
        <v>825</v>
      </c>
      <c r="B783" s="1">
        <v>45916</v>
      </c>
      <c r="C783">
        <f>IF(tbl_main[[#This Row],[Date]]="","",YEAR(B783))</f>
        <v>2025</v>
      </c>
      <c r="D783" t="str">
        <f>IF(tbl_main[[#This Row],[Date]]="","",TEXT(B783,"mmm"))</f>
        <v>Sep</v>
      </c>
      <c r="E783" t="str">
        <f>IF(tbl_main[[#This Row],[Date]]="","",TEXT(B783,"DDD"))</f>
        <v>Tue</v>
      </c>
      <c r="F783" t="s">
        <v>13</v>
      </c>
      <c r="G783" t="s">
        <v>14</v>
      </c>
      <c r="H783" s="3" t="s">
        <v>22</v>
      </c>
      <c r="I783" s="3" t="s">
        <v>19</v>
      </c>
      <c r="J783" s="3" t="s">
        <v>32</v>
      </c>
      <c r="K783" s="3">
        <f>_xlfn.XLOOKUP(tbl_main[[#This Row],[Service]],tbl_service[Service],tbl_service[Price],"")</f>
        <v>150</v>
      </c>
      <c r="L783" s="3">
        <v>1</v>
      </c>
      <c r="M783" s="3">
        <f>IF(AND(tbl_main[[#This Row],[Price]]="",tbl_main[[#This Row],[Qty]]=""),"",tbl_main[[#This Row],[Price]]*tbl_main[[#This Row],[Qty]])</f>
        <v>150</v>
      </c>
      <c r="N783" s="3">
        <f>_xlfn.LET(_xlpm.x,_xlfn.XLOOKUP(tbl_main[[#This Row],[Service]],tbl_service[Service],tbl_service[Profit],""),
               IF(tbl_main[[#This Row],[Qty]]="","",_xlpm.x*tbl_main[[#This Row],[Qty]]))</f>
        <v>67</v>
      </c>
    </row>
    <row r="784" spans="1:14" x14ac:dyDescent="0.25">
      <c r="A784" t="s">
        <v>826</v>
      </c>
      <c r="B784" s="1">
        <v>45916</v>
      </c>
      <c r="C784">
        <f>IF(tbl_main[[#This Row],[Date]]="","",YEAR(B784))</f>
        <v>2025</v>
      </c>
      <c r="D784" t="str">
        <f>IF(tbl_main[[#This Row],[Date]]="","",TEXT(B784,"mmm"))</f>
        <v>Sep</v>
      </c>
      <c r="E784" t="str">
        <f>IF(tbl_main[[#This Row],[Date]]="","",TEXT(B784,"DDD"))</f>
        <v>Tue</v>
      </c>
      <c r="F784" t="s">
        <v>13</v>
      </c>
      <c r="G784" t="s">
        <v>33</v>
      </c>
      <c r="H784" s="3" t="s">
        <v>34</v>
      </c>
      <c r="I784" s="3" t="s">
        <v>19</v>
      </c>
      <c r="J784" s="3" t="s">
        <v>25</v>
      </c>
      <c r="K784" s="3">
        <f>_xlfn.XLOOKUP(tbl_main[[#This Row],[Service]],tbl_service[Service],tbl_service[Price],"")</f>
        <v>100</v>
      </c>
      <c r="L784" s="3">
        <v>1</v>
      </c>
      <c r="M784" s="3">
        <f>IF(AND(tbl_main[[#This Row],[Price]]="",tbl_main[[#This Row],[Qty]]=""),"",tbl_main[[#This Row],[Price]]*tbl_main[[#This Row],[Qty]])</f>
        <v>100</v>
      </c>
      <c r="N784" s="3">
        <f>_xlfn.LET(_xlpm.x,_xlfn.XLOOKUP(tbl_main[[#This Row],[Service]],tbl_service[Service],tbl_service[Profit],""),
               IF(tbl_main[[#This Row],[Qty]]="","",_xlpm.x*tbl_main[[#This Row],[Qty]]))</f>
        <v>45</v>
      </c>
    </row>
    <row r="785" spans="1:14" x14ac:dyDescent="0.25">
      <c r="A785" t="s">
        <v>827</v>
      </c>
      <c r="B785" s="1">
        <v>45917</v>
      </c>
      <c r="C785">
        <f>IF(tbl_main[[#This Row],[Date]]="","",YEAR(B785))</f>
        <v>2025</v>
      </c>
      <c r="D785" t="str">
        <f>IF(tbl_main[[#This Row],[Date]]="","",TEXT(B785,"mmm"))</f>
        <v>Sep</v>
      </c>
      <c r="E785" t="str">
        <f>IF(tbl_main[[#This Row],[Date]]="","",TEXT(B785,"DDD"))</f>
        <v>Wed</v>
      </c>
      <c r="F785" t="s">
        <v>30</v>
      </c>
      <c r="G785" t="s">
        <v>36</v>
      </c>
      <c r="H785" s="3" t="s">
        <v>15</v>
      </c>
      <c r="I785" s="3" t="s">
        <v>41</v>
      </c>
      <c r="J785" s="3" t="s">
        <v>25</v>
      </c>
      <c r="K785" s="3">
        <f>_xlfn.XLOOKUP(tbl_main[[#This Row],[Service]],tbl_service[Service],tbl_service[Price],"")</f>
        <v>500</v>
      </c>
      <c r="L785" s="3">
        <v>1</v>
      </c>
      <c r="M785" s="3">
        <f>IF(AND(tbl_main[[#This Row],[Price]]="",tbl_main[[#This Row],[Qty]]=""),"",tbl_main[[#This Row],[Price]]*tbl_main[[#This Row],[Qty]])</f>
        <v>500</v>
      </c>
      <c r="N785" s="3">
        <f>_xlfn.LET(_xlpm.x,_xlfn.XLOOKUP(tbl_main[[#This Row],[Service]],tbl_service[Service],tbl_service[Profit],""),
               IF(tbl_main[[#This Row],[Qty]]="","",_xlpm.x*tbl_main[[#This Row],[Qty]]))</f>
        <v>225</v>
      </c>
    </row>
    <row r="786" spans="1:14" x14ac:dyDescent="0.25">
      <c r="A786" t="s">
        <v>828</v>
      </c>
      <c r="B786" s="1">
        <v>45917</v>
      </c>
      <c r="C786">
        <f>IF(tbl_main[[#This Row],[Date]]="","",YEAR(B786))</f>
        <v>2025</v>
      </c>
      <c r="D786" t="str">
        <f>IF(tbl_main[[#This Row],[Date]]="","",TEXT(B786,"mmm"))</f>
        <v>Sep</v>
      </c>
      <c r="E786" t="str">
        <f>IF(tbl_main[[#This Row],[Date]]="","",TEXT(B786,"DDD"))</f>
        <v>Wed</v>
      </c>
      <c r="F786" t="s">
        <v>27</v>
      </c>
      <c r="G786" t="s">
        <v>28</v>
      </c>
      <c r="H786" s="3" t="s">
        <v>24</v>
      </c>
      <c r="I786" s="3" t="s">
        <v>41</v>
      </c>
      <c r="J786" s="3" t="s">
        <v>25</v>
      </c>
      <c r="K786" s="3">
        <f>_xlfn.XLOOKUP(tbl_main[[#This Row],[Service]],tbl_service[Service],tbl_service[Price],"")</f>
        <v>80</v>
      </c>
      <c r="L786" s="3">
        <v>1</v>
      </c>
      <c r="M786" s="3">
        <f>IF(AND(tbl_main[[#This Row],[Price]]="",tbl_main[[#This Row],[Qty]]=""),"",tbl_main[[#This Row],[Price]]*tbl_main[[#This Row],[Qty]])</f>
        <v>80</v>
      </c>
      <c r="N786" s="3">
        <f>_xlfn.LET(_xlpm.x,_xlfn.XLOOKUP(tbl_main[[#This Row],[Service]],tbl_service[Service],tbl_service[Profit],""),
               IF(tbl_main[[#This Row],[Qty]]="","",_xlpm.x*tbl_main[[#This Row],[Qty]]))</f>
        <v>36</v>
      </c>
    </row>
    <row r="787" spans="1:14" x14ac:dyDescent="0.25">
      <c r="A787" t="s">
        <v>829</v>
      </c>
      <c r="B787" s="1">
        <v>45918</v>
      </c>
      <c r="C787">
        <f>IF(tbl_main[[#This Row],[Date]]="","",YEAR(B787))</f>
        <v>2025</v>
      </c>
      <c r="D787" t="str">
        <f>IF(tbl_main[[#This Row],[Date]]="","",TEXT(B787,"mmm"))</f>
        <v>Sep</v>
      </c>
      <c r="E787" t="str">
        <f>IF(tbl_main[[#This Row],[Date]]="","",TEXT(B787,"DDD"))</f>
        <v>Thu</v>
      </c>
      <c r="F787" t="s">
        <v>20</v>
      </c>
      <c r="G787" t="s">
        <v>39</v>
      </c>
      <c r="H787" s="3" t="s">
        <v>22</v>
      </c>
      <c r="I787" s="3" t="s">
        <v>35</v>
      </c>
      <c r="J787" s="3" t="s">
        <v>17</v>
      </c>
      <c r="K787" s="3">
        <f>_xlfn.XLOOKUP(tbl_main[[#This Row],[Service]],tbl_service[Service],tbl_service[Price],"")</f>
        <v>150</v>
      </c>
      <c r="L787" s="3">
        <v>2</v>
      </c>
      <c r="M787" s="3">
        <f>IF(AND(tbl_main[[#This Row],[Price]]="",tbl_main[[#This Row],[Qty]]=""),"",tbl_main[[#This Row],[Price]]*tbl_main[[#This Row],[Qty]])</f>
        <v>300</v>
      </c>
      <c r="N787" s="3">
        <f>_xlfn.LET(_xlpm.x,_xlfn.XLOOKUP(tbl_main[[#This Row],[Service]],tbl_service[Service],tbl_service[Profit],""),
               IF(tbl_main[[#This Row],[Qty]]="","",_xlpm.x*tbl_main[[#This Row],[Qty]]))</f>
        <v>134</v>
      </c>
    </row>
    <row r="788" spans="1:14" x14ac:dyDescent="0.25">
      <c r="A788" t="s">
        <v>830</v>
      </c>
      <c r="B788" s="1">
        <v>45918</v>
      </c>
      <c r="C788">
        <f>IF(tbl_main[[#This Row],[Date]]="","",YEAR(B788))</f>
        <v>2025</v>
      </c>
      <c r="D788" t="str">
        <f>IF(tbl_main[[#This Row],[Date]]="","",TEXT(B788,"mmm"))</f>
        <v>Sep</v>
      </c>
      <c r="E788" t="str">
        <f>IF(tbl_main[[#This Row],[Date]]="","",TEXT(B788,"DDD"))</f>
        <v>Thu</v>
      </c>
      <c r="F788" t="s">
        <v>27</v>
      </c>
      <c r="G788" t="s">
        <v>28</v>
      </c>
      <c r="H788" s="3" t="s">
        <v>24</v>
      </c>
      <c r="I788" s="3" t="s">
        <v>35</v>
      </c>
      <c r="J788" s="3" t="s">
        <v>32</v>
      </c>
      <c r="K788" s="3">
        <f>_xlfn.XLOOKUP(tbl_main[[#This Row],[Service]],tbl_service[Service],tbl_service[Price],"")</f>
        <v>80</v>
      </c>
      <c r="L788" s="3">
        <v>1</v>
      </c>
      <c r="M788" s="3">
        <f>IF(AND(tbl_main[[#This Row],[Price]]="",tbl_main[[#This Row],[Qty]]=""),"",tbl_main[[#This Row],[Price]]*tbl_main[[#This Row],[Qty]])</f>
        <v>80</v>
      </c>
      <c r="N788" s="3">
        <f>_xlfn.LET(_xlpm.x,_xlfn.XLOOKUP(tbl_main[[#This Row],[Service]],tbl_service[Service],tbl_service[Profit],""),
               IF(tbl_main[[#This Row],[Qty]]="","",_xlpm.x*tbl_main[[#This Row],[Qty]]))</f>
        <v>36</v>
      </c>
    </row>
    <row r="789" spans="1:14" x14ac:dyDescent="0.25">
      <c r="A789" t="s">
        <v>831</v>
      </c>
      <c r="B789" s="1">
        <v>45918</v>
      </c>
      <c r="C789">
        <f>IF(tbl_main[[#This Row],[Date]]="","",YEAR(B789))</f>
        <v>2025</v>
      </c>
      <c r="D789" t="str">
        <f>IF(tbl_main[[#This Row],[Date]]="","",TEXT(B789,"mmm"))</f>
        <v>Sep</v>
      </c>
      <c r="E789" t="str">
        <f>IF(tbl_main[[#This Row],[Date]]="","",TEXT(B789,"DDD"))</f>
        <v>Thu</v>
      </c>
      <c r="F789" t="s">
        <v>13</v>
      </c>
      <c r="G789" t="s">
        <v>14</v>
      </c>
      <c r="H789" s="3" t="s">
        <v>26</v>
      </c>
      <c r="I789" s="3" t="s">
        <v>23</v>
      </c>
      <c r="J789" s="3" t="s">
        <v>17</v>
      </c>
      <c r="K789" s="3">
        <f>_xlfn.XLOOKUP(tbl_main[[#This Row],[Service]],tbl_service[Service],tbl_service[Price],"")</f>
        <v>200</v>
      </c>
      <c r="L789" s="3">
        <v>2</v>
      </c>
      <c r="M789" s="3">
        <f>IF(AND(tbl_main[[#This Row],[Price]]="",tbl_main[[#This Row],[Qty]]=""),"",tbl_main[[#This Row],[Price]]*tbl_main[[#This Row],[Qty]])</f>
        <v>400</v>
      </c>
      <c r="N789" s="3">
        <f>_xlfn.LET(_xlpm.x,_xlfn.XLOOKUP(tbl_main[[#This Row],[Service]],tbl_service[Service],tbl_service[Profit],""),
               IF(tbl_main[[#This Row],[Qty]]="","",_xlpm.x*tbl_main[[#This Row],[Qty]]))</f>
        <v>180</v>
      </c>
    </row>
    <row r="790" spans="1:14" x14ac:dyDescent="0.25">
      <c r="A790" t="s">
        <v>832</v>
      </c>
      <c r="B790" s="1">
        <v>45918</v>
      </c>
      <c r="C790">
        <f>IF(tbl_main[[#This Row],[Date]]="","",YEAR(B790))</f>
        <v>2025</v>
      </c>
      <c r="D790" t="str">
        <f>IF(tbl_main[[#This Row],[Date]]="","",TEXT(B790,"mmm"))</f>
        <v>Sep</v>
      </c>
      <c r="E790" t="str">
        <f>IF(tbl_main[[#This Row],[Date]]="","",TEXT(B790,"DDD"))</f>
        <v>Thu</v>
      </c>
      <c r="F790" t="s">
        <v>30</v>
      </c>
      <c r="G790" t="s">
        <v>31</v>
      </c>
      <c r="H790" s="3" t="s">
        <v>15</v>
      </c>
      <c r="I790" s="3" t="s">
        <v>37</v>
      </c>
      <c r="J790" s="3" t="s">
        <v>17</v>
      </c>
      <c r="K790" s="3">
        <f>_xlfn.XLOOKUP(tbl_main[[#This Row],[Service]],tbl_service[Service],tbl_service[Price],"")</f>
        <v>500</v>
      </c>
      <c r="L790" s="3">
        <v>2</v>
      </c>
      <c r="M790" s="3">
        <f>IF(AND(tbl_main[[#This Row],[Price]]="",tbl_main[[#This Row],[Qty]]=""),"",tbl_main[[#This Row],[Price]]*tbl_main[[#This Row],[Qty]])</f>
        <v>1000</v>
      </c>
      <c r="N790" s="3">
        <f>_xlfn.LET(_xlpm.x,_xlfn.XLOOKUP(tbl_main[[#This Row],[Service]],tbl_service[Service],tbl_service[Profit],""),
               IF(tbl_main[[#This Row],[Qty]]="","",_xlpm.x*tbl_main[[#This Row],[Qty]]))</f>
        <v>450</v>
      </c>
    </row>
    <row r="791" spans="1:14" x14ac:dyDescent="0.25">
      <c r="A791" t="s">
        <v>833</v>
      </c>
      <c r="B791" s="1">
        <v>45919</v>
      </c>
      <c r="C791">
        <f>IF(tbl_main[[#This Row],[Date]]="","",YEAR(B791))</f>
        <v>2025</v>
      </c>
      <c r="D791" t="str">
        <f>IF(tbl_main[[#This Row],[Date]]="","",TEXT(B791,"mmm"))</f>
        <v>Sep</v>
      </c>
      <c r="E791" t="str">
        <f>IF(tbl_main[[#This Row],[Date]]="","",TEXT(B791,"DDD"))</f>
        <v>Fri</v>
      </c>
      <c r="F791" t="s">
        <v>27</v>
      </c>
      <c r="G791" t="s">
        <v>40</v>
      </c>
      <c r="H791" s="3" t="s">
        <v>24</v>
      </c>
      <c r="I791" s="3" t="s">
        <v>38</v>
      </c>
      <c r="J791" s="3" t="s">
        <v>32</v>
      </c>
      <c r="K791" s="3">
        <f>_xlfn.XLOOKUP(tbl_main[[#This Row],[Service]],tbl_service[Service],tbl_service[Price],"")</f>
        <v>80</v>
      </c>
      <c r="L791" s="3">
        <v>2</v>
      </c>
      <c r="M791" s="3">
        <f>IF(AND(tbl_main[[#This Row],[Price]]="",tbl_main[[#This Row],[Qty]]=""),"",tbl_main[[#This Row],[Price]]*tbl_main[[#This Row],[Qty]])</f>
        <v>160</v>
      </c>
      <c r="N791" s="3">
        <f>_xlfn.LET(_xlpm.x,_xlfn.XLOOKUP(tbl_main[[#This Row],[Service]],tbl_service[Service],tbl_service[Profit],""),
               IF(tbl_main[[#This Row],[Qty]]="","",_xlpm.x*tbl_main[[#This Row],[Qty]]))</f>
        <v>72</v>
      </c>
    </row>
    <row r="792" spans="1:14" x14ac:dyDescent="0.25">
      <c r="A792" t="s">
        <v>834</v>
      </c>
      <c r="B792" s="1">
        <v>45919</v>
      </c>
      <c r="C792">
        <f>IF(tbl_main[[#This Row],[Date]]="","",YEAR(B792))</f>
        <v>2025</v>
      </c>
      <c r="D792" t="str">
        <f>IF(tbl_main[[#This Row],[Date]]="","",TEXT(B792,"mmm"))</f>
        <v>Sep</v>
      </c>
      <c r="E792" t="str">
        <f>IF(tbl_main[[#This Row],[Date]]="","",TEXT(B792,"DDD"))</f>
        <v>Fri</v>
      </c>
      <c r="F792" t="s">
        <v>27</v>
      </c>
      <c r="G792" t="s">
        <v>28</v>
      </c>
      <c r="H792" s="3" t="s">
        <v>26</v>
      </c>
      <c r="I792" s="3" t="s">
        <v>16</v>
      </c>
      <c r="J792" s="3" t="s">
        <v>17</v>
      </c>
      <c r="K792" s="3">
        <f>_xlfn.XLOOKUP(tbl_main[[#This Row],[Service]],tbl_service[Service],tbl_service[Price],"")</f>
        <v>200</v>
      </c>
      <c r="L792" s="3">
        <v>1</v>
      </c>
      <c r="M792" s="3">
        <f>IF(AND(tbl_main[[#This Row],[Price]]="",tbl_main[[#This Row],[Qty]]=""),"",tbl_main[[#This Row],[Price]]*tbl_main[[#This Row],[Qty]])</f>
        <v>200</v>
      </c>
      <c r="N792" s="3">
        <f>_xlfn.LET(_xlpm.x,_xlfn.XLOOKUP(tbl_main[[#This Row],[Service]],tbl_service[Service],tbl_service[Profit],""),
               IF(tbl_main[[#This Row],[Qty]]="","",_xlpm.x*tbl_main[[#This Row],[Qty]]))</f>
        <v>90</v>
      </c>
    </row>
    <row r="793" spans="1:14" x14ac:dyDescent="0.25">
      <c r="A793" t="s">
        <v>835</v>
      </c>
      <c r="B793" s="1">
        <v>45919</v>
      </c>
      <c r="C793">
        <f>IF(tbl_main[[#This Row],[Date]]="","",YEAR(B793))</f>
        <v>2025</v>
      </c>
      <c r="D793" t="str">
        <f>IF(tbl_main[[#This Row],[Date]]="","",TEXT(B793,"mmm"))</f>
        <v>Sep</v>
      </c>
      <c r="E793" t="str">
        <f>IF(tbl_main[[#This Row],[Date]]="","",TEXT(B793,"DDD"))</f>
        <v>Fri</v>
      </c>
      <c r="F793" t="s">
        <v>20</v>
      </c>
      <c r="G793" t="s">
        <v>39</v>
      </c>
      <c r="H793" s="3" t="s">
        <v>22</v>
      </c>
      <c r="I793" s="3" t="s">
        <v>19</v>
      </c>
      <c r="J793" s="3" t="s">
        <v>32</v>
      </c>
      <c r="K793" s="3">
        <f>_xlfn.XLOOKUP(tbl_main[[#This Row],[Service]],tbl_service[Service],tbl_service[Price],"")</f>
        <v>150</v>
      </c>
      <c r="L793" s="3">
        <v>2</v>
      </c>
      <c r="M793" s="3">
        <f>IF(AND(tbl_main[[#This Row],[Price]]="",tbl_main[[#This Row],[Qty]]=""),"",tbl_main[[#This Row],[Price]]*tbl_main[[#This Row],[Qty]])</f>
        <v>300</v>
      </c>
      <c r="N793" s="3">
        <f>_xlfn.LET(_xlpm.x,_xlfn.XLOOKUP(tbl_main[[#This Row],[Service]],tbl_service[Service],tbl_service[Profit],""),
               IF(tbl_main[[#This Row],[Qty]]="","",_xlpm.x*tbl_main[[#This Row],[Qty]]))</f>
        <v>134</v>
      </c>
    </row>
    <row r="794" spans="1:14" x14ac:dyDescent="0.25">
      <c r="A794" t="s">
        <v>836</v>
      </c>
      <c r="B794" s="1">
        <v>45920</v>
      </c>
      <c r="C794">
        <f>IF(tbl_main[[#This Row],[Date]]="","",YEAR(B794))</f>
        <v>2025</v>
      </c>
      <c r="D794" t="str">
        <f>IF(tbl_main[[#This Row],[Date]]="","",TEXT(B794,"mmm"))</f>
        <v>Sep</v>
      </c>
      <c r="E794" t="str">
        <f>IF(tbl_main[[#This Row],[Date]]="","",TEXT(B794,"DDD"))</f>
        <v>Sat</v>
      </c>
      <c r="F794" t="s">
        <v>30</v>
      </c>
      <c r="G794" t="s">
        <v>36</v>
      </c>
      <c r="H794" s="3" t="s">
        <v>26</v>
      </c>
      <c r="I794" s="3" t="s">
        <v>43</v>
      </c>
      <c r="J794" s="3" t="s">
        <v>25</v>
      </c>
      <c r="K794" s="3">
        <f>_xlfn.XLOOKUP(tbl_main[[#This Row],[Service]],tbl_service[Service],tbl_service[Price],"")</f>
        <v>200</v>
      </c>
      <c r="L794" s="3">
        <v>2</v>
      </c>
      <c r="M794" s="3">
        <f>IF(AND(tbl_main[[#This Row],[Price]]="",tbl_main[[#This Row],[Qty]]=""),"",tbl_main[[#This Row],[Price]]*tbl_main[[#This Row],[Qty]])</f>
        <v>400</v>
      </c>
      <c r="N794" s="3">
        <f>_xlfn.LET(_xlpm.x,_xlfn.XLOOKUP(tbl_main[[#This Row],[Service]],tbl_service[Service],tbl_service[Profit],""),
               IF(tbl_main[[#This Row],[Qty]]="","",_xlpm.x*tbl_main[[#This Row],[Qty]]))</f>
        <v>180</v>
      </c>
    </row>
    <row r="795" spans="1:14" x14ac:dyDescent="0.25">
      <c r="A795" t="s">
        <v>837</v>
      </c>
      <c r="B795" s="1">
        <v>45920</v>
      </c>
      <c r="C795">
        <f>IF(tbl_main[[#This Row],[Date]]="","",YEAR(B795))</f>
        <v>2025</v>
      </c>
      <c r="D795" t="str">
        <f>IF(tbl_main[[#This Row],[Date]]="","",TEXT(B795,"mmm"))</f>
        <v>Sep</v>
      </c>
      <c r="E795" t="str">
        <f>IF(tbl_main[[#This Row],[Date]]="","",TEXT(B795,"DDD"))</f>
        <v>Sat</v>
      </c>
      <c r="F795" t="s">
        <v>13</v>
      </c>
      <c r="G795" t="s">
        <v>33</v>
      </c>
      <c r="H795" s="3" t="s">
        <v>18</v>
      </c>
      <c r="I795" s="3" t="s">
        <v>41</v>
      </c>
      <c r="J795" s="3" t="s">
        <v>32</v>
      </c>
      <c r="K795" s="3">
        <f>_xlfn.XLOOKUP(tbl_main[[#This Row],[Service]],tbl_service[Service],tbl_service[Price],"")</f>
        <v>500</v>
      </c>
      <c r="L795" s="3">
        <v>2</v>
      </c>
      <c r="M795" s="3">
        <f>IF(AND(tbl_main[[#This Row],[Price]]="",tbl_main[[#This Row],[Qty]]=""),"",tbl_main[[#This Row],[Price]]*tbl_main[[#This Row],[Qty]])</f>
        <v>1000</v>
      </c>
      <c r="N795" s="3">
        <f>_xlfn.LET(_xlpm.x,_xlfn.XLOOKUP(tbl_main[[#This Row],[Service]],tbl_service[Service],tbl_service[Profit],""),
               IF(tbl_main[[#This Row],[Qty]]="","",_xlpm.x*tbl_main[[#This Row],[Qty]]))</f>
        <v>314</v>
      </c>
    </row>
    <row r="796" spans="1:14" x14ac:dyDescent="0.25">
      <c r="A796" t="s">
        <v>838</v>
      </c>
      <c r="B796" s="1">
        <v>45920</v>
      </c>
      <c r="C796">
        <f>IF(tbl_main[[#This Row],[Date]]="","",YEAR(B796))</f>
        <v>2025</v>
      </c>
      <c r="D796" t="str">
        <f>IF(tbl_main[[#This Row],[Date]]="","",TEXT(B796,"mmm"))</f>
        <v>Sep</v>
      </c>
      <c r="E796" t="str">
        <f>IF(tbl_main[[#This Row],[Date]]="","",TEXT(B796,"DDD"))</f>
        <v>Sat</v>
      </c>
      <c r="F796" t="s">
        <v>30</v>
      </c>
      <c r="G796" t="s">
        <v>36</v>
      </c>
      <c r="H796" s="3" t="s">
        <v>22</v>
      </c>
      <c r="I796" s="3" t="s">
        <v>41</v>
      </c>
      <c r="J796" s="3" t="s">
        <v>17</v>
      </c>
      <c r="K796" s="3">
        <f>_xlfn.XLOOKUP(tbl_main[[#This Row],[Service]],tbl_service[Service],tbl_service[Price],"")</f>
        <v>150</v>
      </c>
      <c r="L796" s="3">
        <v>2</v>
      </c>
      <c r="M796" s="3">
        <f>IF(AND(tbl_main[[#This Row],[Price]]="",tbl_main[[#This Row],[Qty]]=""),"",tbl_main[[#This Row],[Price]]*tbl_main[[#This Row],[Qty]])</f>
        <v>300</v>
      </c>
      <c r="N796" s="3">
        <f>_xlfn.LET(_xlpm.x,_xlfn.XLOOKUP(tbl_main[[#This Row],[Service]],tbl_service[Service],tbl_service[Profit],""),
               IF(tbl_main[[#This Row],[Qty]]="","",_xlpm.x*tbl_main[[#This Row],[Qty]]))</f>
        <v>134</v>
      </c>
    </row>
    <row r="797" spans="1:14" x14ac:dyDescent="0.25">
      <c r="A797" t="s">
        <v>839</v>
      </c>
      <c r="B797" s="1">
        <v>45920</v>
      </c>
      <c r="C797">
        <f>IF(tbl_main[[#This Row],[Date]]="","",YEAR(B797))</f>
        <v>2025</v>
      </c>
      <c r="D797" t="str">
        <f>IF(tbl_main[[#This Row],[Date]]="","",TEXT(B797,"mmm"))</f>
        <v>Sep</v>
      </c>
      <c r="E797" t="str">
        <f>IF(tbl_main[[#This Row],[Date]]="","",TEXT(B797,"DDD"))</f>
        <v>Sat</v>
      </c>
      <c r="F797" t="s">
        <v>20</v>
      </c>
      <c r="G797" t="s">
        <v>39</v>
      </c>
      <c r="H797" s="3" t="s">
        <v>18</v>
      </c>
      <c r="I797" s="3" t="s">
        <v>35</v>
      </c>
      <c r="J797" s="3" t="s">
        <v>32</v>
      </c>
      <c r="K797" s="3">
        <f>_xlfn.XLOOKUP(tbl_main[[#This Row],[Service]],tbl_service[Service],tbl_service[Price],"")</f>
        <v>500</v>
      </c>
      <c r="L797" s="3">
        <v>1</v>
      </c>
      <c r="M797" s="3">
        <f>IF(AND(tbl_main[[#This Row],[Price]]="",tbl_main[[#This Row],[Qty]]=""),"",tbl_main[[#This Row],[Price]]*tbl_main[[#This Row],[Qty]])</f>
        <v>500</v>
      </c>
      <c r="N797" s="3">
        <f>_xlfn.LET(_xlpm.x,_xlfn.XLOOKUP(tbl_main[[#This Row],[Service]],tbl_service[Service],tbl_service[Profit],""),
               IF(tbl_main[[#This Row],[Qty]]="","",_xlpm.x*tbl_main[[#This Row],[Qty]]))</f>
        <v>157</v>
      </c>
    </row>
    <row r="798" spans="1:14" x14ac:dyDescent="0.25">
      <c r="A798" t="s">
        <v>840</v>
      </c>
      <c r="B798" s="1">
        <v>45921</v>
      </c>
      <c r="C798">
        <f>IF(tbl_main[[#This Row],[Date]]="","",YEAR(B798))</f>
        <v>2025</v>
      </c>
      <c r="D798" t="str">
        <f>IF(tbl_main[[#This Row],[Date]]="","",TEXT(B798,"mmm"))</f>
        <v>Sep</v>
      </c>
      <c r="E798" t="str">
        <f>IF(tbl_main[[#This Row],[Date]]="","",TEXT(B798,"DDD"))</f>
        <v>Sun</v>
      </c>
      <c r="F798" t="s">
        <v>13</v>
      </c>
      <c r="G798" t="s">
        <v>33</v>
      </c>
      <c r="H798" s="3" t="s">
        <v>15</v>
      </c>
      <c r="I798" s="3" t="s">
        <v>35</v>
      </c>
      <c r="J798" s="3" t="s">
        <v>32</v>
      </c>
      <c r="K798" s="3">
        <f>_xlfn.XLOOKUP(tbl_main[[#This Row],[Service]],tbl_service[Service],tbl_service[Price],"")</f>
        <v>500</v>
      </c>
      <c r="L798" s="3">
        <v>2</v>
      </c>
      <c r="M798" s="3">
        <f>IF(AND(tbl_main[[#This Row],[Price]]="",tbl_main[[#This Row],[Qty]]=""),"",tbl_main[[#This Row],[Price]]*tbl_main[[#This Row],[Qty]])</f>
        <v>1000</v>
      </c>
      <c r="N798" s="3">
        <f>_xlfn.LET(_xlpm.x,_xlfn.XLOOKUP(tbl_main[[#This Row],[Service]],tbl_service[Service],tbl_service[Profit],""),
               IF(tbl_main[[#This Row],[Qty]]="","",_xlpm.x*tbl_main[[#This Row],[Qty]]))</f>
        <v>450</v>
      </c>
    </row>
    <row r="799" spans="1:14" x14ac:dyDescent="0.25">
      <c r="A799" t="s">
        <v>841</v>
      </c>
      <c r="B799" s="1">
        <v>45921</v>
      </c>
      <c r="C799">
        <f>IF(tbl_main[[#This Row],[Date]]="","",YEAR(B799))</f>
        <v>2025</v>
      </c>
      <c r="D799" t="str">
        <f>IF(tbl_main[[#This Row],[Date]]="","",TEXT(B799,"mmm"))</f>
        <v>Sep</v>
      </c>
      <c r="E799" t="str">
        <f>IF(tbl_main[[#This Row],[Date]]="","",TEXT(B799,"DDD"))</f>
        <v>Sun</v>
      </c>
      <c r="F799" t="s">
        <v>30</v>
      </c>
      <c r="G799" t="s">
        <v>36</v>
      </c>
      <c r="H799" s="3" t="s">
        <v>34</v>
      </c>
      <c r="I799" s="3" t="s">
        <v>23</v>
      </c>
      <c r="J799" s="3" t="s">
        <v>25</v>
      </c>
      <c r="K799" s="3">
        <f>_xlfn.XLOOKUP(tbl_main[[#This Row],[Service]],tbl_service[Service],tbl_service[Price],"")</f>
        <v>100</v>
      </c>
      <c r="L799" s="3">
        <v>1</v>
      </c>
      <c r="M799" s="3">
        <f>IF(AND(tbl_main[[#This Row],[Price]]="",tbl_main[[#This Row],[Qty]]=""),"",tbl_main[[#This Row],[Price]]*tbl_main[[#This Row],[Qty]])</f>
        <v>100</v>
      </c>
      <c r="N799" s="3">
        <f>_xlfn.LET(_xlpm.x,_xlfn.XLOOKUP(tbl_main[[#This Row],[Service]],tbl_service[Service],tbl_service[Profit],""),
               IF(tbl_main[[#This Row],[Qty]]="","",_xlpm.x*tbl_main[[#This Row],[Qty]]))</f>
        <v>45</v>
      </c>
    </row>
    <row r="800" spans="1:14" x14ac:dyDescent="0.25">
      <c r="A800" t="s">
        <v>842</v>
      </c>
      <c r="B800" s="1">
        <v>45921</v>
      </c>
      <c r="C800">
        <f>IF(tbl_main[[#This Row],[Date]]="","",YEAR(B800))</f>
        <v>2025</v>
      </c>
      <c r="D800" t="str">
        <f>IF(tbl_main[[#This Row],[Date]]="","",TEXT(B800,"mmm"))</f>
        <v>Sep</v>
      </c>
      <c r="E800" t="str">
        <f>IF(tbl_main[[#This Row],[Date]]="","",TEXT(B800,"DDD"))</f>
        <v>Sun</v>
      </c>
      <c r="F800" t="s">
        <v>13</v>
      </c>
      <c r="G800" t="s">
        <v>33</v>
      </c>
      <c r="H800" s="3" t="s">
        <v>15</v>
      </c>
      <c r="I800" s="3" t="s">
        <v>37</v>
      </c>
      <c r="J800" s="3" t="s">
        <v>32</v>
      </c>
      <c r="K800" s="3">
        <f>_xlfn.XLOOKUP(tbl_main[[#This Row],[Service]],tbl_service[Service],tbl_service[Price],"")</f>
        <v>500</v>
      </c>
      <c r="L800" s="3">
        <v>2</v>
      </c>
      <c r="M800" s="3">
        <f>IF(AND(tbl_main[[#This Row],[Price]]="",tbl_main[[#This Row],[Qty]]=""),"",tbl_main[[#This Row],[Price]]*tbl_main[[#This Row],[Qty]])</f>
        <v>1000</v>
      </c>
      <c r="N800" s="3">
        <f>_xlfn.LET(_xlpm.x,_xlfn.XLOOKUP(tbl_main[[#This Row],[Service]],tbl_service[Service],tbl_service[Profit],""),
               IF(tbl_main[[#This Row],[Qty]]="","",_xlpm.x*tbl_main[[#This Row],[Qty]]))</f>
        <v>450</v>
      </c>
    </row>
    <row r="801" spans="1:14" x14ac:dyDescent="0.25">
      <c r="A801" t="s">
        <v>843</v>
      </c>
      <c r="B801" s="1">
        <v>45922</v>
      </c>
      <c r="C801">
        <f>IF(tbl_main[[#This Row],[Date]]="","",YEAR(B801))</f>
        <v>2025</v>
      </c>
      <c r="D801" t="str">
        <f>IF(tbl_main[[#This Row],[Date]]="","",TEXT(B801,"mmm"))</f>
        <v>Sep</v>
      </c>
      <c r="E801" t="str">
        <f>IF(tbl_main[[#This Row],[Date]]="","",TEXT(B801,"DDD"))</f>
        <v>Mon</v>
      </c>
      <c r="F801" t="s">
        <v>20</v>
      </c>
      <c r="G801" t="s">
        <v>29</v>
      </c>
      <c r="H801" s="3" t="s">
        <v>26</v>
      </c>
      <c r="I801" s="3" t="s">
        <v>38</v>
      </c>
      <c r="J801" s="3" t="s">
        <v>17</v>
      </c>
      <c r="K801" s="3">
        <f>_xlfn.XLOOKUP(tbl_main[[#This Row],[Service]],tbl_service[Service],tbl_service[Price],"")</f>
        <v>200</v>
      </c>
      <c r="L801" s="3">
        <v>2</v>
      </c>
      <c r="M801" s="3">
        <f>IF(AND(tbl_main[[#This Row],[Price]]="",tbl_main[[#This Row],[Qty]]=""),"",tbl_main[[#This Row],[Price]]*tbl_main[[#This Row],[Qty]])</f>
        <v>400</v>
      </c>
      <c r="N801" s="3">
        <f>_xlfn.LET(_xlpm.x,_xlfn.XLOOKUP(tbl_main[[#This Row],[Service]],tbl_service[Service],tbl_service[Profit],""),
               IF(tbl_main[[#This Row],[Qty]]="","",_xlpm.x*tbl_main[[#This Row],[Qty]]))</f>
        <v>180</v>
      </c>
    </row>
    <row r="802" spans="1:14" x14ac:dyDescent="0.25">
      <c r="A802" t="s">
        <v>844</v>
      </c>
      <c r="B802" s="1">
        <v>45922</v>
      </c>
      <c r="C802">
        <f>IF(tbl_main[[#This Row],[Date]]="","",YEAR(B802))</f>
        <v>2025</v>
      </c>
      <c r="D802" t="str">
        <f>IF(tbl_main[[#This Row],[Date]]="","",TEXT(B802,"mmm"))</f>
        <v>Sep</v>
      </c>
      <c r="E802" t="str">
        <f>IF(tbl_main[[#This Row],[Date]]="","",TEXT(B802,"DDD"))</f>
        <v>Mon</v>
      </c>
      <c r="F802" t="s">
        <v>13</v>
      </c>
      <c r="G802" t="s">
        <v>14</v>
      </c>
      <c r="H802" s="3" t="s">
        <v>18</v>
      </c>
      <c r="I802" s="3" t="s">
        <v>16</v>
      </c>
      <c r="J802" s="3" t="s">
        <v>17</v>
      </c>
      <c r="K802" s="3">
        <f>_xlfn.XLOOKUP(tbl_main[[#This Row],[Service]],tbl_service[Service],tbl_service[Price],"")</f>
        <v>500</v>
      </c>
      <c r="L802" s="3">
        <v>2</v>
      </c>
      <c r="M802" s="3">
        <f>IF(AND(tbl_main[[#This Row],[Price]]="",tbl_main[[#This Row],[Qty]]=""),"",tbl_main[[#This Row],[Price]]*tbl_main[[#This Row],[Qty]])</f>
        <v>1000</v>
      </c>
      <c r="N802" s="3">
        <f>_xlfn.LET(_xlpm.x,_xlfn.XLOOKUP(tbl_main[[#This Row],[Service]],tbl_service[Service],tbl_service[Profit],""),
               IF(tbl_main[[#This Row],[Qty]]="","",_xlpm.x*tbl_main[[#This Row],[Qty]]))</f>
        <v>314</v>
      </c>
    </row>
    <row r="803" spans="1:14" x14ac:dyDescent="0.25">
      <c r="A803" t="s">
        <v>845</v>
      </c>
      <c r="B803" s="1">
        <v>45923</v>
      </c>
      <c r="C803">
        <f>IF(tbl_main[[#This Row],[Date]]="","",YEAR(B803))</f>
        <v>2025</v>
      </c>
      <c r="D803" t="str">
        <f>IF(tbl_main[[#This Row],[Date]]="","",TEXT(B803,"mmm"))</f>
        <v>Sep</v>
      </c>
      <c r="E803" t="str">
        <f>IF(tbl_main[[#This Row],[Date]]="","",TEXT(B803,"DDD"))</f>
        <v>Tue</v>
      </c>
      <c r="F803" t="s">
        <v>20</v>
      </c>
      <c r="G803" t="s">
        <v>39</v>
      </c>
      <c r="H803" s="3" t="s">
        <v>15</v>
      </c>
      <c r="I803" s="3" t="s">
        <v>19</v>
      </c>
      <c r="J803" s="3" t="s">
        <v>25</v>
      </c>
      <c r="K803" s="3">
        <f>_xlfn.XLOOKUP(tbl_main[[#This Row],[Service]],tbl_service[Service],tbl_service[Price],"")</f>
        <v>500</v>
      </c>
      <c r="L803" s="3">
        <v>2</v>
      </c>
      <c r="M803" s="3">
        <f>IF(AND(tbl_main[[#This Row],[Price]]="",tbl_main[[#This Row],[Qty]]=""),"",tbl_main[[#This Row],[Price]]*tbl_main[[#This Row],[Qty]])</f>
        <v>1000</v>
      </c>
      <c r="N803" s="3">
        <f>_xlfn.LET(_xlpm.x,_xlfn.XLOOKUP(tbl_main[[#This Row],[Service]],tbl_service[Service],tbl_service[Profit],""),
               IF(tbl_main[[#This Row],[Qty]]="","",_xlpm.x*tbl_main[[#This Row],[Qty]]))</f>
        <v>450</v>
      </c>
    </row>
    <row r="804" spans="1:14" x14ac:dyDescent="0.25">
      <c r="A804" t="s">
        <v>846</v>
      </c>
      <c r="B804" s="1">
        <v>45923</v>
      </c>
      <c r="C804">
        <f>IF(tbl_main[[#This Row],[Date]]="","",YEAR(B804))</f>
        <v>2025</v>
      </c>
      <c r="D804" t="str">
        <f>IF(tbl_main[[#This Row],[Date]]="","",TEXT(B804,"mmm"))</f>
        <v>Sep</v>
      </c>
      <c r="E804" t="str">
        <f>IF(tbl_main[[#This Row],[Date]]="","",TEXT(B804,"DDD"))</f>
        <v>Tue</v>
      </c>
      <c r="F804" t="s">
        <v>13</v>
      </c>
      <c r="G804" t="s">
        <v>14</v>
      </c>
      <c r="H804" s="3" t="s">
        <v>26</v>
      </c>
      <c r="I804" s="3" t="s">
        <v>43</v>
      </c>
      <c r="J804" s="3" t="s">
        <v>17</v>
      </c>
      <c r="K804" s="3">
        <f>_xlfn.XLOOKUP(tbl_main[[#This Row],[Service]],tbl_service[Service],tbl_service[Price],"")</f>
        <v>200</v>
      </c>
      <c r="L804" s="3">
        <v>1</v>
      </c>
      <c r="M804" s="3">
        <f>IF(AND(tbl_main[[#This Row],[Price]]="",tbl_main[[#This Row],[Qty]]=""),"",tbl_main[[#This Row],[Price]]*tbl_main[[#This Row],[Qty]])</f>
        <v>200</v>
      </c>
      <c r="N804" s="3">
        <f>_xlfn.LET(_xlpm.x,_xlfn.XLOOKUP(tbl_main[[#This Row],[Service]],tbl_service[Service],tbl_service[Profit],""),
               IF(tbl_main[[#This Row],[Qty]]="","",_xlpm.x*tbl_main[[#This Row],[Qty]]))</f>
        <v>90</v>
      </c>
    </row>
    <row r="805" spans="1:14" x14ac:dyDescent="0.25">
      <c r="A805" t="s">
        <v>847</v>
      </c>
      <c r="B805" s="1">
        <v>45923</v>
      </c>
      <c r="C805">
        <f>IF(tbl_main[[#This Row],[Date]]="","",YEAR(B805))</f>
        <v>2025</v>
      </c>
      <c r="D805" t="str">
        <f>IF(tbl_main[[#This Row],[Date]]="","",TEXT(B805,"mmm"))</f>
        <v>Sep</v>
      </c>
      <c r="E805" t="str">
        <f>IF(tbl_main[[#This Row],[Date]]="","",TEXT(B805,"DDD"))</f>
        <v>Tue</v>
      </c>
      <c r="F805" t="s">
        <v>27</v>
      </c>
      <c r="G805" t="s">
        <v>28</v>
      </c>
      <c r="H805" s="3" t="s">
        <v>24</v>
      </c>
      <c r="I805" s="3" t="s">
        <v>41</v>
      </c>
      <c r="J805" s="3" t="s">
        <v>17</v>
      </c>
      <c r="K805" s="3">
        <f>_xlfn.XLOOKUP(tbl_main[[#This Row],[Service]],tbl_service[Service],tbl_service[Price],"")</f>
        <v>80</v>
      </c>
      <c r="L805" s="3">
        <v>2</v>
      </c>
      <c r="M805" s="3">
        <f>IF(AND(tbl_main[[#This Row],[Price]]="",tbl_main[[#This Row],[Qty]]=""),"",tbl_main[[#This Row],[Price]]*tbl_main[[#This Row],[Qty]])</f>
        <v>160</v>
      </c>
      <c r="N805" s="3">
        <f>_xlfn.LET(_xlpm.x,_xlfn.XLOOKUP(tbl_main[[#This Row],[Service]],tbl_service[Service],tbl_service[Profit],""),
               IF(tbl_main[[#This Row],[Qty]]="","",_xlpm.x*tbl_main[[#This Row],[Qty]]))</f>
        <v>72</v>
      </c>
    </row>
    <row r="806" spans="1:14" x14ac:dyDescent="0.25">
      <c r="A806" t="s">
        <v>848</v>
      </c>
      <c r="B806" s="1">
        <v>45923</v>
      </c>
      <c r="C806">
        <f>IF(tbl_main[[#This Row],[Date]]="","",YEAR(B806))</f>
        <v>2025</v>
      </c>
      <c r="D806" t="str">
        <f>IF(tbl_main[[#This Row],[Date]]="","",TEXT(B806,"mmm"))</f>
        <v>Sep</v>
      </c>
      <c r="E806" t="str">
        <f>IF(tbl_main[[#This Row],[Date]]="","",TEXT(B806,"DDD"))</f>
        <v>Tue</v>
      </c>
      <c r="F806" t="s">
        <v>30</v>
      </c>
      <c r="G806" t="s">
        <v>36</v>
      </c>
      <c r="H806" s="3" t="s">
        <v>34</v>
      </c>
      <c r="I806" s="3" t="s">
        <v>41</v>
      </c>
      <c r="J806" s="3" t="s">
        <v>32</v>
      </c>
      <c r="K806" s="3">
        <f>_xlfn.XLOOKUP(tbl_main[[#This Row],[Service]],tbl_service[Service],tbl_service[Price],"")</f>
        <v>100</v>
      </c>
      <c r="L806" s="3">
        <v>1</v>
      </c>
      <c r="M806" s="3">
        <f>IF(AND(tbl_main[[#This Row],[Price]]="",tbl_main[[#This Row],[Qty]]=""),"",tbl_main[[#This Row],[Price]]*tbl_main[[#This Row],[Qty]])</f>
        <v>100</v>
      </c>
      <c r="N806" s="3">
        <f>_xlfn.LET(_xlpm.x,_xlfn.XLOOKUP(tbl_main[[#This Row],[Service]],tbl_service[Service],tbl_service[Profit],""),
               IF(tbl_main[[#This Row],[Qty]]="","",_xlpm.x*tbl_main[[#This Row],[Qty]]))</f>
        <v>45</v>
      </c>
    </row>
    <row r="807" spans="1:14" x14ac:dyDescent="0.25">
      <c r="A807" t="s">
        <v>849</v>
      </c>
      <c r="B807" s="1">
        <v>45924</v>
      </c>
      <c r="C807">
        <f>IF(tbl_main[[#This Row],[Date]]="","",YEAR(B807))</f>
        <v>2025</v>
      </c>
      <c r="D807" t="str">
        <f>IF(tbl_main[[#This Row],[Date]]="","",TEXT(B807,"mmm"))</f>
        <v>Sep</v>
      </c>
      <c r="E807" t="str">
        <f>IF(tbl_main[[#This Row],[Date]]="","",TEXT(B807,"DDD"))</f>
        <v>Wed</v>
      </c>
      <c r="F807" t="s">
        <v>27</v>
      </c>
      <c r="G807" t="s">
        <v>28</v>
      </c>
      <c r="H807" s="3" t="s">
        <v>26</v>
      </c>
      <c r="I807" s="3" t="s">
        <v>35</v>
      </c>
      <c r="J807" s="3" t="s">
        <v>17</v>
      </c>
      <c r="K807" s="3">
        <f>_xlfn.XLOOKUP(tbl_main[[#This Row],[Service]],tbl_service[Service],tbl_service[Price],"")</f>
        <v>200</v>
      </c>
      <c r="L807" s="3">
        <v>1</v>
      </c>
      <c r="M807" s="3">
        <f>IF(AND(tbl_main[[#This Row],[Price]]="",tbl_main[[#This Row],[Qty]]=""),"",tbl_main[[#This Row],[Price]]*tbl_main[[#This Row],[Qty]])</f>
        <v>200</v>
      </c>
      <c r="N807" s="3">
        <f>_xlfn.LET(_xlpm.x,_xlfn.XLOOKUP(tbl_main[[#This Row],[Service]],tbl_service[Service],tbl_service[Profit],""),
               IF(tbl_main[[#This Row],[Qty]]="","",_xlpm.x*tbl_main[[#This Row],[Qty]]))</f>
        <v>90</v>
      </c>
    </row>
    <row r="808" spans="1:14" x14ac:dyDescent="0.25">
      <c r="A808" t="s">
        <v>850</v>
      </c>
      <c r="B808" s="1">
        <v>45924</v>
      </c>
      <c r="C808">
        <f>IF(tbl_main[[#This Row],[Date]]="","",YEAR(B808))</f>
        <v>2025</v>
      </c>
      <c r="D808" t="str">
        <f>IF(tbl_main[[#This Row],[Date]]="","",TEXT(B808,"mmm"))</f>
        <v>Sep</v>
      </c>
      <c r="E808" t="str">
        <f>IF(tbl_main[[#This Row],[Date]]="","",TEXT(B808,"DDD"))</f>
        <v>Wed</v>
      </c>
      <c r="F808" t="s">
        <v>20</v>
      </c>
      <c r="G808" t="s">
        <v>39</v>
      </c>
      <c r="H808" s="3" t="s">
        <v>26</v>
      </c>
      <c r="I808" s="3" t="s">
        <v>35</v>
      </c>
      <c r="J808" s="3" t="s">
        <v>25</v>
      </c>
      <c r="K808" s="3">
        <f>_xlfn.XLOOKUP(tbl_main[[#This Row],[Service]],tbl_service[Service],tbl_service[Price],"")</f>
        <v>200</v>
      </c>
      <c r="L808" s="3">
        <v>2</v>
      </c>
      <c r="M808" s="3">
        <f>IF(AND(tbl_main[[#This Row],[Price]]="",tbl_main[[#This Row],[Qty]]=""),"",tbl_main[[#This Row],[Price]]*tbl_main[[#This Row],[Qty]])</f>
        <v>400</v>
      </c>
      <c r="N808" s="3">
        <f>_xlfn.LET(_xlpm.x,_xlfn.XLOOKUP(tbl_main[[#This Row],[Service]],tbl_service[Service],tbl_service[Profit],""),
               IF(tbl_main[[#This Row],[Qty]]="","",_xlpm.x*tbl_main[[#This Row],[Qty]]))</f>
        <v>180</v>
      </c>
    </row>
    <row r="809" spans="1:14" x14ac:dyDescent="0.25">
      <c r="A809" t="s">
        <v>851</v>
      </c>
      <c r="B809" s="1">
        <v>45924</v>
      </c>
      <c r="C809">
        <f>IF(tbl_main[[#This Row],[Date]]="","",YEAR(B809))</f>
        <v>2025</v>
      </c>
      <c r="D809" t="str">
        <f>IF(tbl_main[[#This Row],[Date]]="","",TEXT(B809,"mmm"))</f>
        <v>Sep</v>
      </c>
      <c r="E809" t="str">
        <f>IF(tbl_main[[#This Row],[Date]]="","",TEXT(B809,"DDD"))</f>
        <v>Wed</v>
      </c>
      <c r="F809" t="s">
        <v>30</v>
      </c>
      <c r="G809" t="s">
        <v>31</v>
      </c>
      <c r="H809" s="3" t="s">
        <v>15</v>
      </c>
      <c r="I809" s="3" t="s">
        <v>23</v>
      </c>
      <c r="J809" s="3" t="s">
        <v>32</v>
      </c>
      <c r="K809" s="3">
        <f>_xlfn.XLOOKUP(tbl_main[[#This Row],[Service]],tbl_service[Service],tbl_service[Price],"")</f>
        <v>500</v>
      </c>
      <c r="L809" s="3">
        <v>1</v>
      </c>
      <c r="M809" s="3">
        <f>IF(AND(tbl_main[[#This Row],[Price]]="",tbl_main[[#This Row],[Qty]]=""),"",tbl_main[[#This Row],[Price]]*tbl_main[[#This Row],[Qty]])</f>
        <v>500</v>
      </c>
      <c r="N809" s="3">
        <f>_xlfn.LET(_xlpm.x,_xlfn.XLOOKUP(tbl_main[[#This Row],[Service]],tbl_service[Service],tbl_service[Profit],""),
               IF(tbl_main[[#This Row],[Qty]]="","",_xlpm.x*tbl_main[[#This Row],[Qty]]))</f>
        <v>225</v>
      </c>
    </row>
    <row r="810" spans="1:14" x14ac:dyDescent="0.25">
      <c r="A810" t="s">
        <v>852</v>
      </c>
      <c r="B810" s="1">
        <v>45924</v>
      </c>
      <c r="C810">
        <f>IF(tbl_main[[#This Row],[Date]]="","",YEAR(B810))</f>
        <v>2025</v>
      </c>
      <c r="D810" t="str">
        <f>IF(tbl_main[[#This Row],[Date]]="","",TEXT(B810,"mmm"))</f>
        <v>Sep</v>
      </c>
      <c r="E810" t="str">
        <f>IF(tbl_main[[#This Row],[Date]]="","",TEXT(B810,"DDD"))</f>
        <v>Wed</v>
      </c>
      <c r="F810" t="s">
        <v>13</v>
      </c>
      <c r="G810" t="s">
        <v>14</v>
      </c>
      <c r="H810" s="3" t="s">
        <v>18</v>
      </c>
      <c r="I810" s="3" t="s">
        <v>37</v>
      </c>
      <c r="J810" s="3" t="s">
        <v>25</v>
      </c>
      <c r="K810" s="3">
        <f>_xlfn.XLOOKUP(tbl_main[[#This Row],[Service]],tbl_service[Service],tbl_service[Price],"")</f>
        <v>500</v>
      </c>
      <c r="L810" s="3">
        <v>2</v>
      </c>
      <c r="M810" s="3">
        <f>IF(AND(tbl_main[[#This Row],[Price]]="",tbl_main[[#This Row],[Qty]]=""),"",tbl_main[[#This Row],[Price]]*tbl_main[[#This Row],[Qty]])</f>
        <v>1000</v>
      </c>
      <c r="N810" s="3">
        <f>_xlfn.LET(_xlpm.x,_xlfn.XLOOKUP(tbl_main[[#This Row],[Service]],tbl_service[Service],tbl_service[Profit],""),
               IF(tbl_main[[#This Row],[Qty]]="","",_xlpm.x*tbl_main[[#This Row],[Qty]]))</f>
        <v>314</v>
      </c>
    </row>
    <row r="811" spans="1:14" x14ac:dyDescent="0.25">
      <c r="A811" t="s">
        <v>853</v>
      </c>
      <c r="B811" s="1">
        <v>45925</v>
      </c>
      <c r="C811">
        <f>IF(tbl_main[[#This Row],[Date]]="","",YEAR(B811))</f>
        <v>2025</v>
      </c>
      <c r="D811" t="str">
        <f>IF(tbl_main[[#This Row],[Date]]="","",TEXT(B811,"mmm"))</f>
        <v>Sep</v>
      </c>
      <c r="E811" t="str">
        <f>IF(tbl_main[[#This Row],[Date]]="","",TEXT(B811,"DDD"))</f>
        <v>Thu</v>
      </c>
      <c r="F811" t="s">
        <v>20</v>
      </c>
      <c r="G811" t="s">
        <v>29</v>
      </c>
      <c r="H811" s="3" t="s">
        <v>15</v>
      </c>
      <c r="I811" s="3" t="s">
        <v>38</v>
      </c>
      <c r="J811" s="3" t="s">
        <v>25</v>
      </c>
      <c r="K811" s="3">
        <f>_xlfn.XLOOKUP(tbl_main[[#This Row],[Service]],tbl_service[Service],tbl_service[Price],"")</f>
        <v>500</v>
      </c>
      <c r="L811" s="3">
        <v>1</v>
      </c>
      <c r="M811" s="3">
        <f>IF(AND(tbl_main[[#This Row],[Price]]="",tbl_main[[#This Row],[Qty]]=""),"",tbl_main[[#This Row],[Price]]*tbl_main[[#This Row],[Qty]])</f>
        <v>500</v>
      </c>
      <c r="N811" s="3">
        <f>_xlfn.LET(_xlpm.x,_xlfn.XLOOKUP(tbl_main[[#This Row],[Service]],tbl_service[Service],tbl_service[Profit],""),
               IF(tbl_main[[#This Row],[Qty]]="","",_xlpm.x*tbl_main[[#This Row],[Qty]]))</f>
        <v>225</v>
      </c>
    </row>
    <row r="812" spans="1:14" x14ac:dyDescent="0.25">
      <c r="A812" t="s">
        <v>854</v>
      </c>
      <c r="B812" s="1">
        <v>45925</v>
      </c>
      <c r="C812">
        <f>IF(tbl_main[[#This Row],[Date]]="","",YEAR(B812))</f>
        <v>2025</v>
      </c>
      <c r="D812" t="str">
        <f>IF(tbl_main[[#This Row],[Date]]="","",TEXT(B812,"mmm"))</f>
        <v>Sep</v>
      </c>
      <c r="E812" t="str">
        <f>IF(tbl_main[[#This Row],[Date]]="","",TEXT(B812,"DDD"))</f>
        <v>Thu</v>
      </c>
      <c r="F812" t="s">
        <v>30</v>
      </c>
      <c r="G812" t="s">
        <v>31</v>
      </c>
      <c r="H812" s="3" t="s">
        <v>15</v>
      </c>
      <c r="I812" s="3" t="s">
        <v>16</v>
      </c>
      <c r="J812" s="3" t="s">
        <v>25</v>
      </c>
      <c r="K812" s="3">
        <f>_xlfn.XLOOKUP(tbl_main[[#This Row],[Service]],tbl_service[Service],tbl_service[Price],"")</f>
        <v>500</v>
      </c>
      <c r="L812" s="3">
        <v>1</v>
      </c>
      <c r="M812" s="3">
        <f>IF(AND(tbl_main[[#This Row],[Price]]="",tbl_main[[#This Row],[Qty]]=""),"",tbl_main[[#This Row],[Price]]*tbl_main[[#This Row],[Qty]])</f>
        <v>500</v>
      </c>
      <c r="N812" s="3">
        <f>_xlfn.LET(_xlpm.x,_xlfn.XLOOKUP(tbl_main[[#This Row],[Service]],tbl_service[Service],tbl_service[Profit],""),
               IF(tbl_main[[#This Row],[Qty]]="","",_xlpm.x*tbl_main[[#This Row],[Qty]]))</f>
        <v>225</v>
      </c>
    </row>
    <row r="813" spans="1:14" x14ac:dyDescent="0.25">
      <c r="A813" t="s">
        <v>855</v>
      </c>
      <c r="B813" s="1">
        <v>45925</v>
      </c>
      <c r="C813">
        <f>IF(tbl_main[[#This Row],[Date]]="","",YEAR(B813))</f>
        <v>2025</v>
      </c>
      <c r="D813" t="str">
        <f>IF(tbl_main[[#This Row],[Date]]="","",TEXT(B813,"mmm"))</f>
        <v>Sep</v>
      </c>
      <c r="E813" t="str">
        <f>IF(tbl_main[[#This Row],[Date]]="","",TEXT(B813,"DDD"))</f>
        <v>Thu</v>
      </c>
      <c r="F813" t="s">
        <v>27</v>
      </c>
      <c r="G813" t="s">
        <v>28</v>
      </c>
      <c r="H813" s="3" t="s">
        <v>22</v>
      </c>
      <c r="I813" s="3" t="s">
        <v>19</v>
      </c>
      <c r="J813" s="3" t="s">
        <v>32</v>
      </c>
      <c r="K813" s="3">
        <f>_xlfn.XLOOKUP(tbl_main[[#This Row],[Service]],tbl_service[Service],tbl_service[Price],"")</f>
        <v>150</v>
      </c>
      <c r="L813" s="3">
        <v>1</v>
      </c>
      <c r="M813" s="3">
        <f>IF(AND(tbl_main[[#This Row],[Price]]="",tbl_main[[#This Row],[Qty]]=""),"",tbl_main[[#This Row],[Price]]*tbl_main[[#This Row],[Qty]])</f>
        <v>150</v>
      </c>
      <c r="N813" s="3">
        <f>_xlfn.LET(_xlpm.x,_xlfn.XLOOKUP(tbl_main[[#This Row],[Service]],tbl_service[Service],tbl_service[Profit],""),
               IF(tbl_main[[#This Row],[Qty]]="","",_xlpm.x*tbl_main[[#This Row],[Qty]]))</f>
        <v>67</v>
      </c>
    </row>
    <row r="814" spans="1:14" x14ac:dyDescent="0.25">
      <c r="A814" t="s">
        <v>856</v>
      </c>
      <c r="B814" s="1">
        <v>45926</v>
      </c>
      <c r="C814">
        <f>IF(tbl_main[[#This Row],[Date]]="","",YEAR(B814))</f>
        <v>2025</v>
      </c>
      <c r="D814" t="str">
        <f>IF(tbl_main[[#This Row],[Date]]="","",TEXT(B814,"mmm"))</f>
        <v>Sep</v>
      </c>
      <c r="E814" t="str">
        <f>IF(tbl_main[[#This Row],[Date]]="","",TEXT(B814,"DDD"))</f>
        <v>Fri</v>
      </c>
      <c r="F814" t="s">
        <v>27</v>
      </c>
      <c r="G814" t="s">
        <v>28</v>
      </c>
      <c r="H814" s="3" t="s">
        <v>24</v>
      </c>
      <c r="I814" s="3" t="s">
        <v>43</v>
      </c>
      <c r="J814" s="3" t="s">
        <v>25</v>
      </c>
      <c r="K814" s="3">
        <f>_xlfn.XLOOKUP(tbl_main[[#This Row],[Service]],tbl_service[Service],tbl_service[Price],"")</f>
        <v>80</v>
      </c>
      <c r="L814" s="3">
        <v>2</v>
      </c>
      <c r="M814" s="3">
        <f>IF(AND(tbl_main[[#This Row],[Price]]="",tbl_main[[#This Row],[Qty]]=""),"",tbl_main[[#This Row],[Price]]*tbl_main[[#This Row],[Qty]])</f>
        <v>160</v>
      </c>
      <c r="N814" s="3">
        <f>_xlfn.LET(_xlpm.x,_xlfn.XLOOKUP(tbl_main[[#This Row],[Service]],tbl_service[Service],tbl_service[Profit],""),
               IF(tbl_main[[#This Row],[Qty]]="","",_xlpm.x*tbl_main[[#This Row],[Qty]]))</f>
        <v>72</v>
      </c>
    </row>
    <row r="815" spans="1:14" x14ac:dyDescent="0.25">
      <c r="A815" t="s">
        <v>857</v>
      </c>
      <c r="B815" s="1">
        <v>45926</v>
      </c>
      <c r="C815">
        <f>IF(tbl_main[[#This Row],[Date]]="","",YEAR(B815))</f>
        <v>2025</v>
      </c>
      <c r="D815" t="str">
        <f>IF(tbl_main[[#This Row],[Date]]="","",TEXT(B815,"mmm"))</f>
        <v>Sep</v>
      </c>
      <c r="E815" t="str">
        <f>IF(tbl_main[[#This Row],[Date]]="","",TEXT(B815,"DDD"))</f>
        <v>Fri</v>
      </c>
      <c r="F815" t="s">
        <v>13</v>
      </c>
      <c r="G815" t="s">
        <v>33</v>
      </c>
      <c r="H815" s="3" t="s">
        <v>24</v>
      </c>
      <c r="I815" s="3" t="s">
        <v>41</v>
      </c>
      <c r="J815" s="3" t="s">
        <v>32</v>
      </c>
      <c r="K815" s="3">
        <f>_xlfn.XLOOKUP(tbl_main[[#This Row],[Service]],tbl_service[Service],tbl_service[Price],"")</f>
        <v>80</v>
      </c>
      <c r="L815" s="3">
        <v>1</v>
      </c>
      <c r="M815" s="3">
        <f>IF(AND(tbl_main[[#This Row],[Price]]="",tbl_main[[#This Row],[Qty]]=""),"",tbl_main[[#This Row],[Price]]*tbl_main[[#This Row],[Qty]])</f>
        <v>80</v>
      </c>
      <c r="N815" s="3">
        <f>_xlfn.LET(_xlpm.x,_xlfn.XLOOKUP(tbl_main[[#This Row],[Service]],tbl_service[Service],tbl_service[Profit],""),
               IF(tbl_main[[#This Row],[Qty]]="","",_xlpm.x*tbl_main[[#This Row],[Qty]]))</f>
        <v>36</v>
      </c>
    </row>
    <row r="816" spans="1:14" x14ac:dyDescent="0.25">
      <c r="A816" t="s">
        <v>858</v>
      </c>
      <c r="B816" s="1">
        <v>45927</v>
      </c>
      <c r="C816">
        <f>IF(tbl_main[[#This Row],[Date]]="","",YEAR(B816))</f>
        <v>2025</v>
      </c>
      <c r="D816" t="str">
        <f>IF(tbl_main[[#This Row],[Date]]="","",TEXT(B816,"mmm"))</f>
        <v>Sep</v>
      </c>
      <c r="E816" t="str">
        <f>IF(tbl_main[[#This Row],[Date]]="","",TEXT(B816,"DDD"))</f>
        <v>Sat</v>
      </c>
      <c r="F816" t="s">
        <v>20</v>
      </c>
      <c r="G816" t="s">
        <v>29</v>
      </c>
      <c r="H816" s="3" t="s">
        <v>24</v>
      </c>
      <c r="I816" s="3" t="s">
        <v>41</v>
      </c>
      <c r="J816" s="3" t="s">
        <v>32</v>
      </c>
      <c r="K816" s="3">
        <f>_xlfn.XLOOKUP(tbl_main[[#This Row],[Service]],tbl_service[Service],tbl_service[Price],"")</f>
        <v>80</v>
      </c>
      <c r="L816" s="3">
        <v>1</v>
      </c>
      <c r="M816" s="3">
        <f>IF(AND(tbl_main[[#This Row],[Price]]="",tbl_main[[#This Row],[Qty]]=""),"",tbl_main[[#This Row],[Price]]*tbl_main[[#This Row],[Qty]])</f>
        <v>80</v>
      </c>
      <c r="N816" s="3">
        <f>_xlfn.LET(_xlpm.x,_xlfn.XLOOKUP(tbl_main[[#This Row],[Service]],tbl_service[Service],tbl_service[Profit],""),
               IF(tbl_main[[#This Row],[Qty]]="","",_xlpm.x*tbl_main[[#This Row],[Qty]]))</f>
        <v>36</v>
      </c>
    </row>
    <row r="817" spans="1:14" x14ac:dyDescent="0.25">
      <c r="A817" t="s">
        <v>859</v>
      </c>
      <c r="B817" s="1">
        <v>45927</v>
      </c>
      <c r="C817">
        <f>IF(tbl_main[[#This Row],[Date]]="","",YEAR(B817))</f>
        <v>2025</v>
      </c>
      <c r="D817" t="str">
        <f>IF(tbl_main[[#This Row],[Date]]="","",TEXT(B817,"mmm"))</f>
        <v>Sep</v>
      </c>
      <c r="E817" t="str">
        <f>IF(tbl_main[[#This Row],[Date]]="","",TEXT(B817,"DDD"))</f>
        <v>Sat</v>
      </c>
      <c r="F817" t="s">
        <v>30</v>
      </c>
      <c r="G817" t="s">
        <v>31</v>
      </c>
      <c r="H817" s="3" t="s">
        <v>24</v>
      </c>
      <c r="I817" s="3" t="s">
        <v>35</v>
      </c>
      <c r="J817" s="3" t="s">
        <v>17</v>
      </c>
      <c r="K817" s="3">
        <f>_xlfn.XLOOKUP(tbl_main[[#This Row],[Service]],tbl_service[Service],tbl_service[Price],"")</f>
        <v>80</v>
      </c>
      <c r="L817" s="3">
        <v>2</v>
      </c>
      <c r="M817" s="3">
        <f>IF(AND(tbl_main[[#This Row],[Price]]="",tbl_main[[#This Row],[Qty]]=""),"",tbl_main[[#This Row],[Price]]*tbl_main[[#This Row],[Qty]])</f>
        <v>160</v>
      </c>
      <c r="N817" s="3">
        <f>_xlfn.LET(_xlpm.x,_xlfn.XLOOKUP(tbl_main[[#This Row],[Service]],tbl_service[Service],tbl_service[Profit],""),
               IF(tbl_main[[#This Row],[Qty]]="","",_xlpm.x*tbl_main[[#This Row],[Qty]]))</f>
        <v>72</v>
      </c>
    </row>
    <row r="818" spans="1:14" x14ac:dyDescent="0.25">
      <c r="A818" t="s">
        <v>860</v>
      </c>
      <c r="B818" s="1">
        <v>45927</v>
      </c>
      <c r="C818">
        <f>IF(tbl_main[[#This Row],[Date]]="","",YEAR(B818))</f>
        <v>2025</v>
      </c>
      <c r="D818" t="str">
        <f>IF(tbl_main[[#This Row],[Date]]="","",TEXT(B818,"mmm"))</f>
        <v>Sep</v>
      </c>
      <c r="E818" t="str">
        <f>IF(tbl_main[[#This Row],[Date]]="","",TEXT(B818,"DDD"))</f>
        <v>Sat</v>
      </c>
      <c r="F818" t="s">
        <v>30</v>
      </c>
      <c r="G818" t="s">
        <v>36</v>
      </c>
      <c r="H818" s="3" t="s">
        <v>34</v>
      </c>
      <c r="I818" s="3" t="s">
        <v>35</v>
      </c>
      <c r="J818" s="3" t="s">
        <v>17</v>
      </c>
      <c r="K818" s="3">
        <f>_xlfn.XLOOKUP(tbl_main[[#This Row],[Service]],tbl_service[Service],tbl_service[Price],"")</f>
        <v>100</v>
      </c>
      <c r="L818" s="3">
        <v>2</v>
      </c>
      <c r="M818" s="3">
        <f>IF(AND(tbl_main[[#This Row],[Price]]="",tbl_main[[#This Row],[Qty]]=""),"",tbl_main[[#This Row],[Price]]*tbl_main[[#This Row],[Qty]])</f>
        <v>200</v>
      </c>
      <c r="N818" s="3">
        <f>_xlfn.LET(_xlpm.x,_xlfn.XLOOKUP(tbl_main[[#This Row],[Service]],tbl_service[Service],tbl_service[Profit],""),
               IF(tbl_main[[#This Row],[Qty]]="","",_xlpm.x*tbl_main[[#This Row],[Qty]]))</f>
        <v>90</v>
      </c>
    </row>
    <row r="819" spans="1:14" x14ac:dyDescent="0.25">
      <c r="A819" t="s">
        <v>861</v>
      </c>
      <c r="B819" s="1">
        <v>45927</v>
      </c>
      <c r="C819">
        <f>IF(tbl_main[[#This Row],[Date]]="","",YEAR(B819))</f>
        <v>2025</v>
      </c>
      <c r="D819" t="str">
        <f>IF(tbl_main[[#This Row],[Date]]="","",TEXT(B819,"mmm"))</f>
        <v>Sep</v>
      </c>
      <c r="E819" t="str">
        <f>IF(tbl_main[[#This Row],[Date]]="","",TEXT(B819,"DDD"))</f>
        <v>Sat</v>
      </c>
      <c r="F819" t="s">
        <v>20</v>
      </c>
      <c r="G819" t="s">
        <v>29</v>
      </c>
      <c r="H819" s="3" t="s">
        <v>22</v>
      </c>
      <c r="I819" s="3" t="s">
        <v>23</v>
      </c>
      <c r="J819" s="3" t="s">
        <v>32</v>
      </c>
      <c r="K819" s="3">
        <f>_xlfn.XLOOKUP(tbl_main[[#This Row],[Service]],tbl_service[Service],tbl_service[Price],"")</f>
        <v>150</v>
      </c>
      <c r="L819" s="3">
        <v>2</v>
      </c>
      <c r="M819" s="3">
        <f>IF(AND(tbl_main[[#This Row],[Price]]="",tbl_main[[#This Row],[Qty]]=""),"",tbl_main[[#This Row],[Price]]*tbl_main[[#This Row],[Qty]])</f>
        <v>300</v>
      </c>
      <c r="N819" s="3">
        <f>_xlfn.LET(_xlpm.x,_xlfn.XLOOKUP(tbl_main[[#This Row],[Service]],tbl_service[Service],tbl_service[Profit],""),
               IF(tbl_main[[#This Row],[Qty]]="","",_xlpm.x*tbl_main[[#This Row],[Qty]]))</f>
        <v>134</v>
      </c>
    </row>
    <row r="820" spans="1:14" x14ac:dyDescent="0.25">
      <c r="A820" t="s">
        <v>862</v>
      </c>
      <c r="B820" s="1">
        <v>45928</v>
      </c>
      <c r="C820">
        <f>IF(tbl_main[[#This Row],[Date]]="","",YEAR(B820))</f>
        <v>2025</v>
      </c>
      <c r="D820" t="str">
        <f>IF(tbl_main[[#This Row],[Date]]="","",TEXT(B820,"mmm"))</f>
        <v>Sep</v>
      </c>
      <c r="E820" t="str">
        <f>IF(tbl_main[[#This Row],[Date]]="","",TEXT(B820,"DDD"))</f>
        <v>Sun</v>
      </c>
      <c r="F820" t="s">
        <v>27</v>
      </c>
      <c r="G820" t="s">
        <v>40</v>
      </c>
      <c r="H820" s="3" t="s">
        <v>34</v>
      </c>
      <c r="I820" s="3" t="s">
        <v>37</v>
      </c>
      <c r="J820" s="3" t="s">
        <v>17</v>
      </c>
      <c r="K820" s="3">
        <f>_xlfn.XLOOKUP(tbl_main[[#This Row],[Service]],tbl_service[Service],tbl_service[Price],"")</f>
        <v>100</v>
      </c>
      <c r="L820" s="3">
        <v>2</v>
      </c>
      <c r="M820" s="3">
        <f>IF(AND(tbl_main[[#This Row],[Price]]="",tbl_main[[#This Row],[Qty]]=""),"",tbl_main[[#This Row],[Price]]*tbl_main[[#This Row],[Qty]])</f>
        <v>200</v>
      </c>
      <c r="N820" s="3">
        <f>_xlfn.LET(_xlpm.x,_xlfn.XLOOKUP(tbl_main[[#This Row],[Service]],tbl_service[Service],tbl_service[Profit],""),
               IF(tbl_main[[#This Row],[Qty]]="","",_xlpm.x*tbl_main[[#This Row],[Qty]]))</f>
        <v>90</v>
      </c>
    </row>
    <row r="821" spans="1:14" x14ac:dyDescent="0.25">
      <c r="A821" t="s">
        <v>863</v>
      </c>
      <c r="B821" s="1">
        <v>45928</v>
      </c>
      <c r="C821">
        <f>IF(tbl_main[[#This Row],[Date]]="","",YEAR(B821))</f>
        <v>2025</v>
      </c>
      <c r="D821" t="str">
        <f>IF(tbl_main[[#This Row],[Date]]="","",TEXT(B821,"mmm"))</f>
        <v>Sep</v>
      </c>
      <c r="E821" t="str">
        <f>IF(tbl_main[[#This Row],[Date]]="","",TEXT(B821,"DDD"))</f>
        <v>Sun</v>
      </c>
      <c r="F821" t="s">
        <v>13</v>
      </c>
      <c r="G821" t="s">
        <v>14</v>
      </c>
      <c r="H821" s="3" t="s">
        <v>34</v>
      </c>
      <c r="I821" s="3" t="s">
        <v>38</v>
      </c>
      <c r="J821" s="3" t="s">
        <v>25</v>
      </c>
      <c r="K821" s="3">
        <f>_xlfn.XLOOKUP(tbl_main[[#This Row],[Service]],tbl_service[Service],tbl_service[Price],"")</f>
        <v>100</v>
      </c>
      <c r="L821" s="3">
        <v>1</v>
      </c>
      <c r="M821" s="3">
        <f>IF(AND(tbl_main[[#This Row],[Price]]="",tbl_main[[#This Row],[Qty]]=""),"",tbl_main[[#This Row],[Price]]*tbl_main[[#This Row],[Qty]])</f>
        <v>100</v>
      </c>
      <c r="N821" s="3">
        <f>_xlfn.LET(_xlpm.x,_xlfn.XLOOKUP(tbl_main[[#This Row],[Service]],tbl_service[Service],tbl_service[Profit],""),
               IF(tbl_main[[#This Row],[Qty]]="","",_xlpm.x*tbl_main[[#This Row],[Qty]]))</f>
        <v>45</v>
      </c>
    </row>
    <row r="822" spans="1:14" x14ac:dyDescent="0.25">
      <c r="A822" t="s">
        <v>864</v>
      </c>
      <c r="B822" s="1">
        <v>45928</v>
      </c>
      <c r="C822">
        <f>IF(tbl_main[[#This Row],[Date]]="","",YEAR(B822))</f>
        <v>2025</v>
      </c>
      <c r="D822" t="str">
        <f>IF(tbl_main[[#This Row],[Date]]="","",TEXT(B822,"mmm"))</f>
        <v>Sep</v>
      </c>
      <c r="E822" t="str">
        <f>IF(tbl_main[[#This Row],[Date]]="","",TEXT(B822,"DDD"))</f>
        <v>Sun</v>
      </c>
      <c r="F822" t="s">
        <v>20</v>
      </c>
      <c r="G822" t="s">
        <v>29</v>
      </c>
      <c r="H822" s="3" t="s">
        <v>22</v>
      </c>
      <c r="I822" s="3" t="s">
        <v>16</v>
      </c>
      <c r="J822" s="3" t="s">
        <v>32</v>
      </c>
      <c r="K822" s="3">
        <f>_xlfn.XLOOKUP(tbl_main[[#This Row],[Service]],tbl_service[Service],tbl_service[Price],"")</f>
        <v>150</v>
      </c>
      <c r="L822" s="3">
        <v>2</v>
      </c>
      <c r="M822" s="3">
        <f>IF(AND(tbl_main[[#This Row],[Price]]="",tbl_main[[#This Row],[Qty]]=""),"",tbl_main[[#This Row],[Price]]*tbl_main[[#This Row],[Qty]])</f>
        <v>300</v>
      </c>
      <c r="N822" s="3">
        <f>_xlfn.LET(_xlpm.x,_xlfn.XLOOKUP(tbl_main[[#This Row],[Service]],tbl_service[Service],tbl_service[Profit],""),
               IF(tbl_main[[#This Row],[Qty]]="","",_xlpm.x*tbl_main[[#This Row],[Qty]]))</f>
        <v>134</v>
      </c>
    </row>
    <row r="823" spans="1:14" x14ac:dyDescent="0.25">
      <c r="A823" t="s">
        <v>865</v>
      </c>
      <c r="B823" s="1">
        <v>45928</v>
      </c>
      <c r="C823">
        <f>IF(tbl_main[[#This Row],[Date]]="","",YEAR(B823))</f>
        <v>2025</v>
      </c>
      <c r="D823" t="str">
        <f>IF(tbl_main[[#This Row],[Date]]="","",TEXT(B823,"mmm"))</f>
        <v>Sep</v>
      </c>
      <c r="E823" t="str">
        <f>IF(tbl_main[[#This Row],[Date]]="","",TEXT(B823,"DDD"))</f>
        <v>Sun</v>
      </c>
      <c r="F823" t="s">
        <v>30</v>
      </c>
      <c r="G823" t="s">
        <v>36</v>
      </c>
      <c r="H823" s="3" t="s">
        <v>26</v>
      </c>
      <c r="I823" s="3" t="s">
        <v>19</v>
      </c>
      <c r="J823" s="3" t="s">
        <v>32</v>
      </c>
      <c r="K823" s="3">
        <f>_xlfn.XLOOKUP(tbl_main[[#This Row],[Service]],tbl_service[Service],tbl_service[Price],"")</f>
        <v>200</v>
      </c>
      <c r="L823" s="3">
        <v>1</v>
      </c>
      <c r="M823" s="3">
        <f>IF(AND(tbl_main[[#This Row],[Price]]="",tbl_main[[#This Row],[Qty]]=""),"",tbl_main[[#This Row],[Price]]*tbl_main[[#This Row],[Qty]])</f>
        <v>200</v>
      </c>
      <c r="N823" s="3">
        <f>_xlfn.LET(_xlpm.x,_xlfn.XLOOKUP(tbl_main[[#This Row],[Service]],tbl_service[Service],tbl_service[Profit],""),
               IF(tbl_main[[#This Row],[Qty]]="","",_xlpm.x*tbl_main[[#This Row],[Qty]]))</f>
        <v>90</v>
      </c>
    </row>
    <row r="824" spans="1:14" x14ac:dyDescent="0.25">
      <c r="A824" t="s">
        <v>866</v>
      </c>
      <c r="B824" s="1">
        <v>45929</v>
      </c>
      <c r="C824">
        <f>IF(tbl_main[[#This Row],[Date]]="","",YEAR(B824))</f>
        <v>2025</v>
      </c>
      <c r="D824" t="str">
        <f>IF(tbl_main[[#This Row],[Date]]="","",TEXT(B824,"mmm"))</f>
        <v>Sep</v>
      </c>
      <c r="E824" t="str">
        <f>IF(tbl_main[[#This Row],[Date]]="","",TEXT(B824,"DDD"))</f>
        <v>Mon</v>
      </c>
      <c r="F824" t="s">
        <v>20</v>
      </c>
      <c r="G824" t="s">
        <v>39</v>
      </c>
      <c r="H824" s="3" t="s">
        <v>34</v>
      </c>
      <c r="I824" s="3" t="s">
        <v>43</v>
      </c>
      <c r="J824" s="3" t="s">
        <v>17</v>
      </c>
      <c r="K824" s="3">
        <f>_xlfn.XLOOKUP(tbl_main[[#This Row],[Service]],tbl_service[Service],tbl_service[Price],"")</f>
        <v>100</v>
      </c>
      <c r="L824" s="3">
        <v>1</v>
      </c>
      <c r="M824" s="3">
        <f>IF(AND(tbl_main[[#This Row],[Price]]="",tbl_main[[#This Row],[Qty]]=""),"",tbl_main[[#This Row],[Price]]*tbl_main[[#This Row],[Qty]])</f>
        <v>100</v>
      </c>
      <c r="N824" s="3">
        <f>_xlfn.LET(_xlpm.x,_xlfn.XLOOKUP(tbl_main[[#This Row],[Service]],tbl_service[Service],tbl_service[Profit],""),
               IF(tbl_main[[#This Row],[Qty]]="","",_xlpm.x*tbl_main[[#This Row],[Qty]]))</f>
        <v>45</v>
      </c>
    </row>
    <row r="825" spans="1:14" x14ac:dyDescent="0.25">
      <c r="A825" t="s">
        <v>867</v>
      </c>
      <c r="B825" s="1">
        <v>45929</v>
      </c>
      <c r="C825">
        <f>IF(tbl_main[[#This Row],[Date]]="","",YEAR(B825))</f>
        <v>2025</v>
      </c>
      <c r="D825" t="str">
        <f>IF(tbl_main[[#This Row],[Date]]="","",TEXT(B825,"mmm"))</f>
        <v>Sep</v>
      </c>
      <c r="E825" t="str">
        <f>IF(tbl_main[[#This Row],[Date]]="","",TEXT(B825,"DDD"))</f>
        <v>Mon</v>
      </c>
      <c r="F825" t="s">
        <v>27</v>
      </c>
      <c r="G825" t="s">
        <v>40</v>
      </c>
      <c r="H825" s="3" t="s">
        <v>15</v>
      </c>
      <c r="I825" s="3" t="s">
        <v>41</v>
      </c>
      <c r="J825" s="3" t="s">
        <v>25</v>
      </c>
      <c r="K825" s="3">
        <f>_xlfn.XLOOKUP(tbl_main[[#This Row],[Service]],tbl_service[Service],tbl_service[Price],"")</f>
        <v>500</v>
      </c>
      <c r="L825" s="3">
        <v>1</v>
      </c>
      <c r="M825" s="3">
        <f>IF(AND(tbl_main[[#This Row],[Price]]="",tbl_main[[#This Row],[Qty]]=""),"",tbl_main[[#This Row],[Price]]*tbl_main[[#This Row],[Qty]])</f>
        <v>500</v>
      </c>
      <c r="N825" s="3">
        <f>_xlfn.LET(_xlpm.x,_xlfn.XLOOKUP(tbl_main[[#This Row],[Service]],tbl_service[Service],tbl_service[Profit],""),
               IF(tbl_main[[#This Row],[Qty]]="","",_xlpm.x*tbl_main[[#This Row],[Qty]]))</f>
        <v>225</v>
      </c>
    </row>
    <row r="826" spans="1:14" x14ac:dyDescent="0.25">
      <c r="A826" t="s">
        <v>868</v>
      </c>
      <c r="B826" s="1">
        <v>45929</v>
      </c>
      <c r="C826">
        <f>IF(tbl_main[[#This Row],[Date]]="","",YEAR(B826))</f>
        <v>2025</v>
      </c>
      <c r="D826" t="str">
        <f>IF(tbl_main[[#This Row],[Date]]="","",TEXT(B826,"mmm"))</f>
        <v>Sep</v>
      </c>
      <c r="E826" t="str">
        <f>IF(tbl_main[[#This Row],[Date]]="","",TEXT(B826,"DDD"))</f>
        <v>Mon</v>
      </c>
      <c r="F826" t="s">
        <v>13</v>
      </c>
      <c r="G826" t="s">
        <v>14</v>
      </c>
      <c r="H826" s="3" t="s">
        <v>22</v>
      </c>
      <c r="I826" s="3" t="s">
        <v>41</v>
      </c>
      <c r="J826" s="3" t="s">
        <v>32</v>
      </c>
      <c r="K826" s="3">
        <f>_xlfn.XLOOKUP(tbl_main[[#This Row],[Service]],tbl_service[Service],tbl_service[Price],"")</f>
        <v>150</v>
      </c>
      <c r="L826" s="3">
        <v>1</v>
      </c>
      <c r="M826" s="3">
        <f>IF(AND(tbl_main[[#This Row],[Price]]="",tbl_main[[#This Row],[Qty]]=""),"",tbl_main[[#This Row],[Price]]*tbl_main[[#This Row],[Qty]])</f>
        <v>150</v>
      </c>
      <c r="N826" s="3">
        <f>_xlfn.LET(_xlpm.x,_xlfn.XLOOKUP(tbl_main[[#This Row],[Service]],tbl_service[Service],tbl_service[Profit],""),
               IF(tbl_main[[#This Row],[Qty]]="","",_xlpm.x*tbl_main[[#This Row],[Qty]]))</f>
        <v>67</v>
      </c>
    </row>
    <row r="827" spans="1:14" x14ac:dyDescent="0.25">
      <c r="A827" t="s">
        <v>869</v>
      </c>
      <c r="B827" s="1">
        <v>45930</v>
      </c>
      <c r="C827">
        <f>IF(tbl_main[[#This Row],[Date]]="","",YEAR(B827))</f>
        <v>2025</v>
      </c>
      <c r="D827" t="str">
        <f>IF(tbl_main[[#This Row],[Date]]="","",TEXT(B827,"mmm"))</f>
        <v>Sep</v>
      </c>
      <c r="E827" t="str">
        <f>IF(tbl_main[[#This Row],[Date]]="","",TEXT(B827,"DDD"))</f>
        <v>Tue</v>
      </c>
      <c r="F827" t="s">
        <v>13</v>
      </c>
      <c r="G827" t="s">
        <v>33</v>
      </c>
      <c r="H827" s="3" t="s">
        <v>26</v>
      </c>
      <c r="I827" s="3" t="s">
        <v>35</v>
      </c>
      <c r="J827" s="3" t="s">
        <v>17</v>
      </c>
      <c r="K827" s="3">
        <f>_xlfn.XLOOKUP(tbl_main[[#This Row],[Service]],tbl_service[Service],tbl_service[Price],"")</f>
        <v>200</v>
      </c>
      <c r="L827" s="3">
        <v>2</v>
      </c>
      <c r="M827" s="3">
        <f>IF(AND(tbl_main[[#This Row],[Price]]="",tbl_main[[#This Row],[Qty]]=""),"",tbl_main[[#This Row],[Price]]*tbl_main[[#This Row],[Qty]])</f>
        <v>400</v>
      </c>
      <c r="N827" s="3">
        <f>_xlfn.LET(_xlpm.x,_xlfn.XLOOKUP(tbl_main[[#This Row],[Service]],tbl_service[Service],tbl_service[Profit],""),
               IF(tbl_main[[#This Row],[Qty]]="","",_xlpm.x*tbl_main[[#This Row],[Qty]]))</f>
        <v>180</v>
      </c>
    </row>
    <row r="828" spans="1:14" x14ac:dyDescent="0.25">
      <c r="A828" t="s">
        <v>870</v>
      </c>
      <c r="B828" s="1">
        <v>45930</v>
      </c>
      <c r="C828">
        <f>IF(tbl_main[[#This Row],[Date]]="","",YEAR(B828))</f>
        <v>2025</v>
      </c>
      <c r="D828" t="str">
        <f>IF(tbl_main[[#This Row],[Date]]="","",TEXT(B828,"mmm"))</f>
        <v>Sep</v>
      </c>
      <c r="E828" t="str">
        <f>IF(tbl_main[[#This Row],[Date]]="","",TEXT(B828,"DDD"))</f>
        <v>Tue</v>
      </c>
      <c r="F828" t="s">
        <v>30</v>
      </c>
      <c r="G828" t="s">
        <v>31</v>
      </c>
      <c r="H828" s="3" t="s">
        <v>15</v>
      </c>
      <c r="I828" s="3" t="s">
        <v>35</v>
      </c>
      <c r="J828" s="3" t="s">
        <v>32</v>
      </c>
      <c r="K828" s="3">
        <f>_xlfn.XLOOKUP(tbl_main[[#This Row],[Service]],tbl_service[Service],tbl_service[Price],"")</f>
        <v>500</v>
      </c>
      <c r="L828" s="3">
        <v>2</v>
      </c>
      <c r="M828" s="3">
        <f>IF(AND(tbl_main[[#This Row],[Price]]="",tbl_main[[#This Row],[Qty]]=""),"",tbl_main[[#This Row],[Price]]*tbl_main[[#This Row],[Qty]])</f>
        <v>1000</v>
      </c>
      <c r="N828" s="3">
        <f>_xlfn.LET(_xlpm.x,_xlfn.XLOOKUP(tbl_main[[#This Row],[Service]],tbl_service[Service],tbl_service[Profit],""),
               IF(tbl_main[[#This Row],[Qty]]="","",_xlpm.x*tbl_main[[#This Row],[Qty]]))</f>
        <v>450</v>
      </c>
    </row>
    <row r="829" spans="1:14" x14ac:dyDescent="0.25">
      <c r="A829" t="s">
        <v>871</v>
      </c>
      <c r="B829" s="1">
        <v>45930</v>
      </c>
      <c r="C829">
        <f>IF(tbl_main[[#This Row],[Date]]="","",YEAR(B829))</f>
        <v>2025</v>
      </c>
      <c r="D829" t="str">
        <f>IF(tbl_main[[#This Row],[Date]]="","",TEXT(B829,"mmm"))</f>
        <v>Sep</v>
      </c>
      <c r="E829" t="str">
        <f>IF(tbl_main[[#This Row],[Date]]="","",TEXT(B829,"DDD"))</f>
        <v>Tue</v>
      </c>
      <c r="F829" t="s">
        <v>30</v>
      </c>
      <c r="G829" t="s">
        <v>31</v>
      </c>
      <c r="H829" s="3" t="s">
        <v>22</v>
      </c>
      <c r="I829" s="3" t="s">
        <v>23</v>
      </c>
      <c r="J829" s="3" t="s">
        <v>17</v>
      </c>
      <c r="K829" s="3">
        <f>_xlfn.XLOOKUP(tbl_main[[#This Row],[Service]],tbl_service[Service],tbl_service[Price],"")</f>
        <v>150</v>
      </c>
      <c r="L829" s="3">
        <v>2</v>
      </c>
      <c r="M829" s="3">
        <f>IF(AND(tbl_main[[#This Row],[Price]]="",tbl_main[[#This Row],[Qty]]=""),"",tbl_main[[#This Row],[Price]]*tbl_main[[#This Row],[Qty]])</f>
        <v>300</v>
      </c>
      <c r="N829" s="3">
        <f>_xlfn.LET(_xlpm.x,_xlfn.XLOOKUP(tbl_main[[#This Row],[Service]],tbl_service[Service],tbl_service[Profit],""),
               IF(tbl_main[[#This Row],[Qty]]="","",_xlpm.x*tbl_main[[#This Row],[Qty]]))</f>
        <v>134</v>
      </c>
    </row>
    <row r="830" spans="1:14" x14ac:dyDescent="0.25">
      <c r="A830" t="s">
        <v>872</v>
      </c>
      <c r="B830" s="1">
        <v>45931</v>
      </c>
      <c r="C830">
        <f>IF(tbl_main[[#This Row],[Date]]="","",YEAR(B830))</f>
        <v>2025</v>
      </c>
      <c r="D830" t="str">
        <f>IF(tbl_main[[#This Row],[Date]]="","",TEXT(B830,"mmm"))</f>
        <v>Oct</v>
      </c>
      <c r="E830" t="str">
        <f>IF(tbl_main[[#This Row],[Date]]="","",TEXT(B830,"DDD"))</f>
        <v>Wed</v>
      </c>
      <c r="F830" t="s">
        <v>13</v>
      </c>
      <c r="G830" t="s">
        <v>14</v>
      </c>
      <c r="H830" s="3" t="s">
        <v>22</v>
      </c>
      <c r="I830" s="3" t="s">
        <v>37</v>
      </c>
      <c r="J830" s="3" t="s">
        <v>32</v>
      </c>
      <c r="K830" s="3">
        <f>_xlfn.XLOOKUP(tbl_main[[#This Row],[Service]],tbl_service[Service],tbl_service[Price],"")</f>
        <v>150</v>
      </c>
      <c r="L830" s="3">
        <v>1</v>
      </c>
      <c r="M830" s="3">
        <f>IF(AND(tbl_main[[#This Row],[Price]]="",tbl_main[[#This Row],[Qty]]=""),"",tbl_main[[#This Row],[Price]]*tbl_main[[#This Row],[Qty]])</f>
        <v>150</v>
      </c>
      <c r="N830" s="3">
        <f>_xlfn.LET(_xlpm.x,_xlfn.XLOOKUP(tbl_main[[#This Row],[Service]],tbl_service[Service],tbl_service[Profit],""),
               IF(tbl_main[[#This Row],[Qty]]="","",_xlpm.x*tbl_main[[#This Row],[Qty]]))</f>
        <v>67</v>
      </c>
    </row>
    <row r="831" spans="1:14" x14ac:dyDescent="0.25">
      <c r="A831" t="s">
        <v>873</v>
      </c>
      <c r="B831" s="1">
        <v>45931</v>
      </c>
      <c r="C831">
        <f>IF(tbl_main[[#This Row],[Date]]="","",YEAR(B831))</f>
        <v>2025</v>
      </c>
      <c r="D831" t="str">
        <f>IF(tbl_main[[#This Row],[Date]]="","",TEXT(B831,"mmm"))</f>
        <v>Oct</v>
      </c>
      <c r="E831" t="str">
        <f>IF(tbl_main[[#This Row],[Date]]="","",TEXT(B831,"DDD"))</f>
        <v>Wed</v>
      </c>
      <c r="F831" t="s">
        <v>13</v>
      </c>
      <c r="G831" t="s">
        <v>14</v>
      </c>
      <c r="H831" s="3" t="s">
        <v>24</v>
      </c>
      <c r="I831" s="3" t="s">
        <v>38</v>
      </c>
      <c r="J831" s="3" t="s">
        <v>32</v>
      </c>
      <c r="K831" s="3">
        <f>_xlfn.XLOOKUP(tbl_main[[#This Row],[Service]],tbl_service[Service],tbl_service[Price],"")</f>
        <v>80</v>
      </c>
      <c r="L831" s="3">
        <v>2</v>
      </c>
      <c r="M831" s="3">
        <f>IF(AND(tbl_main[[#This Row],[Price]]="",tbl_main[[#This Row],[Qty]]=""),"",tbl_main[[#This Row],[Price]]*tbl_main[[#This Row],[Qty]])</f>
        <v>160</v>
      </c>
      <c r="N831" s="3">
        <f>_xlfn.LET(_xlpm.x,_xlfn.XLOOKUP(tbl_main[[#This Row],[Service]],tbl_service[Service],tbl_service[Profit],""),
               IF(tbl_main[[#This Row],[Qty]]="","",_xlpm.x*tbl_main[[#This Row],[Qty]]))</f>
        <v>72</v>
      </c>
    </row>
    <row r="832" spans="1:14" x14ac:dyDescent="0.25">
      <c r="A832" t="s">
        <v>874</v>
      </c>
      <c r="B832" s="1">
        <v>45931</v>
      </c>
      <c r="C832">
        <f>IF(tbl_main[[#This Row],[Date]]="","",YEAR(B832))</f>
        <v>2025</v>
      </c>
      <c r="D832" t="str">
        <f>IF(tbl_main[[#This Row],[Date]]="","",TEXT(B832,"mmm"))</f>
        <v>Oct</v>
      </c>
      <c r="E832" t="str">
        <f>IF(tbl_main[[#This Row],[Date]]="","",TEXT(B832,"DDD"))</f>
        <v>Wed</v>
      </c>
      <c r="F832" t="s">
        <v>30</v>
      </c>
      <c r="G832" t="s">
        <v>31</v>
      </c>
      <c r="H832" s="3" t="s">
        <v>15</v>
      </c>
      <c r="I832" s="3" t="s">
        <v>16</v>
      </c>
      <c r="J832" s="3" t="s">
        <v>25</v>
      </c>
      <c r="K832" s="3">
        <f>_xlfn.XLOOKUP(tbl_main[[#This Row],[Service]],tbl_service[Service],tbl_service[Price],"")</f>
        <v>500</v>
      </c>
      <c r="L832" s="3">
        <v>2</v>
      </c>
      <c r="M832" s="3">
        <f>IF(AND(tbl_main[[#This Row],[Price]]="",tbl_main[[#This Row],[Qty]]=""),"",tbl_main[[#This Row],[Price]]*tbl_main[[#This Row],[Qty]])</f>
        <v>1000</v>
      </c>
      <c r="N832" s="3">
        <f>_xlfn.LET(_xlpm.x,_xlfn.XLOOKUP(tbl_main[[#This Row],[Service]],tbl_service[Service],tbl_service[Profit],""),
               IF(tbl_main[[#This Row],[Qty]]="","",_xlpm.x*tbl_main[[#This Row],[Qty]]))</f>
        <v>450</v>
      </c>
    </row>
    <row r="833" spans="1:14" x14ac:dyDescent="0.25">
      <c r="A833" t="s">
        <v>875</v>
      </c>
      <c r="B833" s="1">
        <v>45932</v>
      </c>
      <c r="C833">
        <f>IF(tbl_main[[#This Row],[Date]]="","",YEAR(B833))</f>
        <v>2025</v>
      </c>
      <c r="D833" t="str">
        <f>IF(tbl_main[[#This Row],[Date]]="","",TEXT(B833,"mmm"))</f>
        <v>Oct</v>
      </c>
      <c r="E833" t="str">
        <f>IF(tbl_main[[#This Row],[Date]]="","",TEXT(B833,"DDD"))</f>
        <v>Thu</v>
      </c>
      <c r="F833" t="s">
        <v>20</v>
      </c>
      <c r="G833" t="s">
        <v>29</v>
      </c>
      <c r="H833" s="3" t="s">
        <v>26</v>
      </c>
      <c r="I833" s="3" t="s">
        <v>19</v>
      </c>
      <c r="J833" s="3" t="s">
        <v>32</v>
      </c>
      <c r="K833" s="3">
        <f>_xlfn.XLOOKUP(tbl_main[[#This Row],[Service]],tbl_service[Service],tbl_service[Price],"")</f>
        <v>200</v>
      </c>
      <c r="L833" s="3">
        <v>1</v>
      </c>
      <c r="M833" s="3">
        <f>IF(AND(tbl_main[[#This Row],[Price]]="",tbl_main[[#This Row],[Qty]]=""),"",tbl_main[[#This Row],[Price]]*tbl_main[[#This Row],[Qty]])</f>
        <v>200</v>
      </c>
      <c r="N833" s="3">
        <f>_xlfn.LET(_xlpm.x,_xlfn.XLOOKUP(tbl_main[[#This Row],[Service]],tbl_service[Service],tbl_service[Profit],""),
               IF(tbl_main[[#This Row],[Qty]]="","",_xlpm.x*tbl_main[[#This Row],[Qty]]))</f>
        <v>90</v>
      </c>
    </row>
    <row r="834" spans="1:14" x14ac:dyDescent="0.25">
      <c r="A834" t="s">
        <v>876</v>
      </c>
      <c r="B834" s="1">
        <v>45932</v>
      </c>
      <c r="C834">
        <f>IF(tbl_main[[#This Row],[Date]]="","",YEAR(B834))</f>
        <v>2025</v>
      </c>
      <c r="D834" t="str">
        <f>IF(tbl_main[[#This Row],[Date]]="","",TEXT(B834,"mmm"))</f>
        <v>Oct</v>
      </c>
      <c r="E834" t="str">
        <f>IF(tbl_main[[#This Row],[Date]]="","",TEXT(B834,"DDD"))</f>
        <v>Thu</v>
      </c>
      <c r="F834" t="s">
        <v>30</v>
      </c>
      <c r="G834" t="s">
        <v>31</v>
      </c>
      <c r="H834" s="3" t="s">
        <v>26</v>
      </c>
      <c r="I834" s="3" t="s">
        <v>43</v>
      </c>
      <c r="J834" s="3" t="s">
        <v>17</v>
      </c>
      <c r="K834" s="3">
        <f>_xlfn.XLOOKUP(tbl_main[[#This Row],[Service]],tbl_service[Service],tbl_service[Price],"")</f>
        <v>200</v>
      </c>
      <c r="L834" s="3">
        <v>2</v>
      </c>
      <c r="M834" s="3">
        <f>IF(AND(tbl_main[[#This Row],[Price]]="",tbl_main[[#This Row],[Qty]]=""),"",tbl_main[[#This Row],[Price]]*tbl_main[[#This Row],[Qty]])</f>
        <v>400</v>
      </c>
      <c r="N834" s="3">
        <f>_xlfn.LET(_xlpm.x,_xlfn.XLOOKUP(tbl_main[[#This Row],[Service]],tbl_service[Service],tbl_service[Profit],""),
               IF(tbl_main[[#This Row],[Qty]]="","",_xlpm.x*tbl_main[[#This Row],[Qty]]))</f>
        <v>180</v>
      </c>
    </row>
    <row r="835" spans="1:14" x14ac:dyDescent="0.25">
      <c r="A835" t="s">
        <v>877</v>
      </c>
      <c r="B835" s="1">
        <v>45933</v>
      </c>
      <c r="C835">
        <f>IF(tbl_main[[#This Row],[Date]]="","",YEAR(B835))</f>
        <v>2025</v>
      </c>
      <c r="D835" t="str">
        <f>IF(tbl_main[[#This Row],[Date]]="","",TEXT(B835,"mmm"))</f>
        <v>Oct</v>
      </c>
      <c r="E835" t="str">
        <f>IF(tbl_main[[#This Row],[Date]]="","",TEXT(B835,"DDD"))</f>
        <v>Fri</v>
      </c>
      <c r="F835" t="s">
        <v>30</v>
      </c>
      <c r="G835" t="s">
        <v>36</v>
      </c>
      <c r="H835" s="3" t="s">
        <v>26</v>
      </c>
      <c r="I835" s="3" t="s">
        <v>41</v>
      </c>
      <c r="J835" s="3" t="s">
        <v>17</v>
      </c>
      <c r="K835" s="3">
        <f>_xlfn.XLOOKUP(tbl_main[[#This Row],[Service]],tbl_service[Service],tbl_service[Price],"")</f>
        <v>200</v>
      </c>
      <c r="L835" s="3">
        <v>2</v>
      </c>
      <c r="M835" s="3">
        <f>IF(AND(tbl_main[[#This Row],[Price]]="",tbl_main[[#This Row],[Qty]]=""),"",tbl_main[[#This Row],[Price]]*tbl_main[[#This Row],[Qty]])</f>
        <v>400</v>
      </c>
      <c r="N835" s="3">
        <f>_xlfn.LET(_xlpm.x,_xlfn.XLOOKUP(tbl_main[[#This Row],[Service]],tbl_service[Service],tbl_service[Profit],""),
               IF(tbl_main[[#This Row],[Qty]]="","",_xlpm.x*tbl_main[[#This Row],[Qty]]))</f>
        <v>180</v>
      </c>
    </row>
    <row r="836" spans="1:14" x14ac:dyDescent="0.25">
      <c r="A836" t="s">
        <v>878</v>
      </c>
      <c r="B836" s="1">
        <v>45933</v>
      </c>
      <c r="C836">
        <f>IF(tbl_main[[#This Row],[Date]]="","",YEAR(B836))</f>
        <v>2025</v>
      </c>
      <c r="D836" t="str">
        <f>IF(tbl_main[[#This Row],[Date]]="","",TEXT(B836,"mmm"))</f>
        <v>Oct</v>
      </c>
      <c r="E836" t="str">
        <f>IF(tbl_main[[#This Row],[Date]]="","",TEXT(B836,"DDD"))</f>
        <v>Fri</v>
      </c>
      <c r="F836" t="s">
        <v>27</v>
      </c>
      <c r="G836" t="s">
        <v>40</v>
      </c>
      <c r="H836" s="3" t="s">
        <v>26</v>
      </c>
      <c r="I836" s="3" t="s">
        <v>41</v>
      </c>
      <c r="J836" s="3" t="s">
        <v>32</v>
      </c>
      <c r="K836" s="3">
        <f>_xlfn.XLOOKUP(tbl_main[[#This Row],[Service]],tbl_service[Service],tbl_service[Price],"")</f>
        <v>200</v>
      </c>
      <c r="L836" s="3">
        <v>2</v>
      </c>
      <c r="M836" s="3">
        <f>IF(AND(tbl_main[[#This Row],[Price]]="",tbl_main[[#This Row],[Qty]]=""),"",tbl_main[[#This Row],[Price]]*tbl_main[[#This Row],[Qty]])</f>
        <v>400</v>
      </c>
      <c r="N836" s="3">
        <f>_xlfn.LET(_xlpm.x,_xlfn.XLOOKUP(tbl_main[[#This Row],[Service]],tbl_service[Service],tbl_service[Profit],""),
               IF(tbl_main[[#This Row],[Qty]]="","",_xlpm.x*tbl_main[[#This Row],[Qty]]))</f>
        <v>180</v>
      </c>
    </row>
    <row r="837" spans="1:14" x14ac:dyDescent="0.25">
      <c r="A837" t="s">
        <v>879</v>
      </c>
      <c r="B837" s="1">
        <v>45933</v>
      </c>
      <c r="C837">
        <f>IF(tbl_main[[#This Row],[Date]]="","",YEAR(B837))</f>
        <v>2025</v>
      </c>
      <c r="D837" t="str">
        <f>IF(tbl_main[[#This Row],[Date]]="","",TEXT(B837,"mmm"))</f>
        <v>Oct</v>
      </c>
      <c r="E837" t="str">
        <f>IF(tbl_main[[#This Row],[Date]]="","",TEXT(B837,"DDD"))</f>
        <v>Fri</v>
      </c>
      <c r="F837" t="s">
        <v>27</v>
      </c>
      <c r="G837" t="s">
        <v>28</v>
      </c>
      <c r="H837" s="3" t="s">
        <v>26</v>
      </c>
      <c r="I837" s="3" t="s">
        <v>35</v>
      </c>
      <c r="J837" s="3" t="s">
        <v>25</v>
      </c>
      <c r="K837" s="3">
        <f>_xlfn.XLOOKUP(tbl_main[[#This Row],[Service]],tbl_service[Service],tbl_service[Price],"")</f>
        <v>200</v>
      </c>
      <c r="L837" s="3">
        <v>2</v>
      </c>
      <c r="M837" s="3">
        <f>IF(AND(tbl_main[[#This Row],[Price]]="",tbl_main[[#This Row],[Qty]]=""),"",tbl_main[[#This Row],[Price]]*tbl_main[[#This Row],[Qty]])</f>
        <v>400</v>
      </c>
      <c r="N837" s="3">
        <f>_xlfn.LET(_xlpm.x,_xlfn.XLOOKUP(tbl_main[[#This Row],[Service]],tbl_service[Service],tbl_service[Profit],""),
               IF(tbl_main[[#This Row],[Qty]]="","",_xlpm.x*tbl_main[[#This Row],[Qty]]))</f>
        <v>180</v>
      </c>
    </row>
    <row r="838" spans="1:14" x14ac:dyDescent="0.25">
      <c r="A838" t="s">
        <v>880</v>
      </c>
      <c r="B838" s="1">
        <v>45934</v>
      </c>
      <c r="C838">
        <f>IF(tbl_main[[#This Row],[Date]]="","",YEAR(B838))</f>
        <v>2025</v>
      </c>
      <c r="D838" t="str">
        <f>IF(tbl_main[[#This Row],[Date]]="","",TEXT(B838,"mmm"))</f>
        <v>Oct</v>
      </c>
      <c r="E838" t="str">
        <f>IF(tbl_main[[#This Row],[Date]]="","",TEXT(B838,"DDD"))</f>
        <v>Sat</v>
      </c>
      <c r="F838" t="s">
        <v>27</v>
      </c>
      <c r="G838" t="s">
        <v>40</v>
      </c>
      <c r="H838" s="3" t="s">
        <v>34</v>
      </c>
      <c r="I838" s="3" t="s">
        <v>35</v>
      </c>
      <c r="J838" s="3" t="s">
        <v>17</v>
      </c>
      <c r="K838" s="3">
        <f>_xlfn.XLOOKUP(tbl_main[[#This Row],[Service]],tbl_service[Service],tbl_service[Price],"")</f>
        <v>100</v>
      </c>
      <c r="L838" s="3">
        <v>2</v>
      </c>
      <c r="M838" s="3">
        <f>IF(AND(tbl_main[[#This Row],[Price]]="",tbl_main[[#This Row],[Qty]]=""),"",tbl_main[[#This Row],[Price]]*tbl_main[[#This Row],[Qty]])</f>
        <v>200</v>
      </c>
      <c r="N838" s="3">
        <f>_xlfn.LET(_xlpm.x,_xlfn.XLOOKUP(tbl_main[[#This Row],[Service]],tbl_service[Service],tbl_service[Profit],""),
               IF(tbl_main[[#This Row],[Qty]]="","",_xlpm.x*tbl_main[[#This Row],[Qty]]))</f>
        <v>90</v>
      </c>
    </row>
    <row r="839" spans="1:14" x14ac:dyDescent="0.25">
      <c r="A839" t="s">
        <v>881</v>
      </c>
      <c r="B839" s="1">
        <v>45934</v>
      </c>
      <c r="C839">
        <f>IF(tbl_main[[#This Row],[Date]]="","",YEAR(B839))</f>
        <v>2025</v>
      </c>
      <c r="D839" t="str">
        <f>IF(tbl_main[[#This Row],[Date]]="","",TEXT(B839,"mmm"))</f>
        <v>Oct</v>
      </c>
      <c r="E839" t="str">
        <f>IF(tbl_main[[#This Row],[Date]]="","",TEXT(B839,"DDD"))</f>
        <v>Sat</v>
      </c>
      <c r="F839" t="s">
        <v>20</v>
      </c>
      <c r="G839" t="s">
        <v>39</v>
      </c>
      <c r="H839" s="3" t="s">
        <v>34</v>
      </c>
      <c r="I839" s="3" t="s">
        <v>23</v>
      </c>
      <c r="J839" s="3" t="s">
        <v>25</v>
      </c>
      <c r="K839" s="3">
        <f>_xlfn.XLOOKUP(tbl_main[[#This Row],[Service]],tbl_service[Service],tbl_service[Price],"")</f>
        <v>100</v>
      </c>
      <c r="L839" s="3">
        <v>2</v>
      </c>
      <c r="M839" s="3">
        <f>IF(AND(tbl_main[[#This Row],[Price]]="",tbl_main[[#This Row],[Qty]]=""),"",tbl_main[[#This Row],[Price]]*tbl_main[[#This Row],[Qty]])</f>
        <v>200</v>
      </c>
      <c r="N839" s="3">
        <f>_xlfn.LET(_xlpm.x,_xlfn.XLOOKUP(tbl_main[[#This Row],[Service]],tbl_service[Service],tbl_service[Profit],""),
               IF(tbl_main[[#This Row],[Qty]]="","",_xlpm.x*tbl_main[[#This Row],[Qty]]))</f>
        <v>90</v>
      </c>
    </row>
    <row r="840" spans="1:14" x14ac:dyDescent="0.25">
      <c r="A840" t="s">
        <v>882</v>
      </c>
      <c r="B840" s="1">
        <v>45934</v>
      </c>
      <c r="C840">
        <f>IF(tbl_main[[#This Row],[Date]]="","",YEAR(B840))</f>
        <v>2025</v>
      </c>
      <c r="D840" t="str">
        <f>IF(tbl_main[[#This Row],[Date]]="","",TEXT(B840,"mmm"))</f>
        <v>Oct</v>
      </c>
      <c r="E840" t="str">
        <f>IF(tbl_main[[#This Row],[Date]]="","",TEXT(B840,"DDD"))</f>
        <v>Sat</v>
      </c>
      <c r="F840" t="s">
        <v>27</v>
      </c>
      <c r="G840" t="s">
        <v>28</v>
      </c>
      <c r="H840" s="3" t="s">
        <v>18</v>
      </c>
      <c r="I840" s="3" t="s">
        <v>37</v>
      </c>
      <c r="J840" s="3" t="s">
        <v>32</v>
      </c>
      <c r="K840" s="3">
        <f>_xlfn.XLOOKUP(tbl_main[[#This Row],[Service]],tbl_service[Service],tbl_service[Price],"")</f>
        <v>500</v>
      </c>
      <c r="L840" s="3">
        <v>2</v>
      </c>
      <c r="M840" s="3">
        <f>IF(AND(tbl_main[[#This Row],[Price]]="",tbl_main[[#This Row],[Qty]]=""),"",tbl_main[[#This Row],[Price]]*tbl_main[[#This Row],[Qty]])</f>
        <v>1000</v>
      </c>
      <c r="N840" s="3">
        <f>_xlfn.LET(_xlpm.x,_xlfn.XLOOKUP(tbl_main[[#This Row],[Service]],tbl_service[Service],tbl_service[Profit],""),
               IF(tbl_main[[#This Row],[Qty]]="","",_xlpm.x*tbl_main[[#This Row],[Qty]]))</f>
        <v>314</v>
      </c>
    </row>
    <row r="841" spans="1:14" x14ac:dyDescent="0.25">
      <c r="A841" t="s">
        <v>883</v>
      </c>
      <c r="B841" s="1">
        <v>45935</v>
      </c>
      <c r="C841">
        <f>IF(tbl_main[[#This Row],[Date]]="","",YEAR(B841))</f>
        <v>2025</v>
      </c>
      <c r="D841" t="str">
        <f>IF(tbl_main[[#This Row],[Date]]="","",TEXT(B841,"mmm"))</f>
        <v>Oct</v>
      </c>
      <c r="E841" t="str">
        <f>IF(tbl_main[[#This Row],[Date]]="","",TEXT(B841,"DDD"))</f>
        <v>Sun</v>
      </c>
      <c r="F841" t="s">
        <v>30</v>
      </c>
      <c r="G841" t="s">
        <v>31</v>
      </c>
      <c r="H841" s="3" t="s">
        <v>26</v>
      </c>
      <c r="I841" s="3" t="s">
        <v>38</v>
      </c>
      <c r="J841" s="3" t="s">
        <v>17</v>
      </c>
      <c r="K841" s="3">
        <f>_xlfn.XLOOKUP(tbl_main[[#This Row],[Service]],tbl_service[Service],tbl_service[Price],"")</f>
        <v>200</v>
      </c>
      <c r="L841" s="3">
        <v>1</v>
      </c>
      <c r="M841" s="3">
        <f>IF(AND(tbl_main[[#This Row],[Price]]="",tbl_main[[#This Row],[Qty]]=""),"",tbl_main[[#This Row],[Price]]*tbl_main[[#This Row],[Qty]])</f>
        <v>200</v>
      </c>
      <c r="N841" s="3">
        <f>_xlfn.LET(_xlpm.x,_xlfn.XLOOKUP(tbl_main[[#This Row],[Service]],tbl_service[Service],tbl_service[Profit],""),
               IF(tbl_main[[#This Row],[Qty]]="","",_xlpm.x*tbl_main[[#This Row],[Qty]]))</f>
        <v>90</v>
      </c>
    </row>
    <row r="842" spans="1:14" x14ac:dyDescent="0.25">
      <c r="A842" t="s">
        <v>884</v>
      </c>
      <c r="B842" s="1">
        <v>45935</v>
      </c>
      <c r="C842">
        <f>IF(tbl_main[[#This Row],[Date]]="","",YEAR(B842))</f>
        <v>2025</v>
      </c>
      <c r="D842" t="str">
        <f>IF(tbl_main[[#This Row],[Date]]="","",TEXT(B842,"mmm"))</f>
        <v>Oct</v>
      </c>
      <c r="E842" t="str">
        <f>IF(tbl_main[[#This Row],[Date]]="","",TEXT(B842,"DDD"))</f>
        <v>Sun</v>
      </c>
      <c r="F842" t="s">
        <v>20</v>
      </c>
      <c r="G842" t="s">
        <v>29</v>
      </c>
      <c r="H842" s="3" t="s">
        <v>15</v>
      </c>
      <c r="I842" s="3" t="s">
        <v>16</v>
      </c>
      <c r="J842" s="3" t="s">
        <v>32</v>
      </c>
      <c r="K842" s="3">
        <f>_xlfn.XLOOKUP(tbl_main[[#This Row],[Service]],tbl_service[Service],tbl_service[Price],"")</f>
        <v>500</v>
      </c>
      <c r="L842" s="3">
        <v>2</v>
      </c>
      <c r="M842" s="3">
        <f>IF(AND(tbl_main[[#This Row],[Price]]="",tbl_main[[#This Row],[Qty]]=""),"",tbl_main[[#This Row],[Price]]*tbl_main[[#This Row],[Qty]])</f>
        <v>1000</v>
      </c>
      <c r="N842" s="3">
        <f>_xlfn.LET(_xlpm.x,_xlfn.XLOOKUP(tbl_main[[#This Row],[Service]],tbl_service[Service],tbl_service[Profit],""),
               IF(tbl_main[[#This Row],[Qty]]="","",_xlpm.x*tbl_main[[#This Row],[Qty]]))</f>
        <v>450</v>
      </c>
    </row>
    <row r="843" spans="1:14" x14ac:dyDescent="0.25">
      <c r="A843" t="s">
        <v>885</v>
      </c>
      <c r="B843" s="1">
        <v>45936</v>
      </c>
      <c r="C843">
        <f>IF(tbl_main[[#This Row],[Date]]="","",YEAR(B843))</f>
        <v>2025</v>
      </c>
      <c r="D843" t="str">
        <f>IF(tbl_main[[#This Row],[Date]]="","",TEXT(B843,"mmm"))</f>
        <v>Oct</v>
      </c>
      <c r="E843" t="str">
        <f>IF(tbl_main[[#This Row],[Date]]="","",TEXT(B843,"DDD"))</f>
        <v>Mon</v>
      </c>
      <c r="F843" t="s">
        <v>20</v>
      </c>
      <c r="G843" t="s">
        <v>39</v>
      </c>
      <c r="H843" s="3" t="s">
        <v>24</v>
      </c>
      <c r="I843" s="3" t="s">
        <v>19</v>
      </c>
      <c r="J843" s="3" t="s">
        <v>25</v>
      </c>
      <c r="K843" s="3">
        <f>_xlfn.XLOOKUP(tbl_main[[#This Row],[Service]],tbl_service[Service],tbl_service[Price],"")</f>
        <v>80</v>
      </c>
      <c r="L843" s="3">
        <v>2</v>
      </c>
      <c r="M843" s="3">
        <f>IF(AND(tbl_main[[#This Row],[Price]]="",tbl_main[[#This Row],[Qty]]=""),"",tbl_main[[#This Row],[Price]]*tbl_main[[#This Row],[Qty]])</f>
        <v>160</v>
      </c>
      <c r="N843" s="3">
        <f>_xlfn.LET(_xlpm.x,_xlfn.XLOOKUP(tbl_main[[#This Row],[Service]],tbl_service[Service],tbl_service[Profit],""),
               IF(tbl_main[[#This Row],[Qty]]="","",_xlpm.x*tbl_main[[#This Row],[Qty]]))</f>
        <v>72</v>
      </c>
    </row>
    <row r="844" spans="1:14" x14ac:dyDescent="0.25">
      <c r="A844" t="s">
        <v>886</v>
      </c>
      <c r="B844" s="1">
        <v>45936</v>
      </c>
      <c r="C844">
        <f>IF(tbl_main[[#This Row],[Date]]="","",YEAR(B844))</f>
        <v>2025</v>
      </c>
      <c r="D844" t="str">
        <f>IF(tbl_main[[#This Row],[Date]]="","",TEXT(B844,"mmm"))</f>
        <v>Oct</v>
      </c>
      <c r="E844" t="str">
        <f>IF(tbl_main[[#This Row],[Date]]="","",TEXT(B844,"DDD"))</f>
        <v>Mon</v>
      </c>
      <c r="F844" t="s">
        <v>13</v>
      </c>
      <c r="G844" t="s">
        <v>33</v>
      </c>
      <c r="H844" s="3" t="s">
        <v>34</v>
      </c>
      <c r="I844" s="3" t="s">
        <v>43</v>
      </c>
      <c r="J844" s="3" t="s">
        <v>17</v>
      </c>
      <c r="K844" s="3">
        <f>_xlfn.XLOOKUP(tbl_main[[#This Row],[Service]],tbl_service[Service],tbl_service[Price],"")</f>
        <v>100</v>
      </c>
      <c r="L844" s="3">
        <v>2</v>
      </c>
      <c r="M844" s="3">
        <f>IF(AND(tbl_main[[#This Row],[Price]]="",tbl_main[[#This Row],[Qty]]=""),"",tbl_main[[#This Row],[Price]]*tbl_main[[#This Row],[Qty]])</f>
        <v>200</v>
      </c>
      <c r="N844" s="3">
        <f>_xlfn.LET(_xlpm.x,_xlfn.XLOOKUP(tbl_main[[#This Row],[Service]],tbl_service[Service],tbl_service[Profit],""),
               IF(tbl_main[[#This Row],[Qty]]="","",_xlpm.x*tbl_main[[#This Row],[Qty]]))</f>
        <v>90</v>
      </c>
    </row>
    <row r="845" spans="1:14" x14ac:dyDescent="0.25">
      <c r="A845" t="s">
        <v>887</v>
      </c>
      <c r="B845" s="1">
        <v>45937</v>
      </c>
      <c r="C845">
        <f>IF(tbl_main[[#This Row],[Date]]="","",YEAR(B845))</f>
        <v>2025</v>
      </c>
      <c r="D845" t="str">
        <f>IF(tbl_main[[#This Row],[Date]]="","",TEXT(B845,"mmm"))</f>
        <v>Oct</v>
      </c>
      <c r="E845" t="str">
        <f>IF(tbl_main[[#This Row],[Date]]="","",TEXT(B845,"DDD"))</f>
        <v>Tue</v>
      </c>
      <c r="F845" t="s">
        <v>27</v>
      </c>
      <c r="G845" t="s">
        <v>28</v>
      </c>
      <c r="H845" s="3" t="s">
        <v>22</v>
      </c>
      <c r="I845" s="3" t="s">
        <v>41</v>
      </c>
      <c r="J845" s="3" t="s">
        <v>17</v>
      </c>
      <c r="K845" s="3">
        <f>_xlfn.XLOOKUP(tbl_main[[#This Row],[Service]],tbl_service[Service],tbl_service[Price],"")</f>
        <v>150</v>
      </c>
      <c r="L845" s="3">
        <v>2</v>
      </c>
      <c r="M845" s="3">
        <f>IF(AND(tbl_main[[#This Row],[Price]]="",tbl_main[[#This Row],[Qty]]=""),"",tbl_main[[#This Row],[Price]]*tbl_main[[#This Row],[Qty]])</f>
        <v>300</v>
      </c>
      <c r="N845" s="3">
        <f>_xlfn.LET(_xlpm.x,_xlfn.XLOOKUP(tbl_main[[#This Row],[Service]],tbl_service[Service],tbl_service[Profit],""),
               IF(tbl_main[[#This Row],[Qty]]="","",_xlpm.x*tbl_main[[#This Row],[Qty]]))</f>
        <v>134</v>
      </c>
    </row>
    <row r="846" spans="1:14" x14ac:dyDescent="0.25">
      <c r="A846" t="s">
        <v>888</v>
      </c>
      <c r="B846" s="1">
        <v>45937</v>
      </c>
      <c r="C846">
        <f>IF(tbl_main[[#This Row],[Date]]="","",YEAR(B846))</f>
        <v>2025</v>
      </c>
      <c r="D846" t="str">
        <f>IF(tbl_main[[#This Row],[Date]]="","",TEXT(B846,"mmm"))</f>
        <v>Oct</v>
      </c>
      <c r="E846" t="str">
        <f>IF(tbl_main[[#This Row],[Date]]="","",TEXT(B846,"DDD"))</f>
        <v>Tue</v>
      </c>
      <c r="F846" t="s">
        <v>27</v>
      </c>
      <c r="G846" t="s">
        <v>40</v>
      </c>
      <c r="H846" s="3" t="s">
        <v>18</v>
      </c>
      <c r="I846" s="3" t="s">
        <v>41</v>
      </c>
      <c r="J846" s="3" t="s">
        <v>25</v>
      </c>
      <c r="K846" s="3">
        <f>_xlfn.XLOOKUP(tbl_main[[#This Row],[Service]],tbl_service[Service],tbl_service[Price],"")</f>
        <v>500</v>
      </c>
      <c r="L846" s="3">
        <v>1</v>
      </c>
      <c r="M846" s="3">
        <f>IF(AND(tbl_main[[#This Row],[Price]]="",tbl_main[[#This Row],[Qty]]=""),"",tbl_main[[#This Row],[Price]]*tbl_main[[#This Row],[Qty]])</f>
        <v>500</v>
      </c>
      <c r="N846" s="3">
        <f>_xlfn.LET(_xlpm.x,_xlfn.XLOOKUP(tbl_main[[#This Row],[Service]],tbl_service[Service],tbl_service[Profit],""),
               IF(tbl_main[[#This Row],[Qty]]="","",_xlpm.x*tbl_main[[#This Row],[Qty]]))</f>
        <v>157</v>
      </c>
    </row>
    <row r="847" spans="1:14" x14ac:dyDescent="0.25">
      <c r="A847" t="s">
        <v>889</v>
      </c>
      <c r="B847" s="1">
        <v>45938</v>
      </c>
      <c r="C847">
        <f>IF(tbl_main[[#This Row],[Date]]="","",YEAR(B847))</f>
        <v>2025</v>
      </c>
      <c r="D847" t="str">
        <f>IF(tbl_main[[#This Row],[Date]]="","",TEXT(B847,"mmm"))</f>
        <v>Oct</v>
      </c>
      <c r="E847" t="str">
        <f>IF(tbl_main[[#This Row],[Date]]="","",TEXT(B847,"DDD"))</f>
        <v>Wed</v>
      </c>
      <c r="F847" t="s">
        <v>30</v>
      </c>
      <c r="G847" t="s">
        <v>36</v>
      </c>
      <c r="H847" s="3" t="s">
        <v>24</v>
      </c>
      <c r="I847" s="3" t="s">
        <v>35</v>
      </c>
      <c r="J847" s="3" t="s">
        <v>17</v>
      </c>
      <c r="K847" s="3">
        <f>_xlfn.XLOOKUP(tbl_main[[#This Row],[Service]],tbl_service[Service],tbl_service[Price],"")</f>
        <v>80</v>
      </c>
      <c r="L847" s="3">
        <v>2</v>
      </c>
      <c r="M847" s="3">
        <f>IF(AND(tbl_main[[#This Row],[Price]]="",tbl_main[[#This Row],[Qty]]=""),"",tbl_main[[#This Row],[Price]]*tbl_main[[#This Row],[Qty]])</f>
        <v>160</v>
      </c>
      <c r="N847" s="3">
        <f>_xlfn.LET(_xlpm.x,_xlfn.XLOOKUP(tbl_main[[#This Row],[Service]],tbl_service[Service],tbl_service[Profit],""),
               IF(tbl_main[[#This Row],[Qty]]="","",_xlpm.x*tbl_main[[#This Row],[Qty]]))</f>
        <v>72</v>
      </c>
    </row>
    <row r="848" spans="1:14" x14ac:dyDescent="0.25">
      <c r="A848" t="s">
        <v>890</v>
      </c>
      <c r="B848" s="1">
        <v>45938</v>
      </c>
      <c r="C848">
        <f>IF(tbl_main[[#This Row],[Date]]="","",YEAR(B848))</f>
        <v>2025</v>
      </c>
      <c r="D848" t="str">
        <f>IF(tbl_main[[#This Row],[Date]]="","",TEXT(B848,"mmm"))</f>
        <v>Oct</v>
      </c>
      <c r="E848" t="str">
        <f>IF(tbl_main[[#This Row],[Date]]="","",TEXT(B848,"DDD"))</f>
        <v>Wed</v>
      </c>
      <c r="F848" t="s">
        <v>20</v>
      </c>
      <c r="G848" t="s">
        <v>39</v>
      </c>
      <c r="H848" s="3" t="s">
        <v>34</v>
      </c>
      <c r="I848" s="3" t="s">
        <v>35</v>
      </c>
      <c r="J848" s="3" t="s">
        <v>17</v>
      </c>
      <c r="K848" s="3">
        <f>_xlfn.XLOOKUP(tbl_main[[#This Row],[Service]],tbl_service[Service],tbl_service[Price],"")</f>
        <v>100</v>
      </c>
      <c r="L848" s="3">
        <v>2</v>
      </c>
      <c r="M848" s="3">
        <f>IF(AND(tbl_main[[#This Row],[Price]]="",tbl_main[[#This Row],[Qty]]=""),"",tbl_main[[#This Row],[Price]]*tbl_main[[#This Row],[Qty]])</f>
        <v>200</v>
      </c>
      <c r="N848" s="3">
        <f>_xlfn.LET(_xlpm.x,_xlfn.XLOOKUP(tbl_main[[#This Row],[Service]],tbl_service[Service],tbl_service[Profit],""),
               IF(tbl_main[[#This Row],[Qty]]="","",_xlpm.x*tbl_main[[#This Row],[Qty]]))</f>
        <v>90</v>
      </c>
    </row>
    <row r="849" spans="1:14" x14ac:dyDescent="0.25">
      <c r="A849" t="s">
        <v>891</v>
      </c>
      <c r="B849" s="1">
        <v>45938</v>
      </c>
      <c r="C849">
        <f>IF(tbl_main[[#This Row],[Date]]="","",YEAR(B849))</f>
        <v>2025</v>
      </c>
      <c r="D849" t="str">
        <f>IF(tbl_main[[#This Row],[Date]]="","",TEXT(B849,"mmm"))</f>
        <v>Oct</v>
      </c>
      <c r="E849" t="str">
        <f>IF(tbl_main[[#This Row],[Date]]="","",TEXT(B849,"DDD"))</f>
        <v>Wed</v>
      </c>
      <c r="F849" t="s">
        <v>20</v>
      </c>
      <c r="G849" t="s">
        <v>21</v>
      </c>
      <c r="H849" s="3" t="s">
        <v>15</v>
      </c>
      <c r="I849" s="3" t="s">
        <v>23</v>
      </c>
      <c r="J849" s="3" t="s">
        <v>17</v>
      </c>
      <c r="K849" s="3">
        <f>_xlfn.XLOOKUP(tbl_main[[#This Row],[Service]],tbl_service[Service],tbl_service[Price],"")</f>
        <v>500</v>
      </c>
      <c r="L849" s="3">
        <v>1</v>
      </c>
      <c r="M849" s="3">
        <f>IF(AND(tbl_main[[#This Row],[Price]]="",tbl_main[[#This Row],[Qty]]=""),"",tbl_main[[#This Row],[Price]]*tbl_main[[#This Row],[Qty]])</f>
        <v>500</v>
      </c>
      <c r="N849" s="3">
        <f>_xlfn.LET(_xlpm.x,_xlfn.XLOOKUP(tbl_main[[#This Row],[Service]],tbl_service[Service],tbl_service[Profit],""),
               IF(tbl_main[[#This Row],[Qty]]="","",_xlpm.x*tbl_main[[#This Row],[Qty]]))</f>
        <v>225</v>
      </c>
    </row>
    <row r="850" spans="1:14" x14ac:dyDescent="0.25">
      <c r="A850" t="s">
        <v>892</v>
      </c>
      <c r="B850" s="1">
        <v>45938</v>
      </c>
      <c r="C850">
        <f>IF(tbl_main[[#This Row],[Date]]="","",YEAR(B850))</f>
        <v>2025</v>
      </c>
      <c r="D850" t="str">
        <f>IF(tbl_main[[#This Row],[Date]]="","",TEXT(B850,"mmm"))</f>
        <v>Oct</v>
      </c>
      <c r="E850" t="str">
        <f>IF(tbl_main[[#This Row],[Date]]="","",TEXT(B850,"DDD"))</f>
        <v>Wed</v>
      </c>
      <c r="F850" t="s">
        <v>27</v>
      </c>
      <c r="G850" t="s">
        <v>28</v>
      </c>
      <c r="H850" s="3" t="s">
        <v>34</v>
      </c>
      <c r="I850" s="3" t="s">
        <v>37</v>
      </c>
      <c r="J850" s="3" t="s">
        <v>32</v>
      </c>
      <c r="K850" s="3">
        <f>_xlfn.XLOOKUP(tbl_main[[#This Row],[Service]],tbl_service[Service],tbl_service[Price],"")</f>
        <v>100</v>
      </c>
      <c r="L850" s="3">
        <v>2</v>
      </c>
      <c r="M850" s="3">
        <f>IF(AND(tbl_main[[#This Row],[Price]]="",tbl_main[[#This Row],[Qty]]=""),"",tbl_main[[#This Row],[Price]]*tbl_main[[#This Row],[Qty]])</f>
        <v>200</v>
      </c>
      <c r="N850" s="3">
        <f>_xlfn.LET(_xlpm.x,_xlfn.XLOOKUP(tbl_main[[#This Row],[Service]],tbl_service[Service],tbl_service[Profit],""),
               IF(tbl_main[[#This Row],[Qty]]="","",_xlpm.x*tbl_main[[#This Row],[Qty]]))</f>
        <v>90</v>
      </c>
    </row>
    <row r="851" spans="1:14" x14ac:dyDescent="0.25">
      <c r="A851" t="s">
        <v>893</v>
      </c>
      <c r="B851" s="1">
        <v>45939</v>
      </c>
      <c r="C851">
        <f>IF(tbl_main[[#This Row],[Date]]="","",YEAR(B851))</f>
        <v>2025</v>
      </c>
      <c r="D851" t="str">
        <f>IF(tbl_main[[#This Row],[Date]]="","",TEXT(B851,"mmm"))</f>
        <v>Oct</v>
      </c>
      <c r="E851" t="str">
        <f>IF(tbl_main[[#This Row],[Date]]="","",TEXT(B851,"DDD"))</f>
        <v>Thu</v>
      </c>
      <c r="F851" t="s">
        <v>27</v>
      </c>
      <c r="G851" t="s">
        <v>28</v>
      </c>
      <c r="H851" s="3" t="s">
        <v>26</v>
      </c>
      <c r="I851" s="3" t="s">
        <v>38</v>
      </c>
      <c r="J851" s="3" t="s">
        <v>32</v>
      </c>
      <c r="K851" s="3">
        <f>_xlfn.XLOOKUP(tbl_main[[#This Row],[Service]],tbl_service[Service],tbl_service[Price],"")</f>
        <v>200</v>
      </c>
      <c r="L851" s="3">
        <v>1</v>
      </c>
      <c r="M851" s="3">
        <f>IF(AND(tbl_main[[#This Row],[Price]]="",tbl_main[[#This Row],[Qty]]=""),"",tbl_main[[#This Row],[Price]]*tbl_main[[#This Row],[Qty]])</f>
        <v>200</v>
      </c>
      <c r="N851" s="3">
        <f>_xlfn.LET(_xlpm.x,_xlfn.XLOOKUP(tbl_main[[#This Row],[Service]],tbl_service[Service],tbl_service[Profit],""),
               IF(tbl_main[[#This Row],[Qty]]="","",_xlpm.x*tbl_main[[#This Row],[Qty]]))</f>
        <v>90</v>
      </c>
    </row>
    <row r="852" spans="1:14" x14ac:dyDescent="0.25">
      <c r="A852" t="s">
        <v>894</v>
      </c>
      <c r="B852" s="1">
        <v>45939</v>
      </c>
      <c r="C852">
        <f>IF(tbl_main[[#This Row],[Date]]="","",YEAR(B852))</f>
        <v>2025</v>
      </c>
      <c r="D852" t="str">
        <f>IF(tbl_main[[#This Row],[Date]]="","",TEXT(B852,"mmm"))</f>
        <v>Oct</v>
      </c>
      <c r="E852" t="str">
        <f>IF(tbl_main[[#This Row],[Date]]="","",TEXT(B852,"DDD"))</f>
        <v>Thu</v>
      </c>
      <c r="F852" t="s">
        <v>30</v>
      </c>
      <c r="G852" t="s">
        <v>31</v>
      </c>
      <c r="H852" s="3" t="s">
        <v>34</v>
      </c>
      <c r="I852" s="3" t="s">
        <v>16</v>
      </c>
      <c r="J852" s="3" t="s">
        <v>17</v>
      </c>
      <c r="K852" s="3">
        <f>_xlfn.XLOOKUP(tbl_main[[#This Row],[Service]],tbl_service[Service],tbl_service[Price],"")</f>
        <v>100</v>
      </c>
      <c r="L852" s="3">
        <v>2</v>
      </c>
      <c r="M852" s="3">
        <f>IF(AND(tbl_main[[#This Row],[Price]]="",tbl_main[[#This Row],[Qty]]=""),"",tbl_main[[#This Row],[Price]]*tbl_main[[#This Row],[Qty]])</f>
        <v>200</v>
      </c>
      <c r="N852" s="3">
        <f>_xlfn.LET(_xlpm.x,_xlfn.XLOOKUP(tbl_main[[#This Row],[Service]],tbl_service[Service],tbl_service[Profit],""),
               IF(tbl_main[[#This Row],[Qty]]="","",_xlpm.x*tbl_main[[#This Row],[Qty]]))</f>
        <v>90</v>
      </c>
    </row>
    <row r="853" spans="1:14" x14ac:dyDescent="0.25">
      <c r="A853" t="s">
        <v>895</v>
      </c>
      <c r="B853" s="1">
        <v>45939</v>
      </c>
      <c r="C853">
        <f>IF(tbl_main[[#This Row],[Date]]="","",YEAR(B853))</f>
        <v>2025</v>
      </c>
      <c r="D853" t="str">
        <f>IF(tbl_main[[#This Row],[Date]]="","",TEXT(B853,"mmm"))</f>
        <v>Oct</v>
      </c>
      <c r="E853" t="str">
        <f>IF(tbl_main[[#This Row],[Date]]="","",TEXT(B853,"DDD"))</f>
        <v>Thu</v>
      </c>
      <c r="F853" t="s">
        <v>30</v>
      </c>
      <c r="G853" t="s">
        <v>31</v>
      </c>
      <c r="H853" s="3" t="s">
        <v>22</v>
      </c>
      <c r="I853" s="3" t="s">
        <v>19</v>
      </c>
      <c r="J853" s="3" t="s">
        <v>32</v>
      </c>
      <c r="K853" s="3">
        <f>_xlfn.XLOOKUP(tbl_main[[#This Row],[Service]],tbl_service[Service],tbl_service[Price],"")</f>
        <v>150</v>
      </c>
      <c r="L853" s="3">
        <v>2</v>
      </c>
      <c r="M853" s="3">
        <f>IF(AND(tbl_main[[#This Row],[Price]]="",tbl_main[[#This Row],[Qty]]=""),"",tbl_main[[#This Row],[Price]]*tbl_main[[#This Row],[Qty]])</f>
        <v>300</v>
      </c>
      <c r="N853" s="3">
        <f>_xlfn.LET(_xlpm.x,_xlfn.XLOOKUP(tbl_main[[#This Row],[Service]],tbl_service[Service],tbl_service[Profit],""),
               IF(tbl_main[[#This Row],[Qty]]="","",_xlpm.x*tbl_main[[#This Row],[Qty]]))</f>
        <v>134</v>
      </c>
    </row>
    <row r="854" spans="1:14" x14ac:dyDescent="0.25">
      <c r="A854" t="s">
        <v>896</v>
      </c>
      <c r="B854" s="1">
        <v>45940</v>
      </c>
      <c r="C854">
        <f>IF(tbl_main[[#This Row],[Date]]="","",YEAR(B854))</f>
        <v>2025</v>
      </c>
      <c r="D854" t="str">
        <f>IF(tbl_main[[#This Row],[Date]]="","",TEXT(B854,"mmm"))</f>
        <v>Oct</v>
      </c>
      <c r="E854" t="str">
        <f>IF(tbl_main[[#This Row],[Date]]="","",TEXT(B854,"DDD"))</f>
        <v>Fri</v>
      </c>
      <c r="F854" t="s">
        <v>20</v>
      </c>
      <c r="G854" t="s">
        <v>21</v>
      </c>
      <c r="H854" s="3" t="s">
        <v>18</v>
      </c>
      <c r="I854" s="3" t="s">
        <v>43</v>
      </c>
      <c r="J854" s="3" t="s">
        <v>32</v>
      </c>
      <c r="K854" s="3">
        <f>_xlfn.XLOOKUP(tbl_main[[#This Row],[Service]],tbl_service[Service],tbl_service[Price],"")</f>
        <v>500</v>
      </c>
      <c r="L854" s="3">
        <v>2</v>
      </c>
      <c r="M854" s="3">
        <f>IF(AND(tbl_main[[#This Row],[Price]]="",tbl_main[[#This Row],[Qty]]=""),"",tbl_main[[#This Row],[Price]]*tbl_main[[#This Row],[Qty]])</f>
        <v>1000</v>
      </c>
      <c r="N854" s="3">
        <f>_xlfn.LET(_xlpm.x,_xlfn.XLOOKUP(tbl_main[[#This Row],[Service]],tbl_service[Service],tbl_service[Profit],""),
               IF(tbl_main[[#This Row],[Qty]]="","",_xlpm.x*tbl_main[[#This Row],[Qty]]))</f>
        <v>314</v>
      </c>
    </row>
    <row r="855" spans="1:14" x14ac:dyDescent="0.25">
      <c r="A855" t="s">
        <v>897</v>
      </c>
      <c r="B855" s="1">
        <v>45940</v>
      </c>
      <c r="C855">
        <f>IF(tbl_main[[#This Row],[Date]]="","",YEAR(B855))</f>
        <v>2025</v>
      </c>
      <c r="D855" t="str">
        <f>IF(tbl_main[[#This Row],[Date]]="","",TEXT(B855,"mmm"))</f>
        <v>Oct</v>
      </c>
      <c r="E855" t="str">
        <f>IF(tbl_main[[#This Row],[Date]]="","",TEXT(B855,"DDD"))</f>
        <v>Fri</v>
      </c>
      <c r="F855" t="s">
        <v>13</v>
      </c>
      <c r="G855" t="s">
        <v>33</v>
      </c>
      <c r="H855" s="3" t="s">
        <v>22</v>
      </c>
      <c r="I855" s="3" t="s">
        <v>41</v>
      </c>
      <c r="J855" s="3" t="s">
        <v>17</v>
      </c>
      <c r="K855" s="3">
        <f>_xlfn.XLOOKUP(tbl_main[[#This Row],[Service]],tbl_service[Service],tbl_service[Price],"")</f>
        <v>150</v>
      </c>
      <c r="L855" s="3">
        <v>1</v>
      </c>
      <c r="M855" s="3">
        <f>IF(AND(tbl_main[[#This Row],[Price]]="",tbl_main[[#This Row],[Qty]]=""),"",tbl_main[[#This Row],[Price]]*tbl_main[[#This Row],[Qty]])</f>
        <v>150</v>
      </c>
      <c r="N855" s="3">
        <f>_xlfn.LET(_xlpm.x,_xlfn.XLOOKUP(tbl_main[[#This Row],[Service]],tbl_service[Service],tbl_service[Profit],""),
               IF(tbl_main[[#This Row],[Qty]]="","",_xlpm.x*tbl_main[[#This Row],[Qty]]))</f>
        <v>67</v>
      </c>
    </row>
    <row r="856" spans="1:14" x14ac:dyDescent="0.25">
      <c r="A856" t="s">
        <v>898</v>
      </c>
      <c r="B856" s="1">
        <v>45940</v>
      </c>
      <c r="C856">
        <f>IF(tbl_main[[#This Row],[Date]]="","",YEAR(B856))</f>
        <v>2025</v>
      </c>
      <c r="D856" t="str">
        <f>IF(tbl_main[[#This Row],[Date]]="","",TEXT(B856,"mmm"))</f>
        <v>Oct</v>
      </c>
      <c r="E856" t="str">
        <f>IF(tbl_main[[#This Row],[Date]]="","",TEXT(B856,"DDD"))</f>
        <v>Fri</v>
      </c>
      <c r="F856" t="s">
        <v>20</v>
      </c>
      <c r="G856" t="s">
        <v>21</v>
      </c>
      <c r="H856" s="3" t="s">
        <v>24</v>
      </c>
      <c r="I856" s="3" t="s">
        <v>41</v>
      </c>
      <c r="J856" s="3" t="s">
        <v>25</v>
      </c>
      <c r="K856" s="3">
        <f>_xlfn.XLOOKUP(tbl_main[[#This Row],[Service]],tbl_service[Service],tbl_service[Price],"")</f>
        <v>80</v>
      </c>
      <c r="L856" s="3">
        <v>2</v>
      </c>
      <c r="M856" s="3">
        <f>IF(AND(tbl_main[[#This Row],[Price]]="",tbl_main[[#This Row],[Qty]]=""),"",tbl_main[[#This Row],[Price]]*tbl_main[[#This Row],[Qty]])</f>
        <v>160</v>
      </c>
      <c r="N856" s="3">
        <f>_xlfn.LET(_xlpm.x,_xlfn.XLOOKUP(tbl_main[[#This Row],[Service]],tbl_service[Service],tbl_service[Profit],""),
               IF(tbl_main[[#This Row],[Qty]]="","",_xlpm.x*tbl_main[[#This Row],[Qty]]))</f>
        <v>72</v>
      </c>
    </row>
    <row r="857" spans="1:14" x14ac:dyDescent="0.25">
      <c r="A857" t="s">
        <v>899</v>
      </c>
      <c r="B857" s="1">
        <v>45940</v>
      </c>
      <c r="C857">
        <f>IF(tbl_main[[#This Row],[Date]]="","",YEAR(B857))</f>
        <v>2025</v>
      </c>
      <c r="D857" t="str">
        <f>IF(tbl_main[[#This Row],[Date]]="","",TEXT(B857,"mmm"))</f>
        <v>Oct</v>
      </c>
      <c r="E857" t="str">
        <f>IF(tbl_main[[#This Row],[Date]]="","",TEXT(B857,"DDD"))</f>
        <v>Fri</v>
      </c>
      <c r="F857" t="s">
        <v>20</v>
      </c>
      <c r="G857" t="s">
        <v>21</v>
      </c>
      <c r="H857" s="3" t="s">
        <v>15</v>
      </c>
      <c r="I857" s="3" t="s">
        <v>35</v>
      </c>
      <c r="J857" s="3" t="s">
        <v>32</v>
      </c>
      <c r="K857" s="3">
        <f>_xlfn.XLOOKUP(tbl_main[[#This Row],[Service]],tbl_service[Service],tbl_service[Price],"")</f>
        <v>500</v>
      </c>
      <c r="L857" s="3">
        <v>2</v>
      </c>
      <c r="M857" s="3">
        <f>IF(AND(tbl_main[[#This Row],[Price]]="",tbl_main[[#This Row],[Qty]]=""),"",tbl_main[[#This Row],[Price]]*tbl_main[[#This Row],[Qty]])</f>
        <v>1000</v>
      </c>
      <c r="N857" s="3">
        <f>_xlfn.LET(_xlpm.x,_xlfn.XLOOKUP(tbl_main[[#This Row],[Service]],tbl_service[Service],tbl_service[Profit],""),
               IF(tbl_main[[#This Row],[Qty]]="","",_xlpm.x*tbl_main[[#This Row],[Qty]]))</f>
        <v>450</v>
      </c>
    </row>
    <row r="858" spans="1:14" x14ac:dyDescent="0.25">
      <c r="A858" t="s">
        <v>900</v>
      </c>
      <c r="B858" s="1">
        <v>45941</v>
      </c>
      <c r="C858">
        <f>IF(tbl_main[[#This Row],[Date]]="","",YEAR(B858))</f>
        <v>2025</v>
      </c>
      <c r="D858" t="str">
        <f>IF(tbl_main[[#This Row],[Date]]="","",TEXT(B858,"mmm"))</f>
        <v>Oct</v>
      </c>
      <c r="E858" t="str">
        <f>IF(tbl_main[[#This Row],[Date]]="","",TEXT(B858,"DDD"))</f>
        <v>Sat</v>
      </c>
      <c r="F858" t="s">
        <v>30</v>
      </c>
      <c r="G858" t="s">
        <v>31</v>
      </c>
      <c r="H858" s="3" t="s">
        <v>15</v>
      </c>
      <c r="I858" s="3" t="s">
        <v>35</v>
      </c>
      <c r="J858" s="3" t="s">
        <v>17</v>
      </c>
      <c r="K858" s="3">
        <f>_xlfn.XLOOKUP(tbl_main[[#This Row],[Service]],tbl_service[Service],tbl_service[Price],"")</f>
        <v>500</v>
      </c>
      <c r="L858" s="3">
        <v>2</v>
      </c>
      <c r="M858" s="3">
        <f>IF(AND(tbl_main[[#This Row],[Price]]="",tbl_main[[#This Row],[Qty]]=""),"",tbl_main[[#This Row],[Price]]*tbl_main[[#This Row],[Qty]])</f>
        <v>1000</v>
      </c>
      <c r="N858" s="3">
        <f>_xlfn.LET(_xlpm.x,_xlfn.XLOOKUP(tbl_main[[#This Row],[Service]],tbl_service[Service],tbl_service[Profit],""),
               IF(tbl_main[[#This Row],[Qty]]="","",_xlpm.x*tbl_main[[#This Row],[Qty]]))</f>
        <v>450</v>
      </c>
    </row>
    <row r="859" spans="1:14" x14ac:dyDescent="0.25">
      <c r="A859" t="s">
        <v>901</v>
      </c>
      <c r="B859" s="1">
        <v>45941</v>
      </c>
      <c r="C859">
        <f>IF(tbl_main[[#This Row],[Date]]="","",YEAR(B859))</f>
        <v>2025</v>
      </c>
      <c r="D859" t="str">
        <f>IF(tbl_main[[#This Row],[Date]]="","",TEXT(B859,"mmm"))</f>
        <v>Oct</v>
      </c>
      <c r="E859" t="str">
        <f>IF(tbl_main[[#This Row],[Date]]="","",TEXT(B859,"DDD"))</f>
        <v>Sat</v>
      </c>
      <c r="F859" t="s">
        <v>20</v>
      </c>
      <c r="G859" t="s">
        <v>21</v>
      </c>
      <c r="H859" s="3" t="s">
        <v>15</v>
      </c>
      <c r="I859" s="3" t="s">
        <v>23</v>
      </c>
      <c r="J859" s="3" t="s">
        <v>32</v>
      </c>
      <c r="K859" s="3">
        <f>_xlfn.XLOOKUP(tbl_main[[#This Row],[Service]],tbl_service[Service],tbl_service[Price],"")</f>
        <v>500</v>
      </c>
      <c r="L859" s="3">
        <v>2</v>
      </c>
      <c r="M859" s="3">
        <f>IF(AND(tbl_main[[#This Row],[Price]]="",tbl_main[[#This Row],[Qty]]=""),"",tbl_main[[#This Row],[Price]]*tbl_main[[#This Row],[Qty]])</f>
        <v>1000</v>
      </c>
      <c r="N859" s="3">
        <f>_xlfn.LET(_xlpm.x,_xlfn.XLOOKUP(tbl_main[[#This Row],[Service]],tbl_service[Service],tbl_service[Profit],""),
               IF(tbl_main[[#This Row],[Qty]]="","",_xlpm.x*tbl_main[[#This Row],[Qty]]))</f>
        <v>450</v>
      </c>
    </row>
    <row r="860" spans="1:14" x14ac:dyDescent="0.25">
      <c r="A860" t="s">
        <v>902</v>
      </c>
      <c r="B860" s="1">
        <v>45942</v>
      </c>
      <c r="C860">
        <f>IF(tbl_main[[#This Row],[Date]]="","",YEAR(B860))</f>
        <v>2025</v>
      </c>
      <c r="D860" t="str">
        <f>IF(tbl_main[[#This Row],[Date]]="","",TEXT(B860,"mmm"))</f>
        <v>Oct</v>
      </c>
      <c r="E860" t="str">
        <f>IF(tbl_main[[#This Row],[Date]]="","",TEXT(B860,"DDD"))</f>
        <v>Sun</v>
      </c>
      <c r="F860" t="s">
        <v>13</v>
      </c>
      <c r="G860" t="s">
        <v>33</v>
      </c>
      <c r="H860" s="3" t="s">
        <v>34</v>
      </c>
      <c r="I860" s="3" t="s">
        <v>37</v>
      </c>
      <c r="J860" s="3" t="s">
        <v>32</v>
      </c>
      <c r="K860" s="3">
        <f>_xlfn.XLOOKUP(tbl_main[[#This Row],[Service]],tbl_service[Service],tbl_service[Price],"")</f>
        <v>100</v>
      </c>
      <c r="L860" s="3">
        <v>1</v>
      </c>
      <c r="M860" s="3">
        <f>IF(AND(tbl_main[[#This Row],[Price]]="",tbl_main[[#This Row],[Qty]]=""),"",tbl_main[[#This Row],[Price]]*tbl_main[[#This Row],[Qty]])</f>
        <v>100</v>
      </c>
      <c r="N860" s="3">
        <f>_xlfn.LET(_xlpm.x,_xlfn.XLOOKUP(tbl_main[[#This Row],[Service]],tbl_service[Service],tbl_service[Profit],""),
               IF(tbl_main[[#This Row],[Qty]]="","",_xlpm.x*tbl_main[[#This Row],[Qty]]))</f>
        <v>45</v>
      </c>
    </row>
    <row r="861" spans="1:14" x14ac:dyDescent="0.25">
      <c r="A861" t="s">
        <v>903</v>
      </c>
      <c r="B861" s="1">
        <v>45942</v>
      </c>
      <c r="C861">
        <f>IF(tbl_main[[#This Row],[Date]]="","",YEAR(B861))</f>
        <v>2025</v>
      </c>
      <c r="D861" t="str">
        <f>IF(tbl_main[[#This Row],[Date]]="","",TEXT(B861,"mmm"))</f>
        <v>Oct</v>
      </c>
      <c r="E861" t="str">
        <f>IF(tbl_main[[#This Row],[Date]]="","",TEXT(B861,"DDD"))</f>
        <v>Sun</v>
      </c>
      <c r="F861" t="s">
        <v>13</v>
      </c>
      <c r="G861" t="s">
        <v>14</v>
      </c>
      <c r="H861" s="3" t="s">
        <v>22</v>
      </c>
      <c r="I861" s="3" t="s">
        <v>38</v>
      </c>
      <c r="J861" s="3" t="s">
        <v>25</v>
      </c>
      <c r="K861" s="3">
        <f>_xlfn.XLOOKUP(tbl_main[[#This Row],[Service]],tbl_service[Service],tbl_service[Price],"")</f>
        <v>150</v>
      </c>
      <c r="L861" s="3">
        <v>2</v>
      </c>
      <c r="M861" s="3">
        <f>IF(AND(tbl_main[[#This Row],[Price]]="",tbl_main[[#This Row],[Qty]]=""),"",tbl_main[[#This Row],[Price]]*tbl_main[[#This Row],[Qty]])</f>
        <v>300</v>
      </c>
      <c r="N861" s="3">
        <f>_xlfn.LET(_xlpm.x,_xlfn.XLOOKUP(tbl_main[[#This Row],[Service]],tbl_service[Service],tbl_service[Profit],""),
               IF(tbl_main[[#This Row],[Qty]]="","",_xlpm.x*tbl_main[[#This Row],[Qty]]))</f>
        <v>134</v>
      </c>
    </row>
    <row r="862" spans="1:14" x14ac:dyDescent="0.25">
      <c r="A862" t="s">
        <v>904</v>
      </c>
      <c r="B862" s="1">
        <v>45943</v>
      </c>
      <c r="C862">
        <f>IF(tbl_main[[#This Row],[Date]]="","",YEAR(B862))</f>
        <v>2025</v>
      </c>
      <c r="D862" t="str">
        <f>IF(tbl_main[[#This Row],[Date]]="","",TEXT(B862,"mmm"))</f>
        <v>Oct</v>
      </c>
      <c r="E862" t="str">
        <f>IF(tbl_main[[#This Row],[Date]]="","",TEXT(B862,"DDD"))</f>
        <v>Mon</v>
      </c>
      <c r="F862" t="s">
        <v>30</v>
      </c>
      <c r="G862" t="s">
        <v>31</v>
      </c>
      <c r="H862" s="3" t="s">
        <v>24</v>
      </c>
      <c r="I862" s="3" t="s">
        <v>16</v>
      </c>
      <c r="J862" s="3" t="s">
        <v>17</v>
      </c>
      <c r="K862" s="3">
        <f>_xlfn.XLOOKUP(tbl_main[[#This Row],[Service]],tbl_service[Service],tbl_service[Price],"")</f>
        <v>80</v>
      </c>
      <c r="L862" s="3">
        <v>1</v>
      </c>
      <c r="M862" s="3">
        <f>IF(AND(tbl_main[[#This Row],[Price]]="",tbl_main[[#This Row],[Qty]]=""),"",tbl_main[[#This Row],[Price]]*tbl_main[[#This Row],[Qty]])</f>
        <v>80</v>
      </c>
      <c r="N862" s="3">
        <f>_xlfn.LET(_xlpm.x,_xlfn.XLOOKUP(tbl_main[[#This Row],[Service]],tbl_service[Service],tbl_service[Profit],""),
               IF(tbl_main[[#This Row],[Qty]]="","",_xlpm.x*tbl_main[[#This Row],[Qty]]))</f>
        <v>36</v>
      </c>
    </row>
    <row r="863" spans="1:14" x14ac:dyDescent="0.25">
      <c r="A863" t="s">
        <v>905</v>
      </c>
      <c r="B863" s="1">
        <v>45943</v>
      </c>
      <c r="C863">
        <f>IF(tbl_main[[#This Row],[Date]]="","",YEAR(B863))</f>
        <v>2025</v>
      </c>
      <c r="D863" t="str">
        <f>IF(tbl_main[[#This Row],[Date]]="","",TEXT(B863,"mmm"))</f>
        <v>Oct</v>
      </c>
      <c r="E863" t="str">
        <f>IF(tbl_main[[#This Row],[Date]]="","",TEXT(B863,"DDD"))</f>
        <v>Mon</v>
      </c>
      <c r="F863" t="s">
        <v>20</v>
      </c>
      <c r="G863" t="s">
        <v>39</v>
      </c>
      <c r="H863" s="3" t="s">
        <v>26</v>
      </c>
      <c r="I863" s="3" t="s">
        <v>19</v>
      </c>
      <c r="J863" s="3" t="s">
        <v>25</v>
      </c>
      <c r="K863" s="3">
        <f>_xlfn.XLOOKUP(tbl_main[[#This Row],[Service]],tbl_service[Service],tbl_service[Price],"")</f>
        <v>200</v>
      </c>
      <c r="L863" s="3">
        <v>2</v>
      </c>
      <c r="M863" s="3">
        <f>IF(AND(tbl_main[[#This Row],[Price]]="",tbl_main[[#This Row],[Qty]]=""),"",tbl_main[[#This Row],[Price]]*tbl_main[[#This Row],[Qty]])</f>
        <v>400</v>
      </c>
      <c r="N863" s="3">
        <f>_xlfn.LET(_xlpm.x,_xlfn.XLOOKUP(tbl_main[[#This Row],[Service]],tbl_service[Service],tbl_service[Profit],""),
               IF(tbl_main[[#This Row],[Qty]]="","",_xlpm.x*tbl_main[[#This Row],[Qty]]))</f>
        <v>180</v>
      </c>
    </row>
    <row r="864" spans="1:14" x14ac:dyDescent="0.25">
      <c r="A864" t="s">
        <v>906</v>
      </c>
      <c r="B864" s="1">
        <v>45944</v>
      </c>
      <c r="C864">
        <f>IF(tbl_main[[#This Row],[Date]]="","",YEAR(B864))</f>
        <v>2025</v>
      </c>
      <c r="D864" t="str">
        <f>IF(tbl_main[[#This Row],[Date]]="","",TEXT(B864,"mmm"))</f>
        <v>Oct</v>
      </c>
      <c r="E864" t="str">
        <f>IF(tbl_main[[#This Row],[Date]]="","",TEXT(B864,"DDD"))</f>
        <v>Tue</v>
      </c>
      <c r="F864" t="s">
        <v>20</v>
      </c>
      <c r="G864" t="s">
        <v>21</v>
      </c>
      <c r="H864" s="3" t="s">
        <v>18</v>
      </c>
      <c r="I864" s="3" t="s">
        <v>43</v>
      </c>
      <c r="J864" s="3" t="s">
        <v>25</v>
      </c>
      <c r="K864" s="3">
        <f>_xlfn.XLOOKUP(tbl_main[[#This Row],[Service]],tbl_service[Service],tbl_service[Price],"")</f>
        <v>500</v>
      </c>
      <c r="L864" s="3">
        <v>2</v>
      </c>
      <c r="M864" s="3">
        <f>IF(AND(tbl_main[[#This Row],[Price]]="",tbl_main[[#This Row],[Qty]]=""),"",tbl_main[[#This Row],[Price]]*tbl_main[[#This Row],[Qty]])</f>
        <v>1000</v>
      </c>
      <c r="N864" s="3">
        <f>_xlfn.LET(_xlpm.x,_xlfn.XLOOKUP(tbl_main[[#This Row],[Service]],tbl_service[Service],tbl_service[Profit],""),
               IF(tbl_main[[#This Row],[Qty]]="","",_xlpm.x*tbl_main[[#This Row],[Qty]]))</f>
        <v>314</v>
      </c>
    </row>
    <row r="865" spans="1:14" x14ac:dyDescent="0.25">
      <c r="A865" t="s">
        <v>907</v>
      </c>
      <c r="B865" s="1">
        <v>45944</v>
      </c>
      <c r="C865">
        <f>IF(tbl_main[[#This Row],[Date]]="","",YEAR(B865))</f>
        <v>2025</v>
      </c>
      <c r="D865" t="str">
        <f>IF(tbl_main[[#This Row],[Date]]="","",TEXT(B865,"mmm"))</f>
        <v>Oct</v>
      </c>
      <c r="E865" t="str">
        <f>IF(tbl_main[[#This Row],[Date]]="","",TEXT(B865,"DDD"))</f>
        <v>Tue</v>
      </c>
      <c r="F865" t="s">
        <v>13</v>
      </c>
      <c r="G865" t="s">
        <v>14</v>
      </c>
      <c r="H865" s="3" t="s">
        <v>34</v>
      </c>
      <c r="I865" s="3" t="s">
        <v>41</v>
      </c>
      <c r="J865" s="3" t="s">
        <v>32</v>
      </c>
      <c r="K865" s="3">
        <f>_xlfn.XLOOKUP(tbl_main[[#This Row],[Service]],tbl_service[Service],tbl_service[Price],"")</f>
        <v>100</v>
      </c>
      <c r="L865" s="3">
        <v>2</v>
      </c>
      <c r="M865" s="3">
        <f>IF(AND(tbl_main[[#This Row],[Price]]="",tbl_main[[#This Row],[Qty]]=""),"",tbl_main[[#This Row],[Price]]*tbl_main[[#This Row],[Qty]])</f>
        <v>200</v>
      </c>
      <c r="N865" s="3">
        <f>_xlfn.LET(_xlpm.x,_xlfn.XLOOKUP(tbl_main[[#This Row],[Service]],tbl_service[Service],tbl_service[Profit],""),
               IF(tbl_main[[#This Row],[Qty]]="","",_xlpm.x*tbl_main[[#This Row],[Qty]]))</f>
        <v>90</v>
      </c>
    </row>
    <row r="866" spans="1:14" x14ac:dyDescent="0.25">
      <c r="A866" t="s">
        <v>908</v>
      </c>
      <c r="B866" s="1">
        <v>45944</v>
      </c>
      <c r="C866">
        <f>IF(tbl_main[[#This Row],[Date]]="","",YEAR(B866))</f>
        <v>2025</v>
      </c>
      <c r="D866" t="str">
        <f>IF(tbl_main[[#This Row],[Date]]="","",TEXT(B866,"mmm"))</f>
        <v>Oct</v>
      </c>
      <c r="E866" t="str">
        <f>IF(tbl_main[[#This Row],[Date]]="","",TEXT(B866,"DDD"))</f>
        <v>Tue</v>
      </c>
      <c r="F866" t="s">
        <v>30</v>
      </c>
      <c r="G866" t="s">
        <v>36</v>
      </c>
      <c r="H866" s="3" t="s">
        <v>24</v>
      </c>
      <c r="I866" s="3" t="s">
        <v>41</v>
      </c>
      <c r="J866" s="3" t="s">
        <v>32</v>
      </c>
      <c r="K866" s="3">
        <f>_xlfn.XLOOKUP(tbl_main[[#This Row],[Service]],tbl_service[Service],tbl_service[Price],"")</f>
        <v>80</v>
      </c>
      <c r="L866" s="3">
        <v>2</v>
      </c>
      <c r="M866" s="3">
        <f>IF(AND(tbl_main[[#This Row],[Price]]="",tbl_main[[#This Row],[Qty]]=""),"",tbl_main[[#This Row],[Price]]*tbl_main[[#This Row],[Qty]])</f>
        <v>160</v>
      </c>
      <c r="N866" s="3">
        <f>_xlfn.LET(_xlpm.x,_xlfn.XLOOKUP(tbl_main[[#This Row],[Service]],tbl_service[Service],tbl_service[Profit],""),
               IF(tbl_main[[#This Row],[Qty]]="","",_xlpm.x*tbl_main[[#This Row],[Qty]]))</f>
        <v>72</v>
      </c>
    </row>
    <row r="867" spans="1:14" x14ac:dyDescent="0.25">
      <c r="A867" t="s">
        <v>909</v>
      </c>
      <c r="B867" s="1">
        <v>45944</v>
      </c>
      <c r="C867">
        <f>IF(tbl_main[[#This Row],[Date]]="","",YEAR(B867))</f>
        <v>2025</v>
      </c>
      <c r="D867" t="str">
        <f>IF(tbl_main[[#This Row],[Date]]="","",TEXT(B867,"mmm"))</f>
        <v>Oct</v>
      </c>
      <c r="E867" t="str">
        <f>IF(tbl_main[[#This Row],[Date]]="","",TEXT(B867,"DDD"))</f>
        <v>Tue</v>
      </c>
      <c r="F867" t="s">
        <v>30</v>
      </c>
      <c r="G867" t="s">
        <v>36</v>
      </c>
      <c r="H867" s="3" t="s">
        <v>24</v>
      </c>
      <c r="I867" s="3" t="s">
        <v>35</v>
      </c>
      <c r="J867" s="3" t="s">
        <v>17</v>
      </c>
      <c r="K867" s="3">
        <f>_xlfn.XLOOKUP(tbl_main[[#This Row],[Service]],tbl_service[Service],tbl_service[Price],"")</f>
        <v>80</v>
      </c>
      <c r="L867" s="3">
        <v>1</v>
      </c>
      <c r="M867" s="3">
        <f>IF(AND(tbl_main[[#This Row],[Price]]="",tbl_main[[#This Row],[Qty]]=""),"",tbl_main[[#This Row],[Price]]*tbl_main[[#This Row],[Qty]])</f>
        <v>80</v>
      </c>
      <c r="N867" s="3">
        <f>_xlfn.LET(_xlpm.x,_xlfn.XLOOKUP(tbl_main[[#This Row],[Service]],tbl_service[Service],tbl_service[Profit],""),
               IF(tbl_main[[#This Row],[Qty]]="","",_xlpm.x*tbl_main[[#This Row],[Qty]]))</f>
        <v>36</v>
      </c>
    </row>
    <row r="868" spans="1:14" x14ac:dyDescent="0.25">
      <c r="A868" t="s">
        <v>910</v>
      </c>
      <c r="B868" s="1">
        <v>45945</v>
      </c>
      <c r="C868">
        <f>IF(tbl_main[[#This Row],[Date]]="","",YEAR(B868))</f>
        <v>2025</v>
      </c>
      <c r="D868" t="str">
        <f>IF(tbl_main[[#This Row],[Date]]="","",TEXT(B868,"mmm"))</f>
        <v>Oct</v>
      </c>
      <c r="E868" t="str">
        <f>IF(tbl_main[[#This Row],[Date]]="","",TEXT(B868,"DDD"))</f>
        <v>Wed</v>
      </c>
      <c r="F868" t="s">
        <v>20</v>
      </c>
      <c r="G868" t="s">
        <v>21</v>
      </c>
      <c r="H868" s="3" t="s">
        <v>18</v>
      </c>
      <c r="I868" s="3" t="s">
        <v>35</v>
      </c>
      <c r="J868" s="3" t="s">
        <v>17</v>
      </c>
      <c r="K868" s="3">
        <f>_xlfn.XLOOKUP(tbl_main[[#This Row],[Service]],tbl_service[Service],tbl_service[Price],"")</f>
        <v>500</v>
      </c>
      <c r="L868" s="3">
        <v>2</v>
      </c>
      <c r="M868" s="3">
        <f>IF(AND(tbl_main[[#This Row],[Price]]="",tbl_main[[#This Row],[Qty]]=""),"",tbl_main[[#This Row],[Price]]*tbl_main[[#This Row],[Qty]])</f>
        <v>1000</v>
      </c>
      <c r="N868" s="3">
        <f>_xlfn.LET(_xlpm.x,_xlfn.XLOOKUP(tbl_main[[#This Row],[Service]],tbl_service[Service],tbl_service[Profit],""),
               IF(tbl_main[[#This Row],[Qty]]="","",_xlpm.x*tbl_main[[#This Row],[Qty]]))</f>
        <v>314</v>
      </c>
    </row>
    <row r="869" spans="1:14" x14ac:dyDescent="0.25">
      <c r="A869" t="s">
        <v>911</v>
      </c>
      <c r="B869" s="1">
        <v>45945</v>
      </c>
      <c r="C869">
        <f>IF(tbl_main[[#This Row],[Date]]="","",YEAR(B869))</f>
        <v>2025</v>
      </c>
      <c r="D869" t="str">
        <f>IF(tbl_main[[#This Row],[Date]]="","",TEXT(B869,"mmm"))</f>
        <v>Oct</v>
      </c>
      <c r="E869" t="str">
        <f>IF(tbl_main[[#This Row],[Date]]="","",TEXT(B869,"DDD"))</f>
        <v>Wed</v>
      </c>
      <c r="F869" t="s">
        <v>13</v>
      </c>
      <c r="G869" t="s">
        <v>14</v>
      </c>
      <c r="H869" s="3" t="s">
        <v>15</v>
      </c>
      <c r="I869" s="3" t="s">
        <v>23</v>
      </c>
      <c r="J869" s="3" t="s">
        <v>17</v>
      </c>
      <c r="K869" s="3">
        <f>_xlfn.XLOOKUP(tbl_main[[#This Row],[Service]],tbl_service[Service],tbl_service[Price],"")</f>
        <v>500</v>
      </c>
      <c r="L869" s="3">
        <v>2</v>
      </c>
      <c r="M869" s="3">
        <f>IF(AND(tbl_main[[#This Row],[Price]]="",tbl_main[[#This Row],[Qty]]=""),"",tbl_main[[#This Row],[Price]]*tbl_main[[#This Row],[Qty]])</f>
        <v>1000</v>
      </c>
      <c r="N869" s="3">
        <f>_xlfn.LET(_xlpm.x,_xlfn.XLOOKUP(tbl_main[[#This Row],[Service]],tbl_service[Service],tbl_service[Profit],""),
               IF(tbl_main[[#This Row],[Qty]]="","",_xlpm.x*tbl_main[[#This Row],[Qty]]))</f>
        <v>450</v>
      </c>
    </row>
    <row r="870" spans="1:14" x14ac:dyDescent="0.25">
      <c r="A870" t="s">
        <v>912</v>
      </c>
      <c r="B870" s="1">
        <v>45946</v>
      </c>
      <c r="C870">
        <f>IF(tbl_main[[#This Row],[Date]]="","",YEAR(B870))</f>
        <v>2025</v>
      </c>
      <c r="D870" t="str">
        <f>IF(tbl_main[[#This Row],[Date]]="","",TEXT(B870,"mmm"))</f>
        <v>Oct</v>
      </c>
      <c r="E870" t="str">
        <f>IF(tbl_main[[#This Row],[Date]]="","",TEXT(B870,"DDD"))</f>
        <v>Thu</v>
      </c>
      <c r="F870" t="s">
        <v>30</v>
      </c>
      <c r="G870" t="s">
        <v>31</v>
      </c>
      <c r="H870" s="3" t="s">
        <v>22</v>
      </c>
      <c r="I870" s="3" t="s">
        <v>37</v>
      </c>
      <c r="J870" s="3" t="s">
        <v>25</v>
      </c>
      <c r="K870" s="3">
        <f>_xlfn.XLOOKUP(tbl_main[[#This Row],[Service]],tbl_service[Service],tbl_service[Price],"")</f>
        <v>150</v>
      </c>
      <c r="L870" s="3">
        <v>2</v>
      </c>
      <c r="M870" s="3">
        <f>IF(AND(tbl_main[[#This Row],[Price]]="",tbl_main[[#This Row],[Qty]]=""),"",tbl_main[[#This Row],[Price]]*tbl_main[[#This Row],[Qty]])</f>
        <v>300</v>
      </c>
      <c r="N870" s="3">
        <f>_xlfn.LET(_xlpm.x,_xlfn.XLOOKUP(tbl_main[[#This Row],[Service]],tbl_service[Service],tbl_service[Profit],""),
               IF(tbl_main[[#This Row],[Qty]]="","",_xlpm.x*tbl_main[[#This Row],[Qty]]))</f>
        <v>134</v>
      </c>
    </row>
    <row r="871" spans="1:14" x14ac:dyDescent="0.25">
      <c r="A871" t="s">
        <v>913</v>
      </c>
      <c r="B871" s="1">
        <v>45946</v>
      </c>
      <c r="C871">
        <f>IF(tbl_main[[#This Row],[Date]]="","",YEAR(B871))</f>
        <v>2025</v>
      </c>
      <c r="D871" t="str">
        <f>IF(tbl_main[[#This Row],[Date]]="","",TEXT(B871,"mmm"))</f>
        <v>Oct</v>
      </c>
      <c r="E871" t="str">
        <f>IF(tbl_main[[#This Row],[Date]]="","",TEXT(B871,"DDD"))</f>
        <v>Thu</v>
      </c>
      <c r="F871" t="s">
        <v>30</v>
      </c>
      <c r="G871" t="s">
        <v>31</v>
      </c>
      <c r="H871" s="3" t="s">
        <v>24</v>
      </c>
      <c r="I871" s="3" t="s">
        <v>38</v>
      </c>
      <c r="J871" s="3" t="s">
        <v>17</v>
      </c>
      <c r="K871" s="3">
        <f>_xlfn.XLOOKUP(tbl_main[[#This Row],[Service]],tbl_service[Service],tbl_service[Price],"")</f>
        <v>80</v>
      </c>
      <c r="L871" s="3">
        <v>1</v>
      </c>
      <c r="M871" s="3">
        <f>IF(AND(tbl_main[[#This Row],[Price]]="",tbl_main[[#This Row],[Qty]]=""),"",tbl_main[[#This Row],[Price]]*tbl_main[[#This Row],[Qty]])</f>
        <v>80</v>
      </c>
      <c r="N871" s="3">
        <f>_xlfn.LET(_xlpm.x,_xlfn.XLOOKUP(tbl_main[[#This Row],[Service]],tbl_service[Service],tbl_service[Profit],""),
               IF(tbl_main[[#This Row],[Qty]]="","",_xlpm.x*tbl_main[[#This Row],[Qty]]))</f>
        <v>36</v>
      </c>
    </row>
    <row r="872" spans="1:14" x14ac:dyDescent="0.25">
      <c r="A872" t="s">
        <v>914</v>
      </c>
      <c r="B872" s="1">
        <v>45947</v>
      </c>
      <c r="C872">
        <f>IF(tbl_main[[#This Row],[Date]]="","",YEAR(B872))</f>
        <v>2025</v>
      </c>
      <c r="D872" t="str">
        <f>IF(tbl_main[[#This Row],[Date]]="","",TEXT(B872,"mmm"))</f>
        <v>Oct</v>
      </c>
      <c r="E872" t="str">
        <f>IF(tbl_main[[#This Row],[Date]]="","",TEXT(B872,"DDD"))</f>
        <v>Fri</v>
      </c>
      <c r="F872" t="s">
        <v>20</v>
      </c>
      <c r="G872" t="s">
        <v>21</v>
      </c>
      <c r="H872" s="3" t="s">
        <v>26</v>
      </c>
      <c r="I872" s="3" t="s">
        <v>16</v>
      </c>
      <c r="J872" s="3" t="s">
        <v>25</v>
      </c>
      <c r="K872" s="3">
        <f>_xlfn.XLOOKUP(tbl_main[[#This Row],[Service]],tbl_service[Service],tbl_service[Price],"")</f>
        <v>200</v>
      </c>
      <c r="L872" s="3">
        <v>1</v>
      </c>
      <c r="M872" s="3">
        <f>IF(AND(tbl_main[[#This Row],[Price]]="",tbl_main[[#This Row],[Qty]]=""),"",tbl_main[[#This Row],[Price]]*tbl_main[[#This Row],[Qty]])</f>
        <v>200</v>
      </c>
      <c r="N872" s="3">
        <f>_xlfn.LET(_xlpm.x,_xlfn.XLOOKUP(tbl_main[[#This Row],[Service]],tbl_service[Service],tbl_service[Profit],""),
               IF(tbl_main[[#This Row],[Qty]]="","",_xlpm.x*tbl_main[[#This Row],[Qty]]))</f>
        <v>90</v>
      </c>
    </row>
    <row r="873" spans="1:14" x14ac:dyDescent="0.25">
      <c r="A873" t="s">
        <v>915</v>
      </c>
      <c r="B873" s="1">
        <v>45947</v>
      </c>
      <c r="C873">
        <f>IF(tbl_main[[#This Row],[Date]]="","",YEAR(B873))</f>
        <v>2025</v>
      </c>
      <c r="D873" t="str">
        <f>IF(tbl_main[[#This Row],[Date]]="","",TEXT(B873,"mmm"))</f>
        <v>Oct</v>
      </c>
      <c r="E873" t="str">
        <f>IF(tbl_main[[#This Row],[Date]]="","",TEXT(B873,"DDD"))</f>
        <v>Fri</v>
      </c>
      <c r="F873" t="s">
        <v>30</v>
      </c>
      <c r="G873" t="s">
        <v>31</v>
      </c>
      <c r="H873" s="3" t="s">
        <v>18</v>
      </c>
      <c r="I873" s="3" t="s">
        <v>19</v>
      </c>
      <c r="J873" s="3" t="s">
        <v>17</v>
      </c>
      <c r="K873" s="3">
        <f>_xlfn.XLOOKUP(tbl_main[[#This Row],[Service]],tbl_service[Service],tbl_service[Price],"")</f>
        <v>500</v>
      </c>
      <c r="L873" s="3">
        <v>2</v>
      </c>
      <c r="M873" s="3">
        <f>IF(AND(tbl_main[[#This Row],[Price]]="",tbl_main[[#This Row],[Qty]]=""),"",tbl_main[[#This Row],[Price]]*tbl_main[[#This Row],[Qty]])</f>
        <v>1000</v>
      </c>
      <c r="N873" s="3">
        <f>_xlfn.LET(_xlpm.x,_xlfn.XLOOKUP(tbl_main[[#This Row],[Service]],tbl_service[Service],tbl_service[Profit],""),
               IF(tbl_main[[#This Row],[Qty]]="","",_xlpm.x*tbl_main[[#This Row],[Qty]]))</f>
        <v>314</v>
      </c>
    </row>
    <row r="874" spans="1:14" x14ac:dyDescent="0.25">
      <c r="A874" t="s">
        <v>916</v>
      </c>
      <c r="B874" s="1">
        <v>45947</v>
      </c>
      <c r="C874">
        <f>IF(tbl_main[[#This Row],[Date]]="","",YEAR(B874))</f>
        <v>2025</v>
      </c>
      <c r="D874" t="str">
        <f>IF(tbl_main[[#This Row],[Date]]="","",TEXT(B874,"mmm"))</f>
        <v>Oct</v>
      </c>
      <c r="E874" t="str">
        <f>IF(tbl_main[[#This Row],[Date]]="","",TEXT(B874,"DDD"))</f>
        <v>Fri</v>
      </c>
      <c r="F874" t="s">
        <v>30</v>
      </c>
      <c r="G874" t="s">
        <v>36</v>
      </c>
      <c r="H874" s="3" t="s">
        <v>26</v>
      </c>
      <c r="I874" s="3" t="s">
        <v>43</v>
      </c>
      <c r="J874" s="3" t="s">
        <v>25</v>
      </c>
      <c r="K874" s="3">
        <f>_xlfn.XLOOKUP(tbl_main[[#This Row],[Service]],tbl_service[Service],tbl_service[Price],"")</f>
        <v>200</v>
      </c>
      <c r="L874" s="3">
        <v>2</v>
      </c>
      <c r="M874" s="3">
        <f>IF(AND(tbl_main[[#This Row],[Price]]="",tbl_main[[#This Row],[Qty]]=""),"",tbl_main[[#This Row],[Price]]*tbl_main[[#This Row],[Qty]])</f>
        <v>400</v>
      </c>
      <c r="N874" s="3">
        <f>_xlfn.LET(_xlpm.x,_xlfn.XLOOKUP(tbl_main[[#This Row],[Service]],tbl_service[Service],tbl_service[Profit],""),
               IF(tbl_main[[#This Row],[Qty]]="","",_xlpm.x*tbl_main[[#This Row],[Qty]]))</f>
        <v>180</v>
      </c>
    </row>
    <row r="875" spans="1:14" x14ac:dyDescent="0.25">
      <c r="A875" t="s">
        <v>917</v>
      </c>
      <c r="B875" s="1">
        <v>45948</v>
      </c>
      <c r="C875">
        <f>IF(tbl_main[[#This Row],[Date]]="","",YEAR(B875))</f>
        <v>2025</v>
      </c>
      <c r="D875" t="str">
        <f>IF(tbl_main[[#This Row],[Date]]="","",TEXT(B875,"mmm"))</f>
        <v>Oct</v>
      </c>
      <c r="E875" t="str">
        <f>IF(tbl_main[[#This Row],[Date]]="","",TEXT(B875,"DDD"))</f>
        <v>Sat</v>
      </c>
      <c r="F875" t="s">
        <v>20</v>
      </c>
      <c r="G875" t="s">
        <v>39</v>
      </c>
      <c r="H875" s="3" t="s">
        <v>22</v>
      </c>
      <c r="I875" s="3" t="s">
        <v>41</v>
      </c>
      <c r="J875" s="3" t="s">
        <v>32</v>
      </c>
      <c r="K875" s="3">
        <f>_xlfn.XLOOKUP(tbl_main[[#This Row],[Service]],tbl_service[Service],tbl_service[Price],"")</f>
        <v>150</v>
      </c>
      <c r="L875" s="3">
        <v>1</v>
      </c>
      <c r="M875" s="3">
        <f>IF(AND(tbl_main[[#This Row],[Price]]="",tbl_main[[#This Row],[Qty]]=""),"",tbl_main[[#This Row],[Price]]*tbl_main[[#This Row],[Qty]])</f>
        <v>150</v>
      </c>
      <c r="N875" s="3">
        <f>_xlfn.LET(_xlpm.x,_xlfn.XLOOKUP(tbl_main[[#This Row],[Service]],tbl_service[Service],tbl_service[Profit],""),
               IF(tbl_main[[#This Row],[Qty]]="","",_xlpm.x*tbl_main[[#This Row],[Qty]]))</f>
        <v>67</v>
      </c>
    </row>
    <row r="876" spans="1:14" x14ac:dyDescent="0.25">
      <c r="A876" t="s">
        <v>918</v>
      </c>
      <c r="B876" s="1">
        <v>45948</v>
      </c>
      <c r="C876">
        <f>IF(tbl_main[[#This Row],[Date]]="","",YEAR(B876))</f>
        <v>2025</v>
      </c>
      <c r="D876" t="str">
        <f>IF(tbl_main[[#This Row],[Date]]="","",TEXT(B876,"mmm"))</f>
        <v>Oct</v>
      </c>
      <c r="E876" t="str">
        <f>IF(tbl_main[[#This Row],[Date]]="","",TEXT(B876,"DDD"))</f>
        <v>Sat</v>
      </c>
      <c r="F876" t="s">
        <v>30</v>
      </c>
      <c r="G876" t="s">
        <v>31</v>
      </c>
      <c r="H876" s="3" t="s">
        <v>22</v>
      </c>
      <c r="I876" s="3" t="s">
        <v>41</v>
      </c>
      <c r="J876" s="3" t="s">
        <v>17</v>
      </c>
      <c r="K876" s="3">
        <f>_xlfn.XLOOKUP(tbl_main[[#This Row],[Service]],tbl_service[Service],tbl_service[Price],"")</f>
        <v>150</v>
      </c>
      <c r="L876" s="3">
        <v>1</v>
      </c>
      <c r="M876" s="3">
        <f>IF(AND(tbl_main[[#This Row],[Price]]="",tbl_main[[#This Row],[Qty]]=""),"",tbl_main[[#This Row],[Price]]*tbl_main[[#This Row],[Qty]])</f>
        <v>150</v>
      </c>
      <c r="N876" s="3">
        <f>_xlfn.LET(_xlpm.x,_xlfn.XLOOKUP(tbl_main[[#This Row],[Service]],tbl_service[Service],tbl_service[Profit],""),
               IF(tbl_main[[#This Row],[Qty]]="","",_xlpm.x*tbl_main[[#This Row],[Qty]]))</f>
        <v>67</v>
      </c>
    </row>
    <row r="877" spans="1:14" x14ac:dyDescent="0.25">
      <c r="A877" t="s">
        <v>919</v>
      </c>
      <c r="B877" s="1">
        <v>45949</v>
      </c>
      <c r="C877">
        <f>IF(tbl_main[[#This Row],[Date]]="","",YEAR(B877))</f>
        <v>2025</v>
      </c>
      <c r="D877" t="str">
        <f>IF(tbl_main[[#This Row],[Date]]="","",TEXT(B877,"mmm"))</f>
        <v>Oct</v>
      </c>
      <c r="E877" t="str">
        <f>IF(tbl_main[[#This Row],[Date]]="","",TEXT(B877,"DDD"))</f>
        <v>Sun</v>
      </c>
      <c r="F877" t="s">
        <v>27</v>
      </c>
      <c r="G877" t="s">
        <v>40</v>
      </c>
      <c r="H877" s="3" t="s">
        <v>24</v>
      </c>
      <c r="I877" s="3" t="s">
        <v>35</v>
      </c>
      <c r="J877" s="3" t="s">
        <v>17</v>
      </c>
      <c r="K877" s="3">
        <f>_xlfn.XLOOKUP(tbl_main[[#This Row],[Service]],tbl_service[Service],tbl_service[Price],"")</f>
        <v>80</v>
      </c>
      <c r="L877" s="3">
        <v>1</v>
      </c>
      <c r="M877" s="3">
        <f>IF(AND(tbl_main[[#This Row],[Price]]="",tbl_main[[#This Row],[Qty]]=""),"",tbl_main[[#This Row],[Price]]*tbl_main[[#This Row],[Qty]])</f>
        <v>80</v>
      </c>
      <c r="N877" s="3">
        <f>_xlfn.LET(_xlpm.x,_xlfn.XLOOKUP(tbl_main[[#This Row],[Service]],tbl_service[Service],tbl_service[Profit],""),
               IF(tbl_main[[#This Row],[Qty]]="","",_xlpm.x*tbl_main[[#This Row],[Qty]]))</f>
        <v>36</v>
      </c>
    </row>
    <row r="878" spans="1:14" x14ac:dyDescent="0.25">
      <c r="A878" t="s">
        <v>920</v>
      </c>
      <c r="B878" s="1">
        <v>45949</v>
      </c>
      <c r="C878">
        <f>IF(tbl_main[[#This Row],[Date]]="","",YEAR(B878))</f>
        <v>2025</v>
      </c>
      <c r="D878" t="str">
        <f>IF(tbl_main[[#This Row],[Date]]="","",TEXT(B878,"mmm"))</f>
        <v>Oct</v>
      </c>
      <c r="E878" t="str">
        <f>IF(tbl_main[[#This Row],[Date]]="","",TEXT(B878,"DDD"))</f>
        <v>Sun</v>
      </c>
      <c r="F878" t="s">
        <v>20</v>
      </c>
      <c r="G878" t="s">
        <v>21</v>
      </c>
      <c r="H878" s="3" t="s">
        <v>22</v>
      </c>
      <c r="I878" s="3" t="s">
        <v>35</v>
      </c>
      <c r="J878" s="3" t="s">
        <v>17</v>
      </c>
      <c r="K878" s="3">
        <f>_xlfn.XLOOKUP(tbl_main[[#This Row],[Service]],tbl_service[Service],tbl_service[Price],"")</f>
        <v>150</v>
      </c>
      <c r="L878" s="3">
        <v>2</v>
      </c>
      <c r="M878" s="3">
        <f>IF(AND(tbl_main[[#This Row],[Price]]="",tbl_main[[#This Row],[Qty]]=""),"",tbl_main[[#This Row],[Price]]*tbl_main[[#This Row],[Qty]])</f>
        <v>300</v>
      </c>
      <c r="N878" s="3">
        <f>_xlfn.LET(_xlpm.x,_xlfn.XLOOKUP(tbl_main[[#This Row],[Service]],tbl_service[Service],tbl_service[Profit],""),
               IF(tbl_main[[#This Row],[Qty]]="","",_xlpm.x*tbl_main[[#This Row],[Qty]]))</f>
        <v>134</v>
      </c>
    </row>
    <row r="879" spans="1:14" x14ac:dyDescent="0.25">
      <c r="A879" t="s">
        <v>921</v>
      </c>
      <c r="B879" s="1">
        <v>45949</v>
      </c>
      <c r="C879">
        <f>IF(tbl_main[[#This Row],[Date]]="","",YEAR(B879))</f>
        <v>2025</v>
      </c>
      <c r="D879" t="str">
        <f>IF(tbl_main[[#This Row],[Date]]="","",TEXT(B879,"mmm"))</f>
        <v>Oct</v>
      </c>
      <c r="E879" t="str">
        <f>IF(tbl_main[[#This Row],[Date]]="","",TEXT(B879,"DDD"))</f>
        <v>Sun</v>
      </c>
      <c r="F879" t="s">
        <v>27</v>
      </c>
      <c r="G879" t="s">
        <v>28</v>
      </c>
      <c r="H879" s="3" t="s">
        <v>22</v>
      </c>
      <c r="I879" s="3" t="s">
        <v>23</v>
      </c>
      <c r="J879" s="3" t="s">
        <v>32</v>
      </c>
      <c r="K879" s="3">
        <f>_xlfn.XLOOKUP(tbl_main[[#This Row],[Service]],tbl_service[Service],tbl_service[Price],"")</f>
        <v>150</v>
      </c>
      <c r="L879" s="3">
        <v>1</v>
      </c>
      <c r="M879" s="3">
        <f>IF(AND(tbl_main[[#This Row],[Price]]="",tbl_main[[#This Row],[Qty]]=""),"",tbl_main[[#This Row],[Price]]*tbl_main[[#This Row],[Qty]])</f>
        <v>150</v>
      </c>
      <c r="N879" s="3">
        <f>_xlfn.LET(_xlpm.x,_xlfn.XLOOKUP(tbl_main[[#This Row],[Service]],tbl_service[Service],tbl_service[Profit],""),
               IF(tbl_main[[#This Row],[Qty]]="","",_xlpm.x*tbl_main[[#This Row],[Qty]]))</f>
        <v>67</v>
      </c>
    </row>
    <row r="880" spans="1:14" x14ac:dyDescent="0.25">
      <c r="A880" t="s">
        <v>922</v>
      </c>
      <c r="B880" s="1">
        <v>45950</v>
      </c>
      <c r="C880">
        <f>IF(tbl_main[[#This Row],[Date]]="","",YEAR(B880))</f>
        <v>2025</v>
      </c>
      <c r="D880" t="str">
        <f>IF(tbl_main[[#This Row],[Date]]="","",TEXT(B880,"mmm"))</f>
        <v>Oct</v>
      </c>
      <c r="E880" t="str">
        <f>IF(tbl_main[[#This Row],[Date]]="","",TEXT(B880,"DDD"))</f>
        <v>Mon</v>
      </c>
      <c r="F880" t="s">
        <v>30</v>
      </c>
      <c r="G880" t="s">
        <v>36</v>
      </c>
      <c r="H880" s="3" t="s">
        <v>22</v>
      </c>
      <c r="I880" s="3" t="s">
        <v>37</v>
      </c>
      <c r="J880" s="3" t="s">
        <v>17</v>
      </c>
      <c r="K880" s="3">
        <f>_xlfn.XLOOKUP(tbl_main[[#This Row],[Service]],tbl_service[Service],tbl_service[Price],"")</f>
        <v>150</v>
      </c>
      <c r="L880" s="3">
        <v>1</v>
      </c>
      <c r="M880" s="3">
        <f>IF(AND(tbl_main[[#This Row],[Price]]="",tbl_main[[#This Row],[Qty]]=""),"",tbl_main[[#This Row],[Price]]*tbl_main[[#This Row],[Qty]])</f>
        <v>150</v>
      </c>
      <c r="N880" s="3">
        <f>_xlfn.LET(_xlpm.x,_xlfn.XLOOKUP(tbl_main[[#This Row],[Service]],tbl_service[Service],tbl_service[Profit],""),
               IF(tbl_main[[#This Row],[Qty]]="","",_xlpm.x*tbl_main[[#This Row],[Qty]]))</f>
        <v>67</v>
      </c>
    </row>
    <row r="881" spans="1:14" x14ac:dyDescent="0.25">
      <c r="A881" t="s">
        <v>923</v>
      </c>
      <c r="B881" s="1">
        <v>45950</v>
      </c>
      <c r="C881">
        <f>IF(tbl_main[[#This Row],[Date]]="","",YEAR(B881))</f>
        <v>2025</v>
      </c>
      <c r="D881" t="str">
        <f>IF(tbl_main[[#This Row],[Date]]="","",TEXT(B881,"mmm"))</f>
        <v>Oct</v>
      </c>
      <c r="E881" t="str">
        <f>IF(tbl_main[[#This Row],[Date]]="","",TEXT(B881,"DDD"))</f>
        <v>Mon</v>
      </c>
      <c r="F881" t="s">
        <v>20</v>
      </c>
      <c r="G881" t="s">
        <v>21</v>
      </c>
      <c r="H881" s="3" t="s">
        <v>26</v>
      </c>
      <c r="I881" s="3" t="s">
        <v>38</v>
      </c>
      <c r="J881" s="3" t="s">
        <v>25</v>
      </c>
      <c r="K881" s="3">
        <f>_xlfn.XLOOKUP(tbl_main[[#This Row],[Service]],tbl_service[Service],tbl_service[Price],"")</f>
        <v>200</v>
      </c>
      <c r="L881" s="3">
        <v>2</v>
      </c>
      <c r="M881" s="3">
        <f>IF(AND(tbl_main[[#This Row],[Price]]="",tbl_main[[#This Row],[Qty]]=""),"",tbl_main[[#This Row],[Price]]*tbl_main[[#This Row],[Qty]])</f>
        <v>400</v>
      </c>
      <c r="N881" s="3">
        <f>_xlfn.LET(_xlpm.x,_xlfn.XLOOKUP(tbl_main[[#This Row],[Service]],tbl_service[Service],tbl_service[Profit],""),
               IF(tbl_main[[#This Row],[Qty]]="","",_xlpm.x*tbl_main[[#This Row],[Qty]]))</f>
        <v>180</v>
      </c>
    </row>
    <row r="882" spans="1:14" x14ac:dyDescent="0.25">
      <c r="A882" t="s">
        <v>924</v>
      </c>
      <c r="B882" s="1">
        <v>45950</v>
      </c>
      <c r="C882">
        <f>IF(tbl_main[[#This Row],[Date]]="","",YEAR(B882))</f>
        <v>2025</v>
      </c>
      <c r="D882" t="str">
        <f>IF(tbl_main[[#This Row],[Date]]="","",TEXT(B882,"mmm"))</f>
        <v>Oct</v>
      </c>
      <c r="E882" t="str">
        <f>IF(tbl_main[[#This Row],[Date]]="","",TEXT(B882,"DDD"))</f>
        <v>Mon</v>
      </c>
      <c r="F882" t="s">
        <v>27</v>
      </c>
      <c r="G882" t="s">
        <v>28</v>
      </c>
      <c r="H882" s="3" t="s">
        <v>15</v>
      </c>
      <c r="I882" s="3" t="s">
        <v>16</v>
      </c>
      <c r="J882" s="3" t="s">
        <v>32</v>
      </c>
      <c r="K882" s="3">
        <f>_xlfn.XLOOKUP(tbl_main[[#This Row],[Service]],tbl_service[Service],tbl_service[Price],"")</f>
        <v>500</v>
      </c>
      <c r="L882" s="3">
        <v>1</v>
      </c>
      <c r="M882" s="3">
        <f>IF(AND(tbl_main[[#This Row],[Price]]="",tbl_main[[#This Row],[Qty]]=""),"",tbl_main[[#This Row],[Price]]*tbl_main[[#This Row],[Qty]])</f>
        <v>500</v>
      </c>
      <c r="N882" s="3">
        <f>_xlfn.LET(_xlpm.x,_xlfn.XLOOKUP(tbl_main[[#This Row],[Service]],tbl_service[Service],tbl_service[Profit],""),
               IF(tbl_main[[#This Row],[Qty]]="","",_xlpm.x*tbl_main[[#This Row],[Qty]]))</f>
        <v>225</v>
      </c>
    </row>
    <row r="883" spans="1:14" x14ac:dyDescent="0.25">
      <c r="A883" t="s">
        <v>925</v>
      </c>
      <c r="B883" s="1">
        <v>45951</v>
      </c>
      <c r="C883">
        <f>IF(tbl_main[[#This Row],[Date]]="","",YEAR(B883))</f>
        <v>2025</v>
      </c>
      <c r="D883" t="str">
        <f>IF(tbl_main[[#This Row],[Date]]="","",TEXT(B883,"mmm"))</f>
        <v>Oct</v>
      </c>
      <c r="E883" t="str">
        <f>IF(tbl_main[[#This Row],[Date]]="","",TEXT(B883,"DDD"))</f>
        <v>Tue</v>
      </c>
      <c r="F883" t="s">
        <v>30</v>
      </c>
      <c r="G883" t="s">
        <v>36</v>
      </c>
      <c r="H883" s="3" t="s">
        <v>18</v>
      </c>
      <c r="I883" s="3" t="s">
        <v>19</v>
      </c>
      <c r="J883" s="3" t="s">
        <v>32</v>
      </c>
      <c r="K883" s="3">
        <f>_xlfn.XLOOKUP(tbl_main[[#This Row],[Service]],tbl_service[Service],tbl_service[Price],"")</f>
        <v>500</v>
      </c>
      <c r="L883" s="3">
        <v>2</v>
      </c>
      <c r="M883" s="3">
        <f>IF(AND(tbl_main[[#This Row],[Price]]="",tbl_main[[#This Row],[Qty]]=""),"",tbl_main[[#This Row],[Price]]*tbl_main[[#This Row],[Qty]])</f>
        <v>1000</v>
      </c>
      <c r="N883" s="3">
        <f>_xlfn.LET(_xlpm.x,_xlfn.XLOOKUP(tbl_main[[#This Row],[Service]],tbl_service[Service],tbl_service[Profit],""),
               IF(tbl_main[[#This Row],[Qty]]="","",_xlpm.x*tbl_main[[#This Row],[Qty]]))</f>
        <v>314</v>
      </c>
    </row>
    <row r="884" spans="1:14" x14ac:dyDescent="0.25">
      <c r="A884" t="s">
        <v>926</v>
      </c>
      <c r="B884" s="1">
        <v>45951</v>
      </c>
      <c r="C884">
        <f>IF(tbl_main[[#This Row],[Date]]="","",YEAR(B884))</f>
        <v>2025</v>
      </c>
      <c r="D884" t="str">
        <f>IF(tbl_main[[#This Row],[Date]]="","",TEXT(B884,"mmm"))</f>
        <v>Oct</v>
      </c>
      <c r="E884" t="str">
        <f>IF(tbl_main[[#This Row],[Date]]="","",TEXT(B884,"DDD"))</f>
        <v>Tue</v>
      </c>
      <c r="F884" t="s">
        <v>30</v>
      </c>
      <c r="G884" t="s">
        <v>31</v>
      </c>
      <c r="H884" s="3" t="s">
        <v>22</v>
      </c>
      <c r="I884" s="3" t="s">
        <v>43</v>
      </c>
      <c r="J884" s="3" t="s">
        <v>17</v>
      </c>
      <c r="K884" s="3">
        <f>_xlfn.XLOOKUP(tbl_main[[#This Row],[Service]],tbl_service[Service],tbl_service[Price],"")</f>
        <v>150</v>
      </c>
      <c r="L884" s="3">
        <v>1</v>
      </c>
      <c r="M884" s="3">
        <f>IF(AND(tbl_main[[#This Row],[Price]]="",tbl_main[[#This Row],[Qty]]=""),"",tbl_main[[#This Row],[Price]]*tbl_main[[#This Row],[Qty]])</f>
        <v>150</v>
      </c>
      <c r="N884" s="3">
        <f>_xlfn.LET(_xlpm.x,_xlfn.XLOOKUP(tbl_main[[#This Row],[Service]],tbl_service[Service],tbl_service[Profit],""),
               IF(tbl_main[[#This Row],[Qty]]="","",_xlpm.x*tbl_main[[#This Row],[Qty]]))</f>
        <v>67</v>
      </c>
    </row>
    <row r="885" spans="1:14" x14ac:dyDescent="0.25">
      <c r="A885" t="s">
        <v>927</v>
      </c>
      <c r="B885" s="1">
        <v>45951</v>
      </c>
      <c r="C885">
        <f>IF(tbl_main[[#This Row],[Date]]="","",YEAR(B885))</f>
        <v>2025</v>
      </c>
      <c r="D885" t="str">
        <f>IF(tbl_main[[#This Row],[Date]]="","",TEXT(B885,"mmm"))</f>
        <v>Oct</v>
      </c>
      <c r="E885" t="str">
        <f>IF(tbl_main[[#This Row],[Date]]="","",TEXT(B885,"DDD"))</f>
        <v>Tue</v>
      </c>
      <c r="F885" t="s">
        <v>13</v>
      </c>
      <c r="G885" t="s">
        <v>14</v>
      </c>
      <c r="H885" s="3" t="s">
        <v>24</v>
      </c>
      <c r="I885" s="3" t="s">
        <v>41</v>
      </c>
      <c r="J885" s="3" t="s">
        <v>32</v>
      </c>
      <c r="K885" s="3">
        <f>_xlfn.XLOOKUP(tbl_main[[#This Row],[Service]],tbl_service[Service],tbl_service[Price],"")</f>
        <v>80</v>
      </c>
      <c r="L885" s="3">
        <v>1</v>
      </c>
      <c r="M885" s="3">
        <f>IF(AND(tbl_main[[#This Row],[Price]]="",tbl_main[[#This Row],[Qty]]=""),"",tbl_main[[#This Row],[Price]]*tbl_main[[#This Row],[Qty]])</f>
        <v>80</v>
      </c>
      <c r="N885" s="3">
        <f>_xlfn.LET(_xlpm.x,_xlfn.XLOOKUP(tbl_main[[#This Row],[Service]],tbl_service[Service],tbl_service[Profit],""),
               IF(tbl_main[[#This Row],[Qty]]="","",_xlpm.x*tbl_main[[#This Row],[Qty]]))</f>
        <v>36</v>
      </c>
    </row>
    <row r="886" spans="1:14" x14ac:dyDescent="0.25">
      <c r="A886" t="s">
        <v>928</v>
      </c>
      <c r="B886" s="1">
        <v>45952</v>
      </c>
      <c r="C886">
        <f>IF(tbl_main[[#This Row],[Date]]="","",YEAR(B886))</f>
        <v>2025</v>
      </c>
      <c r="D886" t="str">
        <f>IF(tbl_main[[#This Row],[Date]]="","",TEXT(B886,"mmm"))</f>
        <v>Oct</v>
      </c>
      <c r="E886" t="str">
        <f>IF(tbl_main[[#This Row],[Date]]="","",TEXT(B886,"DDD"))</f>
        <v>Wed</v>
      </c>
      <c r="F886" t="s">
        <v>20</v>
      </c>
      <c r="G886" t="s">
        <v>29</v>
      </c>
      <c r="H886" s="3" t="s">
        <v>24</v>
      </c>
      <c r="I886" s="3" t="s">
        <v>41</v>
      </c>
      <c r="J886" s="3" t="s">
        <v>25</v>
      </c>
      <c r="K886" s="3">
        <f>_xlfn.XLOOKUP(tbl_main[[#This Row],[Service]],tbl_service[Service],tbl_service[Price],"")</f>
        <v>80</v>
      </c>
      <c r="L886" s="3">
        <v>1</v>
      </c>
      <c r="M886" s="3">
        <f>IF(AND(tbl_main[[#This Row],[Price]]="",tbl_main[[#This Row],[Qty]]=""),"",tbl_main[[#This Row],[Price]]*tbl_main[[#This Row],[Qty]])</f>
        <v>80</v>
      </c>
      <c r="N886" s="3">
        <f>_xlfn.LET(_xlpm.x,_xlfn.XLOOKUP(tbl_main[[#This Row],[Service]],tbl_service[Service],tbl_service[Profit],""),
               IF(tbl_main[[#This Row],[Qty]]="","",_xlpm.x*tbl_main[[#This Row],[Qty]]))</f>
        <v>36</v>
      </c>
    </row>
    <row r="887" spans="1:14" x14ac:dyDescent="0.25">
      <c r="A887" t="s">
        <v>929</v>
      </c>
      <c r="B887" s="1">
        <v>45952</v>
      </c>
      <c r="C887">
        <f>IF(tbl_main[[#This Row],[Date]]="","",YEAR(B887))</f>
        <v>2025</v>
      </c>
      <c r="D887" t="str">
        <f>IF(tbl_main[[#This Row],[Date]]="","",TEXT(B887,"mmm"))</f>
        <v>Oct</v>
      </c>
      <c r="E887" t="str">
        <f>IF(tbl_main[[#This Row],[Date]]="","",TEXT(B887,"DDD"))</f>
        <v>Wed</v>
      </c>
      <c r="F887" t="s">
        <v>30</v>
      </c>
      <c r="G887" t="s">
        <v>36</v>
      </c>
      <c r="H887" s="3" t="s">
        <v>18</v>
      </c>
      <c r="I887" s="3" t="s">
        <v>35</v>
      </c>
      <c r="J887" s="3" t="s">
        <v>32</v>
      </c>
      <c r="K887" s="3">
        <f>_xlfn.XLOOKUP(tbl_main[[#This Row],[Service]],tbl_service[Service],tbl_service[Price],"")</f>
        <v>500</v>
      </c>
      <c r="L887" s="3">
        <v>2</v>
      </c>
      <c r="M887" s="3">
        <f>IF(AND(tbl_main[[#This Row],[Price]]="",tbl_main[[#This Row],[Qty]]=""),"",tbl_main[[#This Row],[Price]]*tbl_main[[#This Row],[Qty]])</f>
        <v>1000</v>
      </c>
      <c r="N887" s="3">
        <f>_xlfn.LET(_xlpm.x,_xlfn.XLOOKUP(tbl_main[[#This Row],[Service]],tbl_service[Service],tbl_service[Profit],""),
               IF(tbl_main[[#This Row],[Qty]]="","",_xlpm.x*tbl_main[[#This Row],[Qty]]))</f>
        <v>314</v>
      </c>
    </row>
    <row r="888" spans="1:14" x14ac:dyDescent="0.25">
      <c r="A888" t="s">
        <v>930</v>
      </c>
      <c r="B888" s="1">
        <v>45952</v>
      </c>
      <c r="C888">
        <f>IF(tbl_main[[#This Row],[Date]]="","",YEAR(B888))</f>
        <v>2025</v>
      </c>
      <c r="D888" t="str">
        <f>IF(tbl_main[[#This Row],[Date]]="","",TEXT(B888,"mmm"))</f>
        <v>Oct</v>
      </c>
      <c r="E888" t="str">
        <f>IF(tbl_main[[#This Row],[Date]]="","",TEXT(B888,"DDD"))</f>
        <v>Wed</v>
      </c>
      <c r="F888" t="s">
        <v>20</v>
      </c>
      <c r="G888" t="s">
        <v>39</v>
      </c>
      <c r="H888" s="3" t="s">
        <v>18</v>
      </c>
      <c r="I888" s="3" t="s">
        <v>35</v>
      </c>
      <c r="J888" s="3" t="s">
        <v>25</v>
      </c>
      <c r="K888" s="3">
        <f>_xlfn.XLOOKUP(tbl_main[[#This Row],[Service]],tbl_service[Service],tbl_service[Price],"")</f>
        <v>500</v>
      </c>
      <c r="L888" s="3">
        <v>2</v>
      </c>
      <c r="M888" s="3">
        <f>IF(AND(tbl_main[[#This Row],[Price]]="",tbl_main[[#This Row],[Qty]]=""),"",tbl_main[[#This Row],[Price]]*tbl_main[[#This Row],[Qty]])</f>
        <v>1000</v>
      </c>
      <c r="N888" s="3">
        <f>_xlfn.LET(_xlpm.x,_xlfn.XLOOKUP(tbl_main[[#This Row],[Service]],tbl_service[Service],tbl_service[Profit],""),
               IF(tbl_main[[#This Row],[Qty]]="","",_xlpm.x*tbl_main[[#This Row],[Qty]]))</f>
        <v>314</v>
      </c>
    </row>
    <row r="889" spans="1:14" x14ac:dyDescent="0.25">
      <c r="A889" t="s">
        <v>931</v>
      </c>
      <c r="B889" s="1">
        <v>45953</v>
      </c>
      <c r="C889">
        <f>IF(tbl_main[[#This Row],[Date]]="","",YEAR(B889))</f>
        <v>2025</v>
      </c>
      <c r="D889" t="str">
        <f>IF(tbl_main[[#This Row],[Date]]="","",TEXT(B889,"mmm"))</f>
        <v>Oct</v>
      </c>
      <c r="E889" t="str">
        <f>IF(tbl_main[[#This Row],[Date]]="","",TEXT(B889,"DDD"))</f>
        <v>Thu</v>
      </c>
      <c r="F889" t="s">
        <v>30</v>
      </c>
      <c r="G889" t="s">
        <v>31</v>
      </c>
      <c r="H889" s="3" t="s">
        <v>22</v>
      </c>
      <c r="I889" s="3" t="s">
        <v>23</v>
      </c>
      <c r="J889" s="3" t="s">
        <v>17</v>
      </c>
      <c r="K889" s="3">
        <f>_xlfn.XLOOKUP(tbl_main[[#This Row],[Service]],tbl_service[Service],tbl_service[Price],"")</f>
        <v>150</v>
      </c>
      <c r="L889" s="3">
        <v>1</v>
      </c>
      <c r="M889" s="3">
        <f>IF(AND(tbl_main[[#This Row],[Price]]="",tbl_main[[#This Row],[Qty]]=""),"",tbl_main[[#This Row],[Price]]*tbl_main[[#This Row],[Qty]])</f>
        <v>150</v>
      </c>
      <c r="N889" s="3">
        <f>_xlfn.LET(_xlpm.x,_xlfn.XLOOKUP(tbl_main[[#This Row],[Service]],tbl_service[Service],tbl_service[Profit],""),
               IF(tbl_main[[#This Row],[Qty]]="","",_xlpm.x*tbl_main[[#This Row],[Qty]]))</f>
        <v>67</v>
      </c>
    </row>
    <row r="890" spans="1:14" x14ac:dyDescent="0.25">
      <c r="A890" t="s">
        <v>932</v>
      </c>
      <c r="B890" s="1">
        <v>45953</v>
      </c>
      <c r="C890">
        <f>IF(tbl_main[[#This Row],[Date]]="","",YEAR(B890))</f>
        <v>2025</v>
      </c>
      <c r="D890" t="str">
        <f>IF(tbl_main[[#This Row],[Date]]="","",TEXT(B890,"mmm"))</f>
        <v>Oct</v>
      </c>
      <c r="E890" t="str">
        <f>IF(tbl_main[[#This Row],[Date]]="","",TEXT(B890,"DDD"))</f>
        <v>Thu</v>
      </c>
      <c r="F890" t="s">
        <v>30</v>
      </c>
      <c r="G890" t="s">
        <v>31</v>
      </c>
      <c r="H890" s="3" t="s">
        <v>34</v>
      </c>
      <c r="I890" s="3" t="s">
        <v>37</v>
      </c>
      <c r="J890" s="3" t="s">
        <v>17</v>
      </c>
      <c r="K890" s="3">
        <f>_xlfn.XLOOKUP(tbl_main[[#This Row],[Service]],tbl_service[Service],tbl_service[Price],"")</f>
        <v>100</v>
      </c>
      <c r="L890" s="3">
        <v>1</v>
      </c>
      <c r="M890" s="3">
        <f>IF(AND(tbl_main[[#This Row],[Price]]="",tbl_main[[#This Row],[Qty]]=""),"",tbl_main[[#This Row],[Price]]*tbl_main[[#This Row],[Qty]])</f>
        <v>100</v>
      </c>
      <c r="N890" s="3">
        <f>_xlfn.LET(_xlpm.x,_xlfn.XLOOKUP(tbl_main[[#This Row],[Service]],tbl_service[Service],tbl_service[Profit],""),
               IF(tbl_main[[#This Row],[Qty]]="","",_xlpm.x*tbl_main[[#This Row],[Qty]]))</f>
        <v>45</v>
      </c>
    </row>
    <row r="891" spans="1:14" x14ac:dyDescent="0.25">
      <c r="A891" t="s">
        <v>933</v>
      </c>
      <c r="B891" s="1">
        <v>45953</v>
      </c>
      <c r="C891">
        <f>IF(tbl_main[[#This Row],[Date]]="","",YEAR(B891))</f>
        <v>2025</v>
      </c>
      <c r="D891" t="str">
        <f>IF(tbl_main[[#This Row],[Date]]="","",TEXT(B891,"mmm"))</f>
        <v>Oct</v>
      </c>
      <c r="E891" t="str">
        <f>IF(tbl_main[[#This Row],[Date]]="","",TEXT(B891,"DDD"))</f>
        <v>Thu</v>
      </c>
      <c r="F891" t="s">
        <v>30</v>
      </c>
      <c r="G891" t="s">
        <v>31</v>
      </c>
      <c r="H891" s="3" t="s">
        <v>18</v>
      </c>
      <c r="I891" s="3" t="s">
        <v>38</v>
      </c>
      <c r="J891" s="3" t="s">
        <v>17</v>
      </c>
      <c r="K891" s="3">
        <f>_xlfn.XLOOKUP(tbl_main[[#This Row],[Service]],tbl_service[Service],tbl_service[Price],"")</f>
        <v>500</v>
      </c>
      <c r="L891" s="3">
        <v>1</v>
      </c>
      <c r="M891" s="3">
        <f>IF(AND(tbl_main[[#This Row],[Price]]="",tbl_main[[#This Row],[Qty]]=""),"",tbl_main[[#This Row],[Price]]*tbl_main[[#This Row],[Qty]])</f>
        <v>500</v>
      </c>
      <c r="N891" s="3">
        <f>_xlfn.LET(_xlpm.x,_xlfn.XLOOKUP(tbl_main[[#This Row],[Service]],tbl_service[Service],tbl_service[Profit],""),
               IF(tbl_main[[#This Row],[Qty]]="","",_xlpm.x*tbl_main[[#This Row],[Qty]]))</f>
        <v>157</v>
      </c>
    </row>
    <row r="892" spans="1:14" x14ac:dyDescent="0.25">
      <c r="A892" t="s">
        <v>934</v>
      </c>
      <c r="B892" s="1">
        <v>45953</v>
      </c>
      <c r="C892">
        <f>IF(tbl_main[[#This Row],[Date]]="","",YEAR(B892))</f>
        <v>2025</v>
      </c>
      <c r="D892" t="str">
        <f>IF(tbl_main[[#This Row],[Date]]="","",TEXT(B892,"mmm"))</f>
        <v>Oct</v>
      </c>
      <c r="E892" t="str">
        <f>IF(tbl_main[[#This Row],[Date]]="","",TEXT(B892,"DDD"))</f>
        <v>Thu</v>
      </c>
      <c r="F892" t="s">
        <v>20</v>
      </c>
      <c r="G892" t="s">
        <v>39</v>
      </c>
      <c r="H892" s="3" t="s">
        <v>15</v>
      </c>
      <c r="I892" s="3" t="s">
        <v>16</v>
      </c>
      <c r="J892" s="3" t="s">
        <v>25</v>
      </c>
      <c r="K892" s="3">
        <f>_xlfn.XLOOKUP(tbl_main[[#This Row],[Service]],tbl_service[Service],tbl_service[Price],"")</f>
        <v>500</v>
      </c>
      <c r="L892" s="3">
        <v>2</v>
      </c>
      <c r="M892" s="3">
        <f>IF(AND(tbl_main[[#This Row],[Price]]="",tbl_main[[#This Row],[Qty]]=""),"",tbl_main[[#This Row],[Price]]*tbl_main[[#This Row],[Qty]])</f>
        <v>1000</v>
      </c>
      <c r="N892" s="3">
        <f>_xlfn.LET(_xlpm.x,_xlfn.XLOOKUP(tbl_main[[#This Row],[Service]],tbl_service[Service],tbl_service[Profit],""),
               IF(tbl_main[[#This Row],[Qty]]="","",_xlpm.x*tbl_main[[#This Row],[Qty]]))</f>
        <v>450</v>
      </c>
    </row>
    <row r="893" spans="1:14" x14ac:dyDescent="0.25">
      <c r="A893" t="s">
        <v>935</v>
      </c>
      <c r="B893" s="1">
        <v>45954</v>
      </c>
      <c r="C893">
        <f>IF(tbl_main[[#This Row],[Date]]="","",YEAR(B893))</f>
        <v>2025</v>
      </c>
      <c r="D893" t="str">
        <f>IF(tbl_main[[#This Row],[Date]]="","",TEXT(B893,"mmm"))</f>
        <v>Oct</v>
      </c>
      <c r="E893" t="str">
        <f>IF(tbl_main[[#This Row],[Date]]="","",TEXT(B893,"DDD"))</f>
        <v>Fri</v>
      </c>
      <c r="F893" t="s">
        <v>20</v>
      </c>
      <c r="G893" t="s">
        <v>21</v>
      </c>
      <c r="H893" s="3" t="s">
        <v>15</v>
      </c>
      <c r="I893" s="3" t="s">
        <v>19</v>
      </c>
      <c r="J893" s="3" t="s">
        <v>17</v>
      </c>
      <c r="K893" s="3">
        <f>_xlfn.XLOOKUP(tbl_main[[#This Row],[Service]],tbl_service[Service],tbl_service[Price],"")</f>
        <v>500</v>
      </c>
      <c r="L893" s="3">
        <v>1</v>
      </c>
      <c r="M893" s="3">
        <f>IF(AND(tbl_main[[#This Row],[Price]]="",tbl_main[[#This Row],[Qty]]=""),"",tbl_main[[#This Row],[Price]]*tbl_main[[#This Row],[Qty]])</f>
        <v>500</v>
      </c>
      <c r="N893" s="3">
        <f>_xlfn.LET(_xlpm.x,_xlfn.XLOOKUP(tbl_main[[#This Row],[Service]],tbl_service[Service],tbl_service[Profit],""),
               IF(tbl_main[[#This Row],[Qty]]="","",_xlpm.x*tbl_main[[#This Row],[Qty]]))</f>
        <v>225</v>
      </c>
    </row>
    <row r="894" spans="1:14" x14ac:dyDescent="0.25">
      <c r="A894" t="s">
        <v>936</v>
      </c>
      <c r="B894" s="1">
        <v>45954</v>
      </c>
      <c r="C894">
        <f>IF(tbl_main[[#This Row],[Date]]="","",YEAR(B894))</f>
        <v>2025</v>
      </c>
      <c r="D894" t="str">
        <f>IF(tbl_main[[#This Row],[Date]]="","",TEXT(B894,"mmm"))</f>
        <v>Oct</v>
      </c>
      <c r="E894" t="str">
        <f>IF(tbl_main[[#This Row],[Date]]="","",TEXT(B894,"DDD"))</f>
        <v>Fri</v>
      </c>
      <c r="F894" t="s">
        <v>13</v>
      </c>
      <c r="G894" t="s">
        <v>14</v>
      </c>
      <c r="H894" s="3" t="s">
        <v>34</v>
      </c>
      <c r="I894" s="3" t="s">
        <v>43</v>
      </c>
      <c r="J894" s="3" t="s">
        <v>32</v>
      </c>
      <c r="K894" s="3">
        <f>_xlfn.XLOOKUP(tbl_main[[#This Row],[Service]],tbl_service[Service],tbl_service[Price],"")</f>
        <v>100</v>
      </c>
      <c r="L894" s="3">
        <v>1</v>
      </c>
      <c r="M894" s="3">
        <f>IF(AND(tbl_main[[#This Row],[Price]]="",tbl_main[[#This Row],[Qty]]=""),"",tbl_main[[#This Row],[Price]]*tbl_main[[#This Row],[Qty]])</f>
        <v>100</v>
      </c>
      <c r="N894" s="3">
        <f>_xlfn.LET(_xlpm.x,_xlfn.XLOOKUP(tbl_main[[#This Row],[Service]],tbl_service[Service],tbl_service[Profit],""),
               IF(tbl_main[[#This Row],[Qty]]="","",_xlpm.x*tbl_main[[#This Row],[Qty]]))</f>
        <v>45</v>
      </c>
    </row>
    <row r="895" spans="1:14" x14ac:dyDescent="0.25">
      <c r="A895" t="s">
        <v>937</v>
      </c>
      <c r="B895" s="1">
        <v>45955</v>
      </c>
      <c r="C895">
        <f>IF(tbl_main[[#This Row],[Date]]="","",YEAR(B895))</f>
        <v>2025</v>
      </c>
      <c r="D895" t="str">
        <f>IF(tbl_main[[#This Row],[Date]]="","",TEXT(B895,"mmm"))</f>
        <v>Oct</v>
      </c>
      <c r="E895" t="str">
        <f>IF(tbl_main[[#This Row],[Date]]="","",TEXT(B895,"DDD"))</f>
        <v>Sat</v>
      </c>
      <c r="F895" t="s">
        <v>30</v>
      </c>
      <c r="G895" t="s">
        <v>36</v>
      </c>
      <c r="H895" s="3" t="s">
        <v>24</v>
      </c>
      <c r="I895" s="3" t="s">
        <v>41</v>
      </c>
      <c r="J895" s="3" t="s">
        <v>25</v>
      </c>
      <c r="K895" s="3">
        <f>_xlfn.XLOOKUP(tbl_main[[#This Row],[Service]],tbl_service[Service],tbl_service[Price],"")</f>
        <v>80</v>
      </c>
      <c r="L895" s="3">
        <v>2</v>
      </c>
      <c r="M895" s="3">
        <f>IF(AND(tbl_main[[#This Row],[Price]]="",tbl_main[[#This Row],[Qty]]=""),"",tbl_main[[#This Row],[Price]]*tbl_main[[#This Row],[Qty]])</f>
        <v>160</v>
      </c>
      <c r="N895" s="3">
        <f>_xlfn.LET(_xlpm.x,_xlfn.XLOOKUP(tbl_main[[#This Row],[Service]],tbl_service[Service],tbl_service[Profit],""),
               IF(tbl_main[[#This Row],[Qty]]="","",_xlpm.x*tbl_main[[#This Row],[Qty]]))</f>
        <v>72</v>
      </c>
    </row>
    <row r="896" spans="1:14" x14ac:dyDescent="0.25">
      <c r="A896" t="s">
        <v>938</v>
      </c>
      <c r="B896" s="1">
        <v>45955</v>
      </c>
      <c r="C896">
        <f>IF(tbl_main[[#This Row],[Date]]="","",YEAR(B896))</f>
        <v>2025</v>
      </c>
      <c r="D896" t="str">
        <f>IF(tbl_main[[#This Row],[Date]]="","",TEXT(B896,"mmm"))</f>
        <v>Oct</v>
      </c>
      <c r="E896" t="str">
        <f>IF(tbl_main[[#This Row],[Date]]="","",TEXT(B896,"DDD"))</f>
        <v>Sat</v>
      </c>
      <c r="F896" t="s">
        <v>30</v>
      </c>
      <c r="G896" t="s">
        <v>31</v>
      </c>
      <c r="H896" s="3" t="s">
        <v>15</v>
      </c>
      <c r="I896" s="3" t="s">
        <v>41</v>
      </c>
      <c r="J896" s="3" t="s">
        <v>32</v>
      </c>
      <c r="K896" s="3">
        <f>_xlfn.XLOOKUP(tbl_main[[#This Row],[Service]],tbl_service[Service],tbl_service[Price],"")</f>
        <v>500</v>
      </c>
      <c r="L896" s="3">
        <v>1</v>
      </c>
      <c r="M896" s="3">
        <f>IF(AND(tbl_main[[#This Row],[Price]]="",tbl_main[[#This Row],[Qty]]=""),"",tbl_main[[#This Row],[Price]]*tbl_main[[#This Row],[Qty]])</f>
        <v>500</v>
      </c>
      <c r="N896" s="3">
        <f>_xlfn.LET(_xlpm.x,_xlfn.XLOOKUP(tbl_main[[#This Row],[Service]],tbl_service[Service],tbl_service[Profit],""),
               IF(tbl_main[[#This Row],[Qty]]="","",_xlpm.x*tbl_main[[#This Row],[Qty]]))</f>
        <v>225</v>
      </c>
    </row>
    <row r="897" spans="1:14" x14ac:dyDescent="0.25">
      <c r="A897" t="s">
        <v>939</v>
      </c>
      <c r="B897" s="1">
        <v>45955</v>
      </c>
      <c r="C897">
        <f>IF(tbl_main[[#This Row],[Date]]="","",YEAR(B897))</f>
        <v>2025</v>
      </c>
      <c r="D897" t="str">
        <f>IF(tbl_main[[#This Row],[Date]]="","",TEXT(B897,"mmm"))</f>
        <v>Oct</v>
      </c>
      <c r="E897" t="str">
        <f>IF(tbl_main[[#This Row],[Date]]="","",TEXT(B897,"DDD"))</f>
        <v>Sat</v>
      </c>
      <c r="F897" t="s">
        <v>30</v>
      </c>
      <c r="G897" t="s">
        <v>36</v>
      </c>
      <c r="H897" s="3" t="s">
        <v>34</v>
      </c>
      <c r="I897" s="3" t="s">
        <v>35</v>
      </c>
      <c r="J897" s="3" t="s">
        <v>25</v>
      </c>
      <c r="K897" s="3">
        <f>_xlfn.XLOOKUP(tbl_main[[#This Row],[Service]],tbl_service[Service],tbl_service[Price],"")</f>
        <v>100</v>
      </c>
      <c r="L897" s="3">
        <v>1</v>
      </c>
      <c r="M897" s="3">
        <f>IF(AND(tbl_main[[#This Row],[Price]]="",tbl_main[[#This Row],[Qty]]=""),"",tbl_main[[#This Row],[Price]]*tbl_main[[#This Row],[Qty]])</f>
        <v>100</v>
      </c>
      <c r="N897" s="3">
        <f>_xlfn.LET(_xlpm.x,_xlfn.XLOOKUP(tbl_main[[#This Row],[Service]],tbl_service[Service],tbl_service[Profit],""),
               IF(tbl_main[[#This Row],[Qty]]="","",_xlpm.x*tbl_main[[#This Row],[Qty]]))</f>
        <v>45</v>
      </c>
    </row>
    <row r="898" spans="1:14" x14ac:dyDescent="0.25">
      <c r="A898" t="s">
        <v>940</v>
      </c>
      <c r="B898" s="1">
        <v>45956</v>
      </c>
      <c r="C898">
        <f>IF(tbl_main[[#This Row],[Date]]="","",YEAR(B898))</f>
        <v>2025</v>
      </c>
      <c r="D898" t="str">
        <f>IF(tbl_main[[#This Row],[Date]]="","",TEXT(B898,"mmm"))</f>
        <v>Oct</v>
      </c>
      <c r="E898" t="str">
        <f>IF(tbl_main[[#This Row],[Date]]="","",TEXT(B898,"DDD"))</f>
        <v>Sun</v>
      </c>
      <c r="F898" t="s">
        <v>30</v>
      </c>
      <c r="G898" t="s">
        <v>31</v>
      </c>
      <c r="H898" s="3" t="s">
        <v>34</v>
      </c>
      <c r="I898" s="3" t="s">
        <v>35</v>
      </c>
      <c r="J898" s="3" t="s">
        <v>17</v>
      </c>
      <c r="K898" s="3">
        <f>_xlfn.XLOOKUP(tbl_main[[#This Row],[Service]],tbl_service[Service],tbl_service[Price],"")</f>
        <v>100</v>
      </c>
      <c r="L898" s="3">
        <v>2</v>
      </c>
      <c r="M898" s="3">
        <f>IF(AND(tbl_main[[#This Row],[Price]]="",tbl_main[[#This Row],[Qty]]=""),"",tbl_main[[#This Row],[Price]]*tbl_main[[#This Row],[Qty]])</f>
        <v>200</v>
      </c>
      <c r="N898" s="3">
        <f>_xlfn.LET(_xlpm.x,_xlfn.XLOOKUP(tbl_main[[#This Row],[Service]],tbl_service[Service],tbl_service[Profit],""),
               IF(tbl_main[[#This Row],[Qty]]="","",_xlpm.x*tbl_main[[#This Row],[Qty]]))</f>
        <v>90</v>
      </c>
    </row>
    <row r="899" spans="1:14" x14ac:dyDescent="0.25">
      <c r="A899" t="s">
        <v>941</v>
      </c>
      <c r="B899" s="1">
        <v>45956</v>
      </c>
      <c r="C899">
        <f>IF(tbl_main[[#This Row],[Date]]="","",YEAR(B899))</f>
        <v>2025</v>
      </c>
      <c r="D899" t="str">
        <f>IF(tbl_main[[#This Row],[Date]]="","",TEXT(B899,"mmm"))</f>
        <v>Oct</v>
      </c>
      <c r="E899" t="str">
        <f>IF(tbl_main[[#This Row],[Date]]="","",TEXT(B899,"DDD"))</f>
        <v>Sun</v>
      </c>
      <c r="F899" t="s">
        <v>13</v>
      </c>
      <c r="G899" t="s">
        <v>14</v>
      </c>
      <c r="H899" s="3" t="s">
        <v>26</v>
      </c>
      <c r="I899" s="3" t="s">
        <v>23</v>
      </c>
      <c r="J899" s="3" t="s">
        <v>17</v>
      </c>
      <c r="K899" s="3">
        <f>_xlfn.XLOOKUP(tbl_main[[#This Row],[Service]],tbl_service[Service],tbl_service[Price],"")</f>
        <v>200</v>
      </c>
      <c r="L899" s="3">
        <v>2</v>
      </c>
      <c r="M899" s="3">
        <f>IF(AND(tbl_main[[#This Row],[Price]]="",tbl_main[[#This Row],[Qty]]=""),"",tbl_main[[#This Row],[Price]]*tbl_main[[#This Row],[Qty]])</f>
        <v>400</v>
      </c>
      <c r="N899" s="3">
        <f>_xlfn.LET(_xlpm.x,_xlfn.XLOOKUP(tbl_main[[#This Row],[Service]],tbl_service[Service],tbl_service[Profit],""),
               IF(tbl_main[[#This Row],[Qty]]="","",_xlpm.x*tbl_main[[#This Row],[Qty]]))</f>
        <v>180</v>
      </c>
    </row>
    <row r="900" spans="1:14" x14ac:dyDescent="0.25">
      <c r="A900" t="s">
        <v>942</v>
      </c>
      <c r="B900" s="1">
        <v>45957</v>
      </c>
      <c r="C900">
        <f>IF(tbl_main[[#This Row],[Date]]="","",YEAR(B900))</f>
        <v>2025</v>
      </c>
      <c r="D900" t="str">
        <f>IF(tbl_main[[#This Row],[Date]]="","",TEXT(B900,"mmm"))</f>
        <v>Oct</v>
      </c>
      <c r="E900" t="str">
        <f>IF(tbl_main[[#This Row],[Date]]="","",TEXT(B900,"DDD"))</f>
        <v>Mon</v>
      </c>
      <c r="F900" t="s">
        <v>30</v>
      </c>
      <c r="G900" t="s">
        <v>31</v>
      </c>
      <c r="H900" s="3" t="s">
        <v>24</v>
      </c>
      <c r="I900" s="3" t="s">
        <v>37</v>
      </c>
      <c r="J900" s="3" t="s">
        <v>17</v>
      </c>
      <c r="K900" s="3">
        <f>_xlfn.XLOOKUP(tbl_main[[#This Row],[Service]],tbl_service[Service],tbl_service[Price],"")</f>
        <v>80</v>
      </c>
      <c r="L900" s="3">
        <v>1</v>
      </c>
      <c r="M900" s="3">
        <f>IF(AND(tbl_main[[#This Row],[Price]]="",tbl_main[[#This Row],[Qty]]=""),"",tbl_main[[#This Row],[Price]]*tbl_main[[#This Row],[Qty]])</f>
        <v>80</v>
      </c>
      <c r="N900" s="3">
        <f>_xlfn.LET(_xlpm.x,_xlfn.XLOOKUP(tbl_main[[#This Row],[Service]],tbl_service[Service],tbl_service[Profit],""),
               IF(tbl_main[[#This Row],[Qty]]="","",_xlpm.x*tbl_main[[#This Row],[Qty]]))</f>
        <v>36</v>
      </c>
    </row>
    <row r="901" spans="1:14" x14ac:dyDescent="0.25">
      <c r="A901" t="s">
        <v>943</v>
      </c>
      <c r="B901" s="1">
        <v>45957</v>
      </c>
      <c r="C901">
        <f>IF(tbl_main[[#This Row],[Date]]="","",YEAR(B901))</f>
        <v>2025</v>
      </c>
      <c r="D901" t="str">
        <f>IF(tbl_main[[#This Row],[Date]]="","",TEXT(B901,"mmm"))</f>
        <v>Oct</v>
      </c>
      <c r="E901" t="str">
        <f>IF(tbl_main[[#This Row],[Date]]="","",TEXT(B901,"DDD"))</f>
        <v>Mon</v>
      </c>
      <c r="F901" t="s">
        <v>30</v>
      </c>
      <c r="G901" t="s">
        <v>31</v>
      </c>
      <c r="H901" s="3" t="s">
        <v>22</v>
      </c>
      <c r="I901" s="3" t="s">
        <v>38</v>
      </c>
      <c r="J901" s="3" t="s">
        <v>25</v>
      </c>
      <c r="K901" s="3">
        <f>_xlfn.XLOOKUP(tbl_main[[#This Row],[Service]],tbl_service[Service],tbl_service[Price],"")</f>
        <v>150</v>
      </c>
      <c r="L901" s="3">
        <v>1</v>
      </c>
      <c r="M901" s="3">
        <f>IF(AND(tbl_main[[#This Row],[Price]]="",tbl_main[[#This Row],[Qty]]=""),"",tbl_main[[#This Row],[Price]]*tbl_main[[#This Row],[Qty]])</f>
        <v>150</v>
      </c>
      <c r="N901" s="3">
        <f>_xlfn.LET(_xlpm.x,_xlfn.XLOOKUP(tbl_main[[#This Row],[Service]],tbl_service[Service],tbl_service[Profit],""),
               IF(tbl_main[[#This Row],[Qty]]="","",_xlpm.x*tbl_main[[#This Row],[Qty]]))</f>
        <v>67</v>
      </c>
    </row>
    <row r="902" spans="1:14" x14ac:dyDescent="0.25">
      <c r="A902" t="s">
        <v>944</v>
      </c>
      <c r="B902" s="1">
        <v>45958</v>
      </c>
      <c r="C902">
        <f>IF(tbl_main[[#This Row],[Date]]="","",YEAR(B902))</f>
        <v>2025</v>
      </c>
      <c r="D902" t="str">
        <f>IF(tbl_main[[#This Row],[Date]]="","",TEXT(B902,"mmm"))</f>
        <v>Oct</v>
      </c>
      <c r="E902" t="str">
        <f>IF(tbl_main[[#This Row],[Date]]="","",TEXT(B902,"DDD"))</f>
        <v>Tue</v>
      </c>
      <c r="F902" t="s">
        <v>30</v>
      </c>
      <c r="G902" t="s">
        <v>36</v>
      </c>
      <c r="H902" s="3" t="s">
        <v>26</v>
      </c>
      <c r="I902" s="3" t="s">
        <v>16</v>
      </c>
      <c r="J902" s="3" t="s">
        <v>32</v>
      </c>
      <c r="K902" s="3">
        <f>_xlfn.XLOOKUP(tbl_main[[#This Row],[Service]],tbl_service[Service],tbl_service[Price],"")</f>
        <v>200</v>
      </c>
      <c r="L902" s="3">
        <v>2</v>
      </c>
      <c r="M902" s="3">
        <f>IF(AND(tbl_main[[#This Row],[Price]]="",tbl_main[[#This Row],[Qty]]=""),"",tbl_main[[#This Row],[Price]]*tbl_main[[#This Row],[Qty]])</f>
        <v>400</v>
      </c>
      <c r="N902" s="3">
        <f>_xlfn.LET(_xlpm.x,_xlfn.XLOOKUP(tbl_main[[#This Row],[Service]],tbl_service[Service],tbl_service[Profit],""),
               IF(tbl_main[[#This Row],[Qty]]="","",_xlpm.x*tbl_main[[#This Row],[Qty]]))</f>
        <v>180</v>
      </c>
    </row>
    <row r="903" spans="1:14" x14ac:dyDescent="0.25">
      <c r="A903" t="s">
        <v>945</v>
      </c>
      <c r="B903" s="1">
        <v>45958</v>
      </c>
      <c r="C903">
        <f>IF(tbl_main[[#This Row],[Date]]="","",YEAR(B903))</f>
        <v>2025</v>
      </c>
      <c r="D903" t="str">
        <f>IF(tbl_main[[#This Row],[Date]]="","",TEXT(B903,"mmm"))</f>
        <v>Oct</v>
      </c>
      <c r="E903" t="str">
        <f>IF(tbl_main[[#This Row],[Date]]="","",TEXT(B903,"DDD"))</f>
        <v>Tue</v>
      </c>
      <c r="F903" t="s">
        <v>27</v>
      </c>
      <c r="G903" t="s">
        <v>40</v>
      </c>
      <c r="H903" s="3" t="s">
        <v>26</v>
      </c>
      <c r="I903" s="3" t="s">
        <v>19</v>
      </c>
      <c r="J903" s="3" t="s">
        <v>32</v>
      </c>
      <c r="K903" s="3">
        <f>_xlfn.XLOOKUP(tbl_main[[#This Row],[Service]],tbl_service[Service],tbl_service[Price],"")</f>
        <v>200</v>
      </c>
      <c r="L903" s="3">
        <v>2</v>
      </c>
      <c r="M903" s="3">
        <f>IF(AND(tbl_main[[#This Row],[Price]]="",tbl_main[[#This Row],[Qty]]=""),"",tbl_main[[#This Row],[Price]]*tbl_main[[#This Row],[Qty]])</f>
        <v>400</v>
      </c>
      <c r="N903" s="3">
        <f>_xlfn.LET(_xlpm.x,_xlfn.XLOOKUP(tbl_main[[#This Row],[Service]],tbl_service[Service],tbl_service[Profit],""),
               IF(tbl_main[[#This Row],[Qty]]="","",_xlpm.x*tbl_main[[#This Row],[Qty]]))</f>
        <v>180</v>
      </c>
    </row>
    <row r="904" spans="1:14" x14ac:dyDescent="0.25">
      <c r="A904" t="s">
        <v>946</v>
      </c>
      <c r="B904" s="1">
        <v>45958</v>
      </c>
      <c r="C904">
        <f>IF(tbl_main[[#This Row],[Date]]="","",YEAR(B904))</f>
        <v>2025</v>
      </c>
      <c r="D904" t="str">
        <f>IF(tbl_main[[#This Row],[Date]]="","",TEXT(B904,"mmm"))</f>
        <v>Oct</v>
      </c>
      <c r="E904" t="str">
        <f>IF(tbl_main[[#This Row],[Date]]="","",TEXT(B904,"DDD"))</f>
        <v>Tue</v>
      </c>
      <c r="F904" t="s">
        <v>20</v>
      </c>
      <c r="G904" t="s">
        <v>29</v>
      </c>
      <c r="H904" s="3" t="s">
        <v>24</v>
      </c>
      <c r="I904" s="3" t="s">
        <v>43</v>
      </c>
      <c r="J904" s="3" t="s">
        <v>17</v>
      </c>
      <c r="K904" s="3">
        <f>_xlfn.XLOOKUP(tbl_main[[#This Row],[Service]],tbl_service[Service],tbl_service[Price],"")</f>
        <v>80</v>
      </c>
      <c r="L904" s="3">
        <v>2</v>
      </c>
      <c r="M904" s="3">
        <f>IF(AND(tbl_main[[#This Row],[Price]]="",tbl_main[[#This Row],[Qty]]=""),"",tbl_main[[#This Row],[Price]]*tbl_main[[#This Row],[Qty]])</f>
        <v>160</v>
      </c>
      <c r="N904" s="3">
        <f>_xlfn.LET(_xlpm.x,_xlfn.XLOOKUP(tbl_main[[#This Row],[Service]],tbl_service[Service],tbl_service[Profit],""),
               IF(tbl_main[[#This Row],[Qty]]="","",_xlpm.x*tbl_main[[#This Row],[Qty]]))</f>
        <v>72</v>
      </c>
    </row>
    <row r="905" spans="1:14" x14ac:dyDescent="0.25">
      <c r="A905" t="s">
        <v>947</v>
      </c>
      <c r="B905" s="1">
        <v>45958</v>
      </c>
      <c r="C905">
        <f>IF(tbl_main[[#This Row],[Date]]="","",YEAR(B905))</f>
        <v>2025</v>
      </c>
      <c r="D905" t="str">
        <f>IF(tbl_main[[#This Row],[Date]]="","",TEXT(B905,"mmm"))</f>
        <v>Oct</v>
      </c>
      <c r="E905" t="str">
        <f>IF(tbl_main[[#This Row],[Date]]="","",TEXT(B905,"DDD"))</f>
        <v>Tue</v>
      </c>
      <c r="F905" t="s">
        <v>30</v>
      </c>
      <c r="G905" t="s">
        <v>36</v>
      </c>
      <c r="H905" s="3" t="s">
        <v>22</v>
      </c>
      <c r="I905" s="3" t="s">
        <v>41</v>
      </c>
      <c r="J905" s="3" t="s">
        <v>25</v>
      </c>
      <c r="K905" s="3">
        <f>_xlfn.XLOOKUP(tbl_main[[#This Row],[Service]],tbl_service[Service],tbl_service[Price],"")</f>
        <v>150</v>
      </c>
      <c r="L905" s="3">
        <v>2</v>
      </c>
      <c r="M905" s="3">
        <f>IF(AND(tbl_main[[#This Row],[Price]]="",tbl_main[[#This Row],[Qty]]=""),"",tbl_main[[#This Row],[Price]]*tbl_main[[#This Row],[Qty]])</f>
        <v>300</v>
      </c>
      <c r="N905" s="3">
        <f>_xlfn.LET(_xlpm.x,_xlfn.XLOOKUP(tbl_main[[#This Row],[Service]],tbl_service[Service],tbl_service[Profit],""),
               IF(tbl_main[[#This Row],[Qty]]="","",_xlpm.x*tbl_main[[#This Row],[Qty]]))</f>
        <v>134</v>
      </c>
    </row>
    <row r="906" spans="1:14" x14ac:dyDescent="0.25">
      <c r="A906" t="s">
        <v>948</v>
      </c>
      <c r="B906" s="1">
        <v>45959</v>
      </c>
      <c r="C906">
        <f>IF(tbl_main[[#This Row],[Date]]="","",YEAR(B906))</f>
        <v>2025</v>
      </c>
      <c r="D906" t="str">
        <f>IF(tbl_main[[#This Row],[Date]]="","",TEXT(B906,"mmm"))</f>
        <v>Oct</v>
      </c>
      <c r="E906" t="str">
        <f>IF(tbl_main[[#This Row],[Date]]="","",TEXT(B906,"DDD"))</f>
        <v>Wed</v>
      </c>
      <c r="F906" t="s">
        <v>13</v>
      </c>
      <c r="G906" t="s">
        <v>14</v>
      </c>
      <c r="H906" s="3" t="s">
        <v>15</v>
      </c>
      <c r="I906" s="3" t="s">
        <v>41</v>
      </c>
      <c r="J906" s="3" t="s">
        <v>32</v>
      </c>
      <c r="K906" s="3">
        <f>_xlfn.XLOOKUP(tbl_main[[#This Row],[Service]],tbl_service[Service],tbl_service[Price],"")</f>
        <v>500</v>
      </c>
      <c r="L906" s="3">
        <v>1</v>
      </c>
      <c r="M906" s="3">
        <f>IF(AND(tbl_main[[#This Row],[Price]]="",tbl_main[[#This Row],[Qty]]=""),"",tbl_main[[#This Row],[Price]]*tbl_main[[#This Row],[Qty]])</f>
        <v>500</v>
      </c>
      <c r="N906" s="3">
        <f>_xlfn.LET(_xlpm.x,_xlfn.XLOOKUP(tbl_main[[#This Row],[Service]],tbl_service[Service],tbl_service[Profit],""),
               IF(tbl_main[[#This Row],[Qty]]="","",_xlpm.x*tbl_main[[#This Row],[Qty]]))</f>
        <v>225</v>
      </c>
    </row>
    <row r="907" spans="1:14" x14ac:dyDescent="0.25">
      <c r="A907" t="s">
        <v>949</v>
      </c>
      <c r="B907" s="1">
        <v>45959</v>
      </c>
      <c r="C907">
        <f>IF(tbl_main[[#This Row],[Date]]="","",YEAR(B907))</f>
        <v>2025</v>
      </c>
      <c r="D907" t="str">
        <f>IF(tbl_main[[#This Row],[Date]]="","",TEXT(B907,"mmm"))</f>
        <v>Oct</v>
      </c>
      <c r="E907" t="str">
        <f>IF(tbl_main[[#This Row],[Date]]="","",TEXT(B907,"DDD"))</f>
        <v>Wed</v>
      </c>
      <c r="F907" t="s">
        <v>27</v>
      </c>
      <c r="G907" t="s">
        <v>28</v>
      </c>
      <c r="H907" s="3" t="s">
        <v>22</v>
      </c>
      <c r="I907" s="3" t="s">
        <v>35</v>
      </c>
      <c r="J907" s="3" t="s">
        <v>32</v>
      </c>
      <c r="K907" s="3">
        <f>_xlfn.XLOOKUP(tbl_main[[#This Row],[Service]],tbl_service[Service],tbl_service[Price],"")</f>
        <v>150</v>
      </c>
      <c r="L907" s="3">
        <v>1</v>
      </c>
      <c r="M907" s="3">
        <f>IF(AND(tbl_main[[#This Row],[Price]]="",tbl_main[[#This Row],[Qty]]=""),"",tbl_main[[#This Row],[Price]]*tbl_main[[#This Row],[Qty]])</f>
        <v>150</v>
      </c>
      <c r="N907" s="3">
        <f>_xlfn.LET(_xlpm.x,_xlfn.XLOOKUP(tbl_main[[#This Row],[Service]],tbl_service[Service],tbl_service[Profit],""),
               IF(tbl_main[[#This Row],[Qty]]="","",_xlpm.x*tbl_main[[#This Row],[Qty]]))</f>
        <v>67</v>
      </c>
    </row>
    <row r="908" spans="1:14" x14ac:dyDescent="0.25">
      <c r="A908" t="s">
        <v>950</v>
      </c>
      <c r="B908" s="1">
        <v>45960</v>
      </c>
      <c r="C908">
        <f>IF(tbl_main[[#This Row],[Date]]="","",YEAR(B908))</f>
        <v>2025</v>
      </c>
      <c r="D908" t="str">
        <f>IF(tbl_main[[#This Row],[Date]]="","",TEXT(B908,"mmm"))</f>
        <v>Oct</v>
      </c>
      <c r="E908" t="str">
        <f>IF(tbl_main[[#This Row],[Date]]="","",TEXT(B908,"DDD"))</f>
        <v>Thu</v>
      </c>
      <c r="F908" t="s">
        <v>13</v>
      </c>
      <c r="G908" t="s">
        <v>33</v>
      </c>
      <c r="H908" s="3" t="s">
        <v>26</v>
      </c>
      <c r="I908" s="3" t="s">
        <v>35</v>
      </c>
      <c r="J908" s="3" t="s">
        <v>17</v>
      </c>
      <c r="K908" s="3">
        <f>_xlfn.XLOOKUP(tbl_main[[#This Row],[Service]],tbl_service[Service],tbl_service[Price],"")</f>
        <v>200</v>
      </c>
      <c r="L908" s="3">
        <v>2</v>
      </c>
      <c r="M908" s="3">
        <f>IF(AND(tbl_main[[#This Row],[Price]]="",tbl_main[[#This Row],[Qty]]=""),"",tbl_main[[#This Row],[Price]]*tbl_main[[#This Row],[Qty]])</f>
        <v>400</v>
      </c>
      <c r="N908" s="3">
        <f>_xlfn.LET(_xlpm.x,_xlfn.XLOOKUP(tbl_main[[#This Row],[Service]],tbl_service[Service],tbl_service[Profit],""),
               IF(tbl_main[[#This Row],[Qty]]="","",_xlpm.x*tbl_main[[#This Row],[Qty]]))</f>
        <v>180</v>
      </c>
    </row>
    <row r="909" spans="1:14" x14ac:dyDescent="0.25">
      <c r="A909" t="s">
        <v>951</v>
      </c>
      <c r="B909" s="1">
        <v>45960</v>
      </c>
      <c r="C909">
        <f>IF(tbl_main[[#This Row],[Date]]="","",YEAR(B909))</f>
        <v>2025</v>
      </c>
      <c r="D909" t="str">
        <f>IF(tbl_main[[#This Row],[Date]]="","",TEXT(B909,"mmm"))</f>
        <v>Oct</v>
      </c>
      <c r="E909" t="str">
        <f>IF(tbl_main[[#This Row],[Date]]="","",TEXT(B909,"DDD"))</f>
        <v>Thu</v>
      </c>
      <c r="F909" t="s">
        <v>27</v>
      </c>
      <c r="G909" t="s">
        <v>28</v>
      </c>
      <c r="H909" s="3" t="s">
        <v>22</v>
      </c>
      <c r="I909" s="3" t="s">
        <v>23</v>
      </c>
      <c r="J909" s="3" t="s">
        <v>25</v>
      </c>
      <c r="K909" s="3">
        <f>_xlfn.XLOOKUP(tbl_main[[#This Row],[Service]],tbl_service[Service],tbl_service[Price],"")</f>
        <v>150</v>
      </c>
      <c r="L909" s="3">
        <v>2</v>
      </c>
      <c r="M909" s="3">
        <f>IF(AND(tbl_main[[#This Row],[Price]]="",tbl_main[[#This Row],[Qty]]=""),"",tbl_main[[#This Row],[Price]]*tbl_main[[#This Row],[Qty]])</f>
        <v>300</v>
      </c>
      <c r="N909" s="3">
        <f>_xlfn.LET(_xlpm.x,_xlfn.XLOOKUP(tbl_main[[#This Row],[Service]],tbl_service[Service],tbl_service[Profit],""),
               IF(tbl_main[[#This Row],[Qty]]="","",_xlpm.x*tbl_main[[#This Row],[Qty]]))</f>
        <v>134</v>
      </c>
    </row>
    <row r="910" spans="1:14" x14ac:dyDescent="0.25">
      <c r="A910" t="s">
        <v>952</v>
      </c>
      <c r="B910" s="1">
        <v>45961</v>
      </c>
      <c r="C910">
        <f>IF(tbl_main[[#This Row],[Date]]="","",YEAR(B910))</f>
        <v>2025</v>
      </c>
      <c r="D910" t="str">
        <f>IF(tbl_main[[#This Row],[Date]]="","",TEXT(B910,"mmm"))</f>
        <v>Oct</v>
      </c>
      <c r="E910" t="str">
        <f>IF(tbl_main[[#This Row],[Date]]="","",TEXT(B910,"DDD"))</f>
        <v>Fri</v>
      </c>
      <c r="F910" t="s">
        <v>27</v>
      </c>
      <c r="G910" t="s">
        <v>40</v>
      </c>
      <c r="H910" s="3" t="s">
        <v>26</v>
      </c>
      <c r="I910" s="3" t="s">
        <v>37</v>
      </c>
      <c r="J910" s="3" t="s">
        <v>17</v>
      </c>
      <c r="K910" s="3">
        <f>_xlfn.XLOOKUP(tbl_main[[#This Row],[Service]],tbl_service[Service],tbl_service[Price],"")</f>
        <v>200</v>
      </c>
      <c r="L910" s="3">
        <v>2</v>
      </c>
      <c r="M910" s="3">
        <f>IF(AND(tbl_main[[#This Row],[Price]]="",tbl_main[[#This Row],[Qty]]=""),"",tbl_main[[#This Row],[Price]]*tbl_main[[#This Row],[Qty]])</f>
        <v>400</v>
      </c>
      <c r="N910" s="3">
        <f>_xlfn.LET(_xlpm.x,_xlfn.XLOOKUP(tbl_main[[#This Row],[Service]],tbl_service[Service],tbl_service[Profit],""),
               IF(tbl_main[[#This Row],[Qty]]="","",_xlpm.x*tbl_main[[#This Row],[Qty]]))</f>
        <v>180</v>
      </c>
    </row>
    <row r="911" spans="1:14" x14ac:dyDescent="0.25">
      <c r="A911" t="s">
        <v>953</v>
      </c>
      <c r="B911" s="1">
        <v>45961</v>
      </c>
      <c r="C911">
        <f>IF(tbl_main[[#This Row],[Date]]="","",YEAR(B911))</f>
        <v>2025</v>
      </c>
      <c r="D911" t="str">
        <f>IF(tbl_main[[#This Row],[Date]]="","",TEXT(B911,"mmm"))</f>
        <v>Oct</v>
      </c>
      <c r="E911" t="str">
        <f>IF(tbl_main[[#This Row],[Date]]="","",TEXT(B911,"DDD"))</f>
        <v>Fri</v>
      </c>
      <c r="F911" t="s">
        <v>20</v>
      </c>
      <c r="G911" t="s">
        <v>39</v>
      </c>
      <c r="H911" s="3" t="s">
        <v>15</v>
      </c>
      <c r="I911" s="3" t="s">
        <v>38</v>
      </c>
      <c r="J911" s="3" t="s">
        <v>17</v>
      </c>
      <c r="K911" s="3">
        <f>_xlfn.XLOOKUP(tbl_main[[#This Row],[Service]],tbl_service[Service],tbl_service[Price],"")</f>
        <v>500</v>
      </c>
      <c r="L911" s="3">
        <v>2</v>
      </c>
      <c r="M911" s="3">
        <f>IF(AND(tbl_main[[#This Row],[Price]]="",tbl_main[[#This Row],[Qty]]=""),"",tbl_main[[#This Row],[Price]]*tbl_main[[#This Row],[Qty]])</f>
        <v>1000</v>
      </c>
      <c r="N911" s="3">
        <f>_xlfn.LET(_xlpm.x,_xlfn.XLOOKUP(tbl_main[[#This Row],[Service]],tbl_service[Service],tbl_service[Profit],""),
               IF(tbl_main[[#This Row],[Qty]]="","",_xlpm.x*tbl_main[[#This Row],[Qty]]))</f>
        <v>450</v>
      </c>
    </row>
    <row r="912" spans="1:14" x14ac:dyDescent="0.25">
      <c r="A912" t="s">
        <v>954</v>
      </c>
      <c r="B912" s="1">
        <v>45961</v>
      </c>
      <c r="C912">
        <f>IF(tbl_main[[#This Row],[Date]]="","",YEAR(B912))</f>
        <v>2025</v>
      </c>
      <c r="D912" t="str">
        <f>IF(tbl_main[[#This Row],[Date]]="","",TEXT(B912,"mmm"))</f>
        <v>Oct</v>
      </c>
      <c r="E912" t="str">
        <f>IF(tbl_main[[#This Row],[Date]]="","",TEXT(B912,"DDD"))</f>
        <v>Fri</v>
      </c>
      <c r="F912" t="s">
        <v>20</v>
      </c>
      <c r="G912" t="s">
        <v>29</v>
      </c>
      <c r="H912" s="3" t="s">
        <v>18</v>
      </c>
      <c r="I912" s="3" t="s">
        <v>16</v>
      </c>
      <c r="J912" s="3" t="s">
        <v>17</v>
      </c>
      <c r="K912" s="3">
        <f>_xlfn.XLOOKUP(tbl_main[[#This Row],[Service]],tbl_service[Service],tbl_service[Price],"")</f>
        <v>500</v>
      </c>
      <c r="L912" s="3">
        <v>2</v>
      </c>
      <c r="M912" s="3">
        <f>IF(AND(tbl_main[[#This Row],[Price]]="",tbl_main[[#This Row],[Qty]]=""),"",tbl_main[[#This Row],[Price]]*tbl_main[[#This Row],[Qty]])</f>
        <v>1000</v>
      </c>
      <c r="N912" s="3">
        <f>_xlfn.LET(_xlpm.x,_xlfn.XLOOKUP(tbl_main[[#This Row],[Service]],tbl_service[Service],tbl_service[Profit],""),
               IF(tbl_main[[#This Row],[Qty]]="","",_xlpm.x*tbl_main[[#This Row],[Qty]]))</f>
        <v>314</v>
      </c>
    </row>
    <row r="913" spans="1:14" x14ac:dyDescent="0.25">
      <c r="A913" t="s">
        <v>955</v>
      </c>
      <c r="B913" s="1">
        <v>45962</v>
      </c>
      <c r="C913">
        <f>IF(tbl_main[[#This Row],[Date]]="","",YEAR(B913))</f>
        <v>2025</v>
      </c>
      <c r="D913" t="str">
        <f>IF(tbl_main[[#This Row],[Date]]="","",TEXT(B913,"mmm"))</f>
        <v>Nov</v>
      </c>
      <c r="E913" t="str">
        <f>IF(tbl_main[[#This Row],[Date]]="","",TEXT(B913,"DDD"))</f>
        <v>Sat</v>
      </c>
      <c r="F913" t="s">
        <v>13</v>
      </c>
      <c r="G913" t="s">
        <v>14</v>
      </c>
      <c r="H913" s="3" t="s">
        <v>26</v>
      </c>
      <c r="I913" s="3" t="s">
        <v>19</v>
      </c>
      <c r="J913" s="3" t="s">
        <v>25</v>
      </c>
      <c r="K913" s="3">
        <f>_xlfn.XLOOKUP(tbl_main[[#This Row],[Service]],tbl_service[Service],tbl_service[Price],"")</f>
        <v>200</v>
      </c>
      <c r="L913" s="3">
        <v>2</v>
      </c>
      <c r="M913" s="3">
        <f>IF(AND(tbl_main[[#This Row],[Price]]="",tbl_main[[#This Row],[Qty]]=""),"",tbl_main[[#This Row],[Price]]*tbl_main[[#This Row],[Qty]])</f>
        <v>400</v>
      </c>
      <c r="N913" s="3">
        <f>_xlfn.LET(_xlpm.x,_xlfn.XLOOKUP(tbl_main[[#This Row],[Service]],tbl_service[Service],tbl_service[Profit],""),
               IF(tbl_main[[#This Row],[Qty]]="","",_xlpm.x*tbl_main[[#This Row],[Qty]]))</f>
        <v>180</v>
      </c>
    </row>
    <row r="914" spans="1:14" x14ac:dyDescent="0.25">
      <c r="A914" t="s">
        <v>956</v>
      </c>
      <c r="B914" s="1">
        <v>45962</v>
      </c>
      <c r="C914">
        <f>IF(tbl_main[[#This Row],[Date]]="","",YEAR(B914))</f>
        <v>2025</v>
      </c>
      <c r="D914" t="str">
        <f>IF(tbl_main[[#This Row],[Date]]="","",TEXT(B914,"mmm"))</f>
        <v>Nov</v>
      </c>
      <c r="E914" t="str">
        <f>IF(tbl_main[[#This Row],[Date]]="","",TEXT(B914,"DDD"))</f>
        <v>Sat</v>
      </c>
      <c r="F914" t="s">
        <v>13</v>
      </c>
      <c r="G914" t="s">
        <v>33</v>
      </c>
      <c r="H914" s="3" t="s">
        <v>24</v>
      </c>
      <c r="I914" s="3" t="s">
        <v>43</v>
      </c>
      <c r="J914" s="3" t="s">
        <v>17</v>
      </c>
      <c r="K914" s="3">
        <f>_xlfn.XLOOKUP(tbl_main[[#This Row],[Service]],tbl_service[Service],tbl_service[Price],"")</f>
        <v>80</v>
      </c>
      <c r="L914" s="3">
        <v>1</v>
      </c>
      <c r="M914" s="3">
        <f>IF(AND(tbl_main[[#This Row],[Price]]="",tbl_main[[#This Row],[Qty]]=""),"",tbl_main[[#This Row],[Price]]*tbl_main[[#This Row],[Qty]])</f>
        <v>80</v>
      </c>
      <c r="N914" s="3">
        <f>_xlfn.LET(_xlpm.x,_xlfn.XLOOKUP(tbl_main[[#This Row],[Service]],tbl_service[Service],tbl_service[Profit],""),
               IF(tbl_main[[#This Row],[Qty]]="","",_xlpm.x*tbl_main[[#This Row],[Qty]]))</f>
        <v>36</v>
      </c>
    </row>
    <row r="915" spans="1:14" x14ac:dyDescent="0.25">
      <c r="A915" t="s">
        <v>957</v>
      </c>
      <c r="B915" s="1">
        <v>45963</v>
      </c>
      <c r="C915">
        <f>IF(tbl_main[[#This Row],[Date]]="","",YEAR(B915))</f>
        <v>2025</v>
      </c>
      <c r="D915" t="str">
        <f>IF(tbl_main[[#This Row],[Date]]="","",TEXT(B915,"mmm"))</f>
        <v>Nov</v>
      </c>
      <c r="E915" t="str">
        <f>IF(tbl_main[[#This Row],[Date]]="","",TEXT(B915,"DDD"))</f>
        <v>Sun</v>
      </c>
      <c r="F915" t="s">
        <v>30</v>
      </c>
      <c r="G915" t="s">
        <v>31</v>
      </c>
      <c r="H915" s="3" t="s">
        <v>24</v>
      </c>
      <c r="I915" s="3" t="s">
        <v>41</v>
      </c>
      <c r="J915" s="3" t="s">
        <v>25</v>
      </c>
      <c r="K915" s="3">
        <f>_xlfn.XLOOKUP(tbl_main[[#This Row],[Service]],tbl_service[Service],tbl_service[Price],"")</f>
        <v>80</v>
      </c>
      <c r="L915" s="3">
        <v>1</v>
      </c>
      <c r="M915" s="3">
        <f>IF(AND(tbl_main[[#This Row],[Price]]="",tbl_main[[#This Row],[Qty]]=""),"",tbl_main[[#This Row],[Price]]*tbl_main[[#This Row],[Qty]])</f>
        <v>80</v>
      </c>
      <c r="N915" s="3">
        <f>_xlfn.LET(_xlpm.x,_xlfn.XLOOKUP(tbl_main[[#This Row],[Service]],tbl_service[Service],tbl_service[Profit],""),
               IF(tbl_main[[#This Row],[Qty]]="","",_xlpm.x*tbl_main[[#This Row],[Qty]]))</f>
        <v>36</v>
      </c>
    </row>
    <row r="916" spans="1:14" x14ac:dyDescent="0.25">
      <c r="A916" t="s">
        <v>958</v>
      </c>
      <c r="B916" s="1">
        <v>45963</v>
      </c>
      <c r="C916">
        <f>IF(tbl_main[[#This Row],[Date]]="","",YEAR(B916))</f>
        <v>2025</v>
      </c>
      <c r="D916" t="str">
        <f>IF(tbl_main[[#This Row],[Date]]="","",TEXT(B916,"mmm"))</f>
        <v>Nov</v>
      </c>
      <c r="E916" t="str">
        <f>IF(tbl_main[[#This Row],[Date]]="","",TEXT(B916,"DDD"))</f>
        <v>Sun</v>
      </c>
      <c r="F916" t="s">
        <v>30</v>
      </c>
      <c r="G916" t="s">
        <v>31</v>
      </c>
      <c r="H916" s="3" t="s">
        <v>15</v>
      </c>
      <c r="I916" s="3" t="s">
        <v>41</v>
      </c>
      <c r="J916" s="3" t="s">
        <v>25</v>
      </c>
      <c r="K916" s="3">
        <f>_xlfn.XLOOKUP(tbl_main[[#This Row],[Service]],tbl_service[Service],tbl_service[Price],"")</f>
        <v>500</v>
      </c>
      <c r="L916" s="3">
        <v>2</v>
      </c>
      <c r="M916" s="3">
        <f>IF(AND(tbl_main[[#This Row],[Price]]="",tbl_main[[#This Row],[Qty]]=""),"",tbl_main[[#This Row],[Price]]*tbl_main[[#This Row],[Qty]])</f>
        <v>1000</v>
      </c>
      <c r="N916" s="3">
        <f>_xlfn.LET(_xlpm.x,_xlfn.XLOOKUP(tbl_main[[#This Row],[Service]],tbl_service[Service],tbl_service[Profit],""),
               IF(tbl_main[[#This Row],[Qty]]="","",_xlpm.x*tbl_main[[#This Row],[Qty]]))</f>
        <v>450</v>
      </c>
    </row>
    <row r="917" spans="1:14" x14ac:dyDescent="0.25">
      <c r="A917" t="s">
        <v>959</v>
      </c>
      <c r="B917" s="1">
        <v>45963</v>
      </c>
      <c r="C917">
        <f>IF(tbl_main[[#This Row],[Date]]="","",YEAR(B917))</f>
        <v>2025</v>
      </c>
      <c r="D917" t="str">
        <f>IF(tbl_main[[#This Row],[Date]]="","",TEXT(B917,"mmm"))</f>
        <v>Nov</v>
      </c>
      <c r="E917" t="str">
        <f>IF(tbl_main[[#This Row],[Date]]="","",TEXT(B917,"DDD"))</f>
        <v>Sun</v>
      </c>
      <c r="F917" t="s">
        <v>30</v>
      </c>
      <c r="G917" t="s">
        <v>36</v>
      </c>
      <c r="H917" s="3" t="s">
        <v>34</v>
      </c>
      <c r="I917" s="3" t="s">
        <v>35</v>
      </c>
      <c r="J917" s="3" t="s">
        <v>25</v>
      </c>
      <c r="K917" s="3">
        <f>_xlfn.XLOOKUP(tbl_main[[#This Row],[Service]],tbl_service[Service],tbl_service[Price],"")</f>
        <v>100</v>
      </c>
      <c r="L917" s="3">
        <v>1</v>
      </c>
      <c r="M917" s="3">
        <f>IF(AND(tbl_main[[#This Row],[Price]]="",tbl_main[[#This Row],[Qty]]=""),"",tbl_main[[#This Row],[Price]]*tbl_main[[#This Row],[Qty]])</f>
        <v>100</v>
      </c>
      <c r="N917" s="3">
        <f>_xlfn.LET(_xlpm.x,_xlfn.XLOOKUP(tbl_main[[#This Row],[Service]],tbl_service[Service],tbl_service[Profit],""),
               IF(tbl_main[[#This Row],[Qty]]="","",_xlpm.x*tbl_main[[#This Row],[Qty]]))</f>
        <v>45</v>
      </c>
    </row>
    <row r="918" spans="1:14" x14ac:dyDescent="0.25">
      <c r="A918" t="s">
        <v>960</v>
      </c>
      <c r="B918" s="1">
        <v>45964</v>
      </c>
      <c r="C918">
        <f>IF(tbl_main[[#This Row],[Date]]="","",YEAR(B918))</f>
        <v>2025</v>
      </c>
      <c r="D918" t="str">
        <f>IF(tbl_main[[#This Row],[Date]]="","",TEXT(B918,"mmm"))</f>
        <v>Nov</v>
      </c>
      <c r="E918" t="str">
        <f>IF(tbl_main[[#This Row],[Date]]="","",TEXT(B918,"DDD"))</f>
        <v>Mon</v>
      </c>
      <c r="F918" t="s">
        <v>30</v>
      </c>
      <c r="G918" t="s">
        <v>31</v>
      </c>
      <c r="H918" s="3" t="s">
        <v>15</v>
      </c>
      <c r="I918" s="3" t="s">
        <v>35</v>
      </c>
      <c r="J918" s="3" t="s">
        <v>32</v>
      </c>
      <c r="K918" s="3">
        <f>_xlfn.XLOOKUP(tbl_main[[#This Row],[Service]],tbl_service[Service],tbl_service[Price],"")</f>
        <v>500</v>
      </c>
      <c r="L918" s="3">
        <v>1</v>
      </c>
      <c r="M918" s="3">
        <f>IF(AND(tbl_main[[#This Row],[Price]]="",tbl_main[[#This Row],[Qty]]=""),"",tbl_main[[#This Row],[Price]]*tbl_main[[#This Row],[Qty]])</f>
        <v>500</v>
      </c>
      <c r="N918" s="3">
        <f>_xlfn.LET(_xlpm.x,_xlfn.XLOOKUP(tbl_main[[#This Row],[Service]],tbl_service[Service],tbl_service[Profit],""),
               IF(tbl_main[[#This Row],[Qty]]="","",_xlpm.x*tbl_main[[#This Row],[Qty]]))</f>
        <v>225</v>
      </c>
    </row>
    <row r="919" spans="1:14" x14ac:dyDescent="0.25">
      <c r="A919" t="s">
        <v>961</v>
      </c>
      <c r="B919" s="1">
        <v>45964</v>
      </c>
      <c r="C919">
        <f>IF(tbl_main[[#This Row],[Date]]="","",YEAR(B919))</f>
        <v>2025</v>
      </c>
      <c r="D919" t="str">
        <f>IF(tbl_main[[#This Row],[Date]]="","",TEXT(B919,"mmm"))</f>
        <v>Nov</v>
      </c>
      <c r="E919" t="str">
        <f>IF(tbl_main[[#This Row],[Date]]="","",TEXT(B919,"DDD"))</f>
        <v>Mon</v>
      </c>
      <c r="F919" t="s">
        <v>27</v>
      </c>
      <c r="G919" t="s">
        <v>28</v>
      </c>
      <c r="H919" s="3" t="s">
        <v>24</v>
      </c>
      <c r="I919" s="3" t="s">
        <v>23</v>
      </c>
      <c r="J919" s="3" t="s">
        <v>32</v>
      </c>
      <c r="K919" s="3">
        <f>_xlfn.XLOOKUP(tbl_main[[#This Row],[Service]],tbl_service[Service],tbl_service[Price],"")</f>
        <v>80</v>
      </c>
      <c r="L919" s="3">
        <v>2</v>
      </c>
      <c r="M919" s="3">
        <f>IF(AND(tbl_main[[#This Row],[Price]]="",tbl_main[[#This Row],[Qty]]=""),"",tbl_main[[#This Row],[Price]]*tbl_main[[#This Row],[Qty]])</f>
        <v>160</v>
      </c>
      <c r="N919" s="3">
        <f>_xlfn.LET(_xlpm.x,_xlfn.XLOOKUP(tbl_main[[#This Row],[Service]],tbl_service[Service],tbl_service[Profit],""),
               IF(tbl_main[[#This Row],[Qty]]="","",_xlpm.x*tbl_main[[#This Row],[Qty]]))</f>
        <v>72</v>
      </c>
    </row>
    <row r="920" spans="1:14" x14ac:dyDescent="0.25">
      <c r="A920" t="s">
        <v>962</v>
      </c>
      <c r="B920" s="1">
        <v>45964</v>
      </c>
      <c r="C920">
        <f>IF(tbl_main[[#This Row],[Date]]="","",YEAR(B920))</f>
        <v>2025</v>
      </c>
      <c r="D920" t="str">
        <f>IF(tbl_main[[#This Row],[Date]]="","",TEXT(B920,"mmm"))</f>
        <v>Nov</v>
      </c>
      <c r="E920" t="str">
        <f>IF(tbl_main[[#This Row],[Date]]="","",TEXT(B920,"DDD"))</f>
        <v>Mon</v>
      </c>
      <c r="F920" t="s">
        <v>13</v>
      </c>
      <c r="G920" t="s">
        <v>14</v>
      </c>
      <c r="H920" s="3" t="s">
        <v>18</v>
      </c>
      <c r="I920" s="3" t="s">
        <v>37</v>
      </c>
      <c r="J920" s="3" t="s">
        <v>17</v>
      </c>
      <c r="K920" s="3">
        <f>_xlfn.XLOOKUP(tbl_main[[#This Row],[Service]],tbl_service[Service],tbl_service[Price],"")</f>
        <v>500</v>
      </c>
      <c r="L920" s="3">
        <v>1</v>
      </c>
      <c r="M920" s="3">
        <f>IF(AND(tbl_main[[#This Row],[Price]]="",tbl_main[[#This Row],[Qty]]=""),"",tbl_main[[#This Row],[Price]]*tbl_main[[#This Row],[Qty]])</f>
        <v>500</v>
      </c>
      <c r="N920" s="3">
        <f>_xlfn.LET(_xlpm.x,_xlfn.XLOOKUP(tbl_main[[#This Row],[Service]],tbl_service[Service],tbl_service[Profit],""),
               IF(tbl_main[[#This Row],[Qty]]="","",_xlpm.x*tbl_main[[#This Row],[Qty]]))</f>
        <v>157</v>
      </c>
    </row>
    <row r="921" spans="1:14" x14ac:dyDescent="0.25">
      <c r="A921" t="s">
        <v>963</v>
      </c>
      <c r="B921" s="1">
        <v>45965</v>
      </c>
      <c r="C921">
        <f>IF(tbl_main[[#This Row],[Date]]="","",YEAR(B921))</f>
        <v>2025</v>
      </c>
      <c r="D921" t="str">
        <f>IF(tbl_main[[#This Row],[Date]]="","",TEXT(B921,"mmm"))</f>
        <v>Nov</v>
      </c>
      <c r="E921" t="str">
        <f>IF(tbl_main[[#This Row],[Date]]="","",TEXT(B921,"DDD"))</f>
        <v>Tue</v>
      </c>
      <c r="F921" t="s">
        <v>27</v>
      </c>
      <c r="G921" t="s">
        <v>40</v>
      </c>
      <c r="H921" s="3" t="s">
        <v>15</v>
      </c>
      <c r="I921" s="3" t="s">
        <v>38</v>
      </c>
      <c r="J921" s="3" t="s">
        <v>25</v>
      </c>
      <c r="K921" s="3">
        <f>_xlfn.XLOOKUP(tbl_main[[#This Row],[Service]],tbl_service[Service],tbl_service[Price],"")</f>
        <v>500</v>
      </c>
      <c r="L921" s="3">
        <v>1</v>
      </c>
      <c r="M921" s="3">
        <f>IF(AND(tbl_main[[#This Row],[Price]]="",tbl_main[[#This Row],[Qty]]=""),"",tbl_main[[#This Row],[Price]]*tbl_main[[#This Row],[Qty]])</f>
        <v>500</v>
      </c>
      <c r="N921" s="3">
        <f>_xlfn.LET(_xlpm.x,_xlfn.XLOOKUP(tbl_main[[#This Row],[Service]],tbl_service[Service],tbl_service[Profit],""),
               IF(tbl_main[[#This Row],[Qty]]="","",_xlpm.x*tbl_main[[#This Row],[Qty]]))</f>
        <v>225</v>
      </c>
    </row>
    <row r="922" spans="1:14" x14ac:dyDescent="0.25">
      <c r="A922" t="s">
        <v>964</v>
      </c>
      <c r="B922" s="1">
        <v>45965</v>
      </c>
      <c r="C922">
        <f>IF(tbl_main[[#This Row],[Date]]="","",YEAR(B922))</f>
        <v>2025</v>
      </c>
      <c r="D922" t="str">
        <f>IF(tbl_main[[#This Row],[Date]]="","",TEXT(B922,"mmm"))</f>
        <v>Nov</v>
      </c>
      <c r="E922" t="str">
        <f>IF(tbl_main[[#This Row],[Date]]="","",TEXT(B922,"DDD"))</f>
        <v>Tue</v>
      </c>
      <c r="F922" t="s">
        <v>13</v>
      </c>
      <c r="G922" t="s">
        <v>14</v>
      </c>
      <c r="H922" s="3" t="s">
        <v>22</v>
      </c>
      <c r="I922" s="3" t="s">
        <v>16</v>
      </c>
      <c r="J922" s="3" t="s">
        <v>25</v>
      </c>
      <c r="K922" s="3">
        <f>_xlfn.XLOOKUP(tbl_main[[#This Row],[Service]],tbl_service[Service],tbl_service[Price],"")</f>
        <v>150</v>
      </c>
      <c r="L922" s="3">
        <v>2</v>
      </c>
      <c r="M922" s="3">
        <f>IF(AND(tbl_main[[#This Row],[Price]]="",tbl_main[[#This Row],[Qty]]=""),"",tbl_main[[#This Row],[Price]]*tbl_main[[#This Row],[Qty]])</f>
        <v>300</v>
      </c>
      <c r="N922" s="3">
        <f>_xlfn.LET(_xlpm.x,_xlfn.XLOOKUP(tbl_main[[#This Row],[Service]],tbl_service[Service],tbl_service[Profit],""),
               IF(tbl_main[[#This Row],[Qty]]="","",_xlpm.x*tbl_main[[#This Row],[Qty]]))</f>
        <v>134</v>
      </c>
    </row>
    <row r="923" spans="1:14" x14ac:dyDescent="0.25">
      <c r="A923" t="s">
        <v>965</v>
      </c>
      <c r="B923" s="1">
        <v>45966</v>
      </c>
      <c r="C923">
        <f>IF(tbl_main[[#This Row],[Date]]="","",YEAR(B923))</f>
        <v>2025</v>
      </c>
      <c r="D923" t="str">
        <f>IF(tbl_main[[#This Row],[Date]]="","",TEXT(B923,"mmm"))</f>
        <v>Nov</v>
      </c>
      <c r="E923" t="str">
        <f>IF(tbl_main[[#This Row],[Date]]="","",TEXT(B923,"DDD"))</f>
        <v>Wed</v>
      </c>
      <c r="F923" t="s">
        <v>27</v>
      </c>
      <c r="G923" t="s">
        <v>40</v>
      </c>
      <c r="H923" s="3" t="s">
        <v>34</v>
      </c>
      <c r="I923" s="3" t="s">
        <v>19</v>
      </c>
      <c r="J923" s="3" t="s">
        <v>32</v>
      </c>
      <c r="K923" s="3">
        <f>_xlfn.XLOOKUP(tbl_main[[#This Row],[Service]],tbl_service[Service],tbl_service[Price],"")</f>
        <v>100</v>
      </c>
      <c r="L923" s="3">
        <v>1</v>
      </c>
      <c r="M923" s="3">
        <f>IF(AND(tbl_main[[#This Row],[Price]]="",tbl_main[[#This Row],[Qty]]=""),"",tbl_main[[#This Row],[Price]]*tbl_main[[#This Row],[Qty]])</f>
        <v>100</v>
      </c>
      <c r="N923" s="3">
        <f>_xlfn.LET(_xlpm.x,_xlfn.XLOOKUP(tbl_main[[#This Row],[Service]],tbl_service[Service],tbl_service[Profit],""),
               IF(tbl_main[[#This Row],[Qty]]="","",_xlpm.x*tbl_main[[#This Row],[Qty]]))</f>
        <v>45</v>
      </c>
    </row>
    <row r="924" spans="1:14" x14ac:dyDescent="0.25">
      <c r="A924" t="s">
        <v>966</v>
      </c>
      <c r="B924" s="1">
        <v>45966</v>
      </c>
      <c r="C924">
        <f>IF(tbl_main[[#This Row],[Date]]="","",YEAR(B924))</f>
        <v>2025</v>
      </c>
      <c r="D924" t="str">
        <f>IF(tbl_main[[#This Row],[Date]]="","",TEXT(B924,"mmm"))</f>
        <v>Nov</v>
      </c>
      <c r="E924" t="str">
        <f>IF(tbl_main[[#This Row],[Date]]="","",TEXT(B924,"DDD"))</f>
        <v>Wed</v>
      </c>
      <c r="F924" t="s">
        <v>20</v>
      </c>
      <c r="G924" t="s">
        <v>39</v>
      </c>
      <c r="H924" s="3" t="s">
        <v>34</v>
      </c>
      <c r="I924" s="3" t="s">
        <v>43</v>
      </c>
      <c r="J924" s="3" t="s">
        <v>32</v>
      </c>
      <c r="K924" s="3">
        <f>_xlfn.XLOOKUP(tbl_main[[#This Row],[Service]],tbl_service[Service],tbl_service[Price],"")</f>
        <v>100</v>
      </c>
      <c r="L924" s="3">
        <v>1</v>
      </c>
      <c r="M924" s="3">
        <f>IF(AND(tbl_main[[#This Row],[Price]]="",tbl_main[[#This Row],[Qty]]=""),"",tbl_main[[#This Row],[Price]]*tbl_main[[#This Row],[Qty]])</f>
        <v>100</v>
      </c>
      <c r="N924" s="3">
        <f>_xlfn.LET(_xlpm.x,_xlfn.XLOOKUP(tbl_main[[#This Row],[Service]],tbl_service[Service],tbl_service[Profit],""),
               IF(tbl_main[[#This Row],[Qty]]="","",_xlpm.x*tbl_main[[#This Row],[Qty]]))</f>
        <v>45</v>
      </c>
    </row>
    <row r="925" spans="1:14" x14ac:dyDescent="0.25">
      <c r="A925" t="s">
        <v>967</v>
      </c>
      <c r="B925" s="1">
        <v>45967</v>
      </c>
      <c r="C925">
        <f>IF(tbl_main[[#This Row],[Date]]="","",YEAR(B925))</f>
        <v>2025</v>
      </c>
      <c r="D925" t="str">
        <f>IF(tbl_main[[#This Row],[Date]]="","",TEXT(B925,"mmm"))</f>
        <v>Nov</v>
      </c>
      <c r="E925" t="str">
        <f>IF(tbl_main[[#This Row],[Date]]="","",TEXT(B925,"DDD"))</f>
        <v>Thu</v>
      </c>
      <c r="F925" t="s">
        <v>13</v>
      </c>
      <c r="G925" t="s">
        <v>33</v>
      </c>
      <c r="H925" s="3" t="s">
        <v>22</v>
      </c>
      <c r="I925" s="3" t="s">
        <v>41</v>
      </c>
      <c r="J925" s="3" t="s">
        <v>25</v>
      </c>
      <c r="K925" s="3">
        <f>_xlfn.XLOOKUP(tbl_main[[#This Row],[Service]],tbl_service[Service],tbl_service[Price],"")</f>
        <v>150</v>
      </c>
      <c r="L925" s="3">
        <v>2</v>
      </c>
      <c r="M925" s="3">
        <f>IF(AND(tbl_main[[#This Row],[Price]]="",tbl_main[[#This Row],[Qty]]=""),"",tbl_main[[#This Row],[Price]]*tbl_main[[#This Row],[Qty]])</f>
        <v>300</v>
      </c>
      <c r="N925" s="3">
        <f>_xlfn.LET(_xlpm.x,_xlfn.XLOOKUP(tbl_main[[#This Row],[Service]],tbl_service[Service],tbl_service[Profit],""),
               IF(tbl_main[[#This Row],[Qty]]="","",_xlpm.x*tbl_main[[#This Row],[Qty]]))</f>
        <v>134</v>
      </c>
    </row>
    <row r="926" spans="1:14" x14ac:dyDescent="0.25">
      <c r="A926" t="s">
        <v>968</v>
      </c>
      <c r="B926" s="1">
        <v>45967</v>
      </c>
      <c r="C926">
        <f>IF(tbl_main[[#This Row],[Date]]="","",YEAR(B926))</f>
        <v>2025</v>
      </c>
      <c r="D926" t="str">
        <f>IF(tbl_main[[#This Row],[Date]]="","",TEXT(B926,"mmm"))</f>
        <v>Nov</v>
      </c>
      <c r="E926" t="str">
        <f>IF(tbl_main[[#This Row],[Date]]="","",TEXT(B926,"DDD"))</f>
        <v>Thu</v>
      </c>
      <c r="F926" t="s">
        <v>20</v>
      </c>
      <c r="G926" t="s">
        <v>21</v>
      </c>
      <c r="H926" s="3" t="s">
        <v>34</v>
      </c>
      <c r="I926" s="3" t="s">
        <v>41</v>
      </c>
      <c r="J926" s="3" t="s">
        <v>17</v>
      </c>
      <c r="K926" s="3">
        <f>_xlfn.XLOOKUP(tbl_main[[#This Row],[Service]],tbl_service[Service],tbl_service[Price],"")</f>
        <v>100</v>
      </c>
      <c r="L926" s="3">
        <v>1</v>
      </c>
      <c r="M926" s="3">
        <f>IF(AND(tbl_main[[#This Row],[Price]]="",tbl_main[[#This Row],[Qty]]=""),"",tbl_main[[#This Row],[Price]]*tbl_main[[#This Row],[Qty]])</f>
        <v>100</v>
      </c>
      <c r="N926" s="3">
        <f>_xlfn.LET(_xlpm.x,_xlfn.XLOOKUP(tbl_main[[#This Row],[Service]],tbl_service[Service],tbl_service[Profit],""),
               IF(tbl_main[[#This Row],[Qty]]="","",_xlpm.x*tbl_main[[#This Row],[Qty]]))</f>
        <v>45</v>
      </c>
    </row>
    <row r="927" spans="1:14" x14ac:dyDescent="0.25">
      <c r="A927" t="s">
        <v>969</v>
      </c>
      <c r="B927" s="1">
        <v>45967</v>
      </c>
      <c r="C927">
        <f>IF(tbl_main[[#This Row],[Date]]="","",YEAR(B927))</f>
        <v>2025</v>
      </c>
      <c r="D927" t="str">
        <f>IF(tbl_main[[#This Row],[Date]]="","",TEXT(B927,"mmm"))</f>
        <v>Nov</v>
      </c>
      <c r="E927" t="str">
        <f>IF(tbl_main[[#This Row],[Date]]="","",TEXT(B927,"DDD"))</f>
        <v>Thu</v>
      </c>
      <c r="F927" t="s">
        <v>13</v>
      </c>
      <c r="G927" t="s">
        <v>14</v>
      </c>
      <c r="H927" s="3" t="s">
        <v>26</v>
      </c>
      <c r="I927" s="3" t="s">
        <v>35</v>
      </c>
      <c r="J927" s="3" t="s">
        <v>17</v>
      </c>
      <c r="K927" s="3">
        <f>_xlfn.XLOOKUP(tbl_main[[#This Row],[Service]],tbl_service[Service],tbl_service[Price],"")</f>
        <v>200</v>
      </c>
      <c r="L927" s="3">
        <v>2</v>
      </c>
      <c r="M927" s="3">
        <f>IF(AND(tbl_main[[#This Row],[Price]]="",tbl_main[[#This Row],[Qty]]=""),"",tbl_main[[#This Row],[Price]]*tbl_main[[#This Row],[Qty]])</f>
        <v>400</v>
      </c>
      <c r="N927" s="3">
        <f>_xlfn.LET(_xlpm.x,_xlfn.XLOOKUP(tbl_main[[#This Row],[Service]],tbl_service[Service],tbl_service[Profit],""),
               IF(tbl_main[[#This Row],[Qty]]="","",_xlpm.x*tbl_main[[#This Row],[Qty]]))</f>
        <v>180</v>
      </c>
    </row>
    <row r="928" spans="1:14" x14ac:dyDescent="0.25">
      <c r="A928" t="s">
        <v>970</v>
      </c>
      <c r="B928" s="1">
        <v>45968</v>
      </c>
      <c r="C928">
        <f>IF(tbl_main[[#This Row],[Date]]="","",YEAR(B928))</f>
        <v>2025</v>
      </c>
      <c r="D928" t="str">
        <f>IF(tbl_main[[#This Row],[Date]]="","",TEXT(B928,"mmm"))</f>
        <v>Nov</v>
      </c>
      <c r="E928" t="str">
        <f>IF(tbl_main[[#This Row],[Date]]="","",TEXT(B928,"DDD"))</f>
        <v>Fri</v>
      </c>
      <c r="F928" t="s">
        <v>20</v>
      </c>
      <c r="G928" t="s">
        <v>29</v>
      </c>
      <c r="H928" s="3" t="s">
        <v>24</v>
      </c>
      <c r="I928" s="3" t="s">
        <v>35</v>
      </c>
      <c r="J928" s="3" t="s">
        <v>25</v>
      </c>
      <c r="K928" s="3">
        <f>_xlfn.XLOOKUP(tbl_main[[#This Row],[Service]],tbl_service[Service],tbl_service[Price],"")</f>
        <v>80</v>
      </c>
      <c r="L928" s="3">
        <v>1</v>
      </c>
      <c r="M928" s="3">
        <f>IF(AND(tbl_main[[#This Row],[Price]]="",tbl_main[[#This Row],[Qty]]=""),"",tbl_main[[#This Row],[Price]]*tbl_main[[#This Row],[Qty]])</f>
        <v>80</v>
      </c>
      <c r="N928" s="3">
        <f>_xlfn.LET(_xlpm.x,_xlfn.XLOOKUP(tbl_main[[#This Row],[Service]],tbl_service[Service],tbl_service[Profit],""),
               IF(tbl_main[[#This Row],[Qty]]="","",_xlpm.x*tbl_main[[#This Row],[Qty]]))</f>
        <v>36</v>
      </c>
    </row>
    <row r="929" spans="1:14" x14ac:dyDescent="0.25">
      <c r="A929" t="s">
        <v>971</v>
      </c>
      <c r="B929" s="1">
        <v>45968</v>
      </c>
      <c r="C929">
        <f>IF(tbl_main[[#This Row],[Date]]="","",YEAR(B929))</f>
        <v>2025</v>
      </c>
      <c r="D929" t="str">
        <f>IF(tbl_main[[#This Row],[Date]]="","",TEXT(B929,"mmm"))</f>
        <v>Nov</v>
      </c>
      <c r="E929" t="str">
        <f>IF(tbl_main[[#This Row],[Date]]="","",TEXT(B929,"DDD"))</f>
        <v>Fri</v>
      </c>
      <c r="F929" t="s">
        <v>20</v>
      </c>
      <c r="G929" t="s">
        <v>39</v>
      </c>
      <c r="H929" s="3" t="s">
        <v>18</v>
      </c>
      <c r="I929" s="3" t="s">
        <v>23</v>
      </c>
      <c r="J929" s="3" t="s">
        <v>17</v>
      </c>
      <c r="K929" s="3">
        <f>_xlfn.XLOOKUP(tbl_main[[#This Row],[Service]],tbl_service[Service],tbl_service[Price],"")</f>
        <v>500</v>
      </c>
      <c r="L929" s="3">
        <v>2</v>
      </c>
      <c r="M929" s="3">
        <f>IF(AND(tbl_main[[#This Row],[Price]]="",tbl_main[[#This Row],[Qty]]=""),"",tbl_main[[#This Row],[Price]]*tbl_main[[#This Row],[Qty]])</f>
        <v>1000</v>
      </c>
      <c r="N929" s="3">
        <f>_xlfn.LET(_xlpm.x,_xlfn.XLOOKUP(tbl_main[[#This Row],[Service]],tbl_service[Service],tbl_service[Profit],""),
               IF(tbl_main[[#This Row],[Qty]]="","",_xlpm.x*tbl_main[[#This Row],[Qty]]))</f>
        <v>314</v>
      </c>
    </row>
    <row r="930" spans="1:14" x14ac:dyDescent="0.25">
      <c r="A930" t="s">
        <v>972</v>
      </c>
      <c r="B930" s="1">
        <v>45968</v>
      </c>
      <c r="C930">
        <f>IF(tbl_main[[#This Row],[Date]]="","",YEAR(B930))</f>
        <v>2025</v>
      </c>
      <c r="D930" t="str">
        <f>IF(tbl_main[[#This Row],[Date]]="","",TEXT(B930,"mmm"))</f>
        <v>Nov</v>
      </c>
      <c r="E930" t="str">
        <f>IF(tbl_main[[#This Row],[Date]]="","",TEXT(B930,"DDD"))</f>
        <v>Fri</v>
      </c>
      <c r="F930" t="s">
        <v>30</v>
      </c>
      <c r="G930" t="s">
        <v>36</v>
      </c>
      <c r="H930" s="3" t="s">
        <v>26</v>
      </c>
      <c r="I930" s="3" t="s">
        <v>37</v>
      </c>
      <c r="J930" s="3" t="s">
        <v>17</v>
      </c>
      <c r="K930" s="3">
        <f>_xlfn.XLOOKUP(tbl_main[[#This Row],[Service]],tbl_service[Service],tbl_service[Price],"")</f>
        <v>200</v>
      </c>
      <c r="L930" s="3">
        <v>1</v>
      </c>
      <c r="M930" s="3">
        <f>IF(AND(tbl_main[[#This Row],[Price]]="",tbl_main[[#This Row],[Qty]]=""),"",tbl_main[[#This Row],[Price]]*tbl_main[[#This Row],[Qty]])</f>
        <v>200</v>
      </c>
      <c r="N930" s="3">
        <f>_xlfn.LET(_xlpm.x,_xlfn.XLOOKUP(tbl_main[[#This Row],[Service]],tbl_service[Service],tbl_service[Profit],""),
               IF(tbl_main[[#This Row],[Qty]]="","",_xlpm.x*tbl_main[[#This Row],[Qty]]))</f>
        <v>90</v>
      </c>
    </row>
    <row r="931" spans="1:14" x14ac:dyDescent="0.25">
      <c r="A931" t="s">
        <v>973</v>
      </c>
      <c r="B931" s="1">
        <v>45968</v>
      </c>
      <c r="C931">
        <f>IF(tbl_main[[#This Row],[Date]]="","",YEAR(B931))</f>
        <v>2025</v>
      </c>
      <c r="D931" t="str">
        <f>IF(tbl_main[[#This Row],[Date]]="","",TEXT(B931,"mmm"))</f>
        <v>Nov</v>
      </c>
      <c r="E931" t="str">
        <f>IF(tbl_main[[#This Row],[Date]]="","",TEXT(B931,"DDD"))</f>
        <v>Fri</v>
      </c>
      <c r="F931" t="s">
        <v>20</v>
      </c>
      <c r="G931" t="s">
        <v>39</v>
      </c>
      <c r="H931" s="3" t="s">
        <v>34</v>
      </c>
      <c r="I931" s="3" t="s">
        <v>38</v>
      </c>
      <c r="J931" s="3" t="s">
        <v>25</v>
      </c>
      <c r="K931" s="3">
        <f>_xlfn.XLOOKUP(tbl_main[[#This Row],[Service]],tbl_service[Service],tbl_service[Price],"")</f>
        <v>100</v>
      </c>
      <c r="L931" s="3">
        <v>2</v>
      </c>
      <c r="M931" s="3">
        <f>IF(AND(tbl_main[[#This Row],[Price]]="",tbl_main[[#This Row],[Qty]]=""),"",tbl_main[[#This Row],[Price]]*tbl_main[[#This Row],[Qty]])</f>
        <v>200</v>
      </c>
      <c r="N931" s="3">
        <f>_xlfn.LET(_xlpm.x,_xlfn.XLOOKUP(tbl_main[[#This Row],[Service]],tbl_service[Service],tbl_service[Profit],""),
               IF(tbl_main[[#This Row],[Qty]]="","",_xlpm.x*tbl_main[[#This Row],[Qty]]))</f>
        <v>90</v>
      </c>
    </row>
    <row r="932" spans="1:14" x14ac:dyDescent="0.25">
      <c r="A932" t="s">
        <v>974</v>
      </c>
      <c r="B932" s="1">
        <v>45969</v>
      </c>
      <c r="C932">
        <f>IF(tbl_main[[#This Row],[Date]]="","",YEAR(B932))</f>
        <v>2025</v>
      </c>
      <c r="D932" t="str">
        <f>IF(tbl_main[[#This Row],[Date]]="","",TEXT(B932,"mmm"))</f>
        <v>Nov</v>
      </c>
      <c r="E932" t="str">
        <f>IF(tbl_main[[#This Row],[Date]]="","",TEXT(B932,"DDD"))</f>
        <v>Sat</v>
      </c>
      <c r="F932" t="s">
        <v>27</v>
      </c>
      <c r="G932" t="s">
        <v>40</v>
      </c>
      <c r="H932" s="3" t="s">
        <v>34</v>
      </c>
      <c r="I932" s="3" t="s">
        <v>16</v>
      </c>
      <c r="J932" s="3" t="s">
        <v>17</v>
      </c>
      <c r="K932" s="3">
        <f>_xlfn.XLOOKUP(tbl_main[[#This Row],[Service]],tbl_service[Service],tbl_service[Price],"")</f>
        <v>100</v>
      </c>
      <c r="L932" s="3">
        <v>2</v>
      </c>
      <c r="M932" s="3">
        <f>IF(AND(tbl_main[[#This Row],[Price]]="",tbl_main[[#This Row],[Qty]]=""),"",tbl_main[[#This Row],[Price]]*tbl_main[[#This Row],[Qty]])</f>
        <v>200</v>
      </c>
      <c r="N932" s="3">
        <f>_xlfn.LET(_xlpm.x,_xlfn.XLOOKUP(tbl_main[[#This Row],[Service]],tbl_service[Service],tbl_service[Profit],""),
               IF(tbl_main[[#This Row],[Qty]]="","",_xlpm.x*tbl_main[[#This Row],[Qty]]))</f>
        <v>90</v>
      </c>
    </row>
    <row r="933" spans="1:14" x14ac:dyDescent="0.25">
      <c r="A933" t="s">
        <v>975</v>
      </c>
      <c r="B933" s="1">
        <v>45969</v>
      </c>
      <c r="C933">
        <f>IF(tbl_main[[#This Row],[Date]]="","",YEAR(B933))</f>
        <v>2025</v>
      </c>
      <c r="D933" t="str">
        <f>IF(tbl_main[[#This Row],[Date]]="","",TEXT(B933,"mmm"))</f>
        <v>Nov</v>
      </c>
      <c r="E933" t="str">
        <f>IF(tbl_main[[#This Row],[Date]]="","",TEXT(B933,"DDD"))</f>
        <v>Sat</v>
      </c>
      <c r="F933" t="s">
        <v>13</v>
      </c>
      <c r="G933" t="s">
        <v>14</v>
      </c>
      <c r="H933" s="3" t="s">
        <v>34</v>
      </c>
      <c r="I933" s="3" t="s">
        <v>19</v>
      </c>
      <c r="J933" s="3" t="s">
        <v>25</v>
      </c>
      <c r="K933" s="3">
        <f>_xlfn.XLOOKUP(tbl_main[[#This Row],[Service]],tbl_service[Service],tbl_service[Price],"")</f>
        <v>100</v>
      </c>
      <c r="L933" s="3">
        <v>2</v>
      </c>
      <c r="M933" s="3">
        <f>IF(AND(tbl_main[[#This Row],[Price]]="",tbl_main[[#This Row],[Qty]]=""),"",tbl_main[[#This Row],[Price]]*tbl_main[[#This Row],[Qty]])</f>
        <v>200</v>
      </c>
      <c r="N933" s="3">
        <f>_xlfn.LET(_xlpm.x,_xlfn.XLOOKUP(tbl_main[[#This Row],[Service]],tbl_service[Service],tbl_service[Profit],""),
               IF(tbl_main[[#This Row],[Qty]]="","",_xlpm.x*tbl_main[[#This Row],[Qty]]))</f>
        <v>90</v>
      </c>
    </row>
    <row r="934" spans="1:14" x14ac:dyDescent="0.25">
      <c r="A934" t="s">
        <v>976</v>
      </c>
      <c r="B934" s="1">
        <v>45969</v>
      </c>
      <c r="C934">
        <f>IF(tbl_main[[#This Row],[Date]]="","",YEAR(B934))</f>
        <v>2025</v>
      </c>
      <c r="D934" t="str">
        <f>IF(tbl_main[[#This Row],[Date]]="","",TEXT(B934,"mmm"))</f>
        <v>Nov</v>
      </c>
      <c r="E934" t="str">
        <f>IF(tbl_main[[#This Row],[Date]]="","",TEXT(B934,"DDD"))</f>
        <v>Sat</v>
      </c>
      <c r="F934" t="s">
        <v>13</v>
      </c>
      <c r="G934" t="s">
        <v>33</v>
      </c>
      <c r="H934" s="3" t="s">
        <v>24</v>
      </c>
      <c r="I934" s="3" t="s">
        <v>43</v>
      </c>
      <c r="J934" s="3" t="s">
        <v>17</v>
      </c>
      <c r="K934" s="3">
        <f>_xlfn.XLOOKUP(tbl_main[[#This Row],[Service]],tbl_service[Service],tbl_service[Price],"")</f>
        <v>80</v>
      </c>
      <c r="L934" s="3">
        <v>2</v>
      </c>
      <c r="M934" s="3">
        <f>IF(AND(tbl_main[[#This Row],[Price]]="",tbl_main[[#This Row],[Qty]]=""),"",tbl_main[[#This Row],[Price]]*tbl_main[[#This Row],[Qty]])</f>
        <v>160</v>
      </c>
      <c r="N934" s="3">
        <f>_xlfn.LET(_xlpm.x,_xlfn.XLOOKUP(tbl_main[[#This Row],[Service]],tbl_service[Service],tbl_service[Profit],""),
               IF(tbl_main[[#This Row],[Qty]]="","",_xlpm.x*tbl_main[[#This Row],[Qty]]))</f>
        <v>72</v>
      </c>
    </row>
    <row r="935" spans="1:14" x14ac:dyDescent="0.25">
      <c r="A935" t="s">
        <v>977</v>
      </c>
      <c r="B935" s="1">
        <v>45970</v>
      </c>
      <c r="C935">
        <f>IF(tbl_main[[#This Row],[Date]]="","",YEAR(B935))</f>
        <v>2025</v>
      </c>
      <c r="D935" t="str">
        <f>IF(tbl_main[[#This Row],[Date]]="","",TEXT(B935,"mmm"))</f>
        <v>Nov</v>
      </c>
      <c r="E935" t="str">
        <f>IF(tbl_main[[#This Row],[Date]]="","",TEXT(B935,"DDD"))</f>
        <v>Sun</v>
      </c>
      <c r="F935" t="s">
        <v>27</v>
      </c>
      <c r="G935" t="s">
        <v>40</v>
      </c>
      <c r="H935" s="3" t="s">
        <v>18</v>
      </c>
      <c r="I935" s="3" t="s">
        <v>41</v>
      </c>
      <c r="J935" s="3" t="s">
        <v>25</v>
      </c>
      <c r="K935" s="3">
        <f>_xlfn.XLOOKUP(tbl_main[[#This Row],[Service]],tbl_service[Service],tbl_service[Price],"")</f>
        <v>500</v>
      </c>
      <c r="L935" s="3">
        <v>2</v>
      </c>
      <c r="M935" s="3">
        <f>IF(AND(tbl_main[[#This Row],[Price]]="",tbl_main[[#This Row],[Qty]]=""),"",tbl_main[[#This Row],[Price]]*tbl_main[[#This Row],[Qty]])</f>
        <v>1000</v>
      </c>
      <c r="N935" s="3">
        <f>_xlfn.LET(_xlpm.x,_xlfn.XLOOKUP(tbl_main[[#This Row],[Service]],tbl_service[Service],tbl_service[Profit],""),
               IF(tbl_main[[#This Row],[Qty]]="","",_xlpm.x*tbl_main[[#This Row],[Qty]]))</f>
        <v>314</v>
      </c>
    </row>
    <row r="936" spans="1:14" x14ac:dyDescent="0.25">
      <c r="A936" t="s">
        <v>978</v>
      </c>
      <c r="B936" s="1">
        <v>45970</v>
      </c>
      <c r="C936">
        <f>IF(tbl_main[[#This Row],[Date]]="","",YEAR(B936))</f>
        <v>2025</v>
      </c>
      <c r="D936" t="str">
        <f>IF(tbl_main[[#This Row],[Date]]="","",TEXT(B936,"mmm"))</f>
        <v>Nov</v>
      </c>
      <c r="E936" t="str">
        <f>IF(tbl_main[[#This Row],[Date]]="","",TEXT(B936,"DDD"))</f>
        <v>Sun</v>
      </c>
      <c r="F936" t="s">
        <v>20</v>
      </c>
      <c r="G936" t="s">
        <v>21</v>
      </c>
      <c r="H936" s="3" t="s">
        <v>18</v>
      </c>
      <c r="I936" s="3" t="s">
        <v>41</v>
      </c>
      <c r="J936" s="3" t="s">
        <v>17</v>
      </c>
      <c r="K936" s="3">
        <f>_xlfn.XLOOKUP(tbl_main[[#This Row],[Service]],tbl_service[Service],tbl_service[Price],"")</f>
        <v>500</v>
      </c>
      <c r="L936" s="3">
        <v>2</v>
      </c>
      <c r="M936" s="3">
        <f>IF(AND(tbl_main[[#This Row],[Price]]="",tbl_main[[#This Row],[Qty]]=""),"",tbl_main[[#This Row],[Price]]*tbl_main[[#This Row],[Qty]])</f>
        <v>1000</v>
      </c>
      <c r="N936" s="3">
        <f>_xlfn.LET(_xlpm.x,_xlfn.XLOOKUP(tbl_main[[#This Row],[Service]],tbl_service[Service],tbl_service[Profit],""),
               IF(tbl_main[[#This Row],[Qty]]="","",_xlpm.x*tbl_main[[#This Row],[Qty]]))</f>
        <v>314</v>
      </c>
    </row>
    <row r="937" spans="1:14" x14ac:dyDescent="0.25">
      <c r="A937" t="s">
        <v>979</v>
      </c>
      <c r="B937" s="1">
        <v>45970</v>
      </c>
      <c r="C937">
        <f>IF(tbl_main[[#This Row],[Date]]="","",YEAR(B937))</f>
        <v>2025</v>
      </c>
      <c r="D937" t="str">
        <f>IF(tbl_main[[#This Row],[Date]]="","",TEXT(B937,"mmm"))</f>
        <v>Nov</v>
      </c>
      <c r="E937" t="str">
        <f>IF(tbl_main[[#This Row],[Date]]="","",TEXT(B937,"DDD"))</f>
        <v>Sun</v>
      </c>
      <c r="F937" t="s">
        <v>13</v>
      </c>
      <c r="G937" t="s">
        <v>33</v>
      </c>
      <c r="H937" s="3" t="s">
        <v>15</v>
      </c>
      <c r="I937" s="3" t="s">
        <v>35</v>
      </c>
      <c r="J937" s="3" t="s">
        <v>25</v>
      </c>
      <c r="K937" s="3">
        <f>_xlfn.XLOOKUP(tbl_main[[#This Row],[Service]],tbl_service[Service],tbl_service[Price],"")</f>
        <v>500</v>
      </c>
      <c r="L937" s="3">
        <v>1</v>
      </c>
      <c r="M937" s="3">
        <f>IF(AND(tbl_main[[#This Row],[Price]]="",tbl_main[[#This Row],[Qty]]=""),"",tbl_main[[#This Row],[Price]]*tbl_main[[#This Row],[Qty]])</f>
        <v>500</v>
      </c>
      <c r="N937" s="3">
        <f>_xlfn.LET(_xlpm.x,_xlfn.XLOOKUP(tbl_main[[#This Row],[Service]],tbl_service[Service],tbl_service[Profit],""),
               IF(tbl_main[[#This Row],[Qty]]="","",_xlpm.x*tbl_main[[#This Row],[Qty]]))</f>
        <v>225</v>
      </c>
    </row>
    <row r="938" spans="1:14" x14ac:dyDescent="0.25">
      <c r="A938" t="s">
        <v>980</v>
      </c>
      <c r="B938" s="1">
        <v>45970</v>
      </c>
      <c r="C938">
        <f>IF(tbl_main[[#This Row],[Date]]="","",YEAR(B938))</f>
        <v>2025</v>
      </c>
      <c r="D938" t="str">
        <f>IF(tbl_main[[#This Row],[Date]]="","",TEXT(B938,"mmm"))</f>
        <v>Nov</v>
      </c>
      <c r="E938" t="str">
        <f>IF(tbl_main[[#This Row],[Date]]="","",TEXT(B938,"DDD"))</f>
        <v>Sun</v>
      </c>
      <c r="F938" t="s">
        <v>13</v>
      </c>
      <c r="G938" t="s">
        <v>33</v>
      </c>
      <c r="H938" s="3" t="s">
        <v>24</v>
      </c>
      <c r="I938" s="3" t="s">
        <v>35</v>
      </c>
      <c r="J938" s="3" t="s">
        <v>32</v>
      </c>
      <c r="K938" s="3">
        <f>_xlfn.XLOOKUP(tbl_main[[#This Row],[Service]],tbl_service[Service],tbl_service[Price],"")</f>
        <v>80</v>
      </c>
      <c r="L938" s="3">
        <v>2</v>
      </c>
      <c r="M938" s="3">
        <f>IF(AND(tbl_main[[#This Row],[Price]]="",tbl_main[[#This Row],[Qty]]=""),"",tbl_main[[#This Row],[Price]]*tbl_main[[#This Row],[Qty]])</f>
        <v>160</v>
      </c>
      <c r="N938" s="3">
        <f>_xlfn.LET(_xlpm.x,_xlfn.XLOOKUP(tbl_main[[#This Row],[Service]],tbl_service[Service],tbl_service[Profit],""),
               IF(tbl_main[[#This Row],[Qty]]="","",_xlpm.x*tbl_main[[#This Row],[Qty]]))</f>
        <v>72</v>
      </c>
    </row>
    <row r="939" spans="1:14" x14ac:dyDescent="0.25">
      <c r="A939" t="s">
        <v>981</v>
      </c>
      <c r="B939" s="1">
        <v>45971</v>
      </c>
      <c r="C939">
        <f>IF(tbl_main[[#This Row],[Date]]="","",YEAR(B939))</f>
        <v>2025</v>
      </c>
      <c r="D939" t="str">
        <f>IF(tbl_main[[#This Row],[Date]]="","",TEXT(B939,"mmm"))</f>
        <v>Nov</v>
      </c>
      <c r="E939" t="str">
        <f>IF(tbl_main[[#This Row],[Date]]="","",TEXT(B939,"DDD"))</f>
        <v>Mon</v>
      </c>
      <c r="F939" t="s">
        <v>27</v>
      </c>
      <c r="G939" t="s">
        <v>28</v>
      </c>
      <c r="H939" s="3" t="s">
        <v>15</v>
      </c>
      <c r="I939" s="3" t="s">
        <v>23</v>
      </c>
      <c r="J939" s="3" t="s">
        <v>17</v>
      </c>
      <c r="K939" s="3">
        <f>_xlfn.XLOOKUP(tbl_main[[#This Row],[Service]],tbl_service[Service],tbl_service[Price],"")</f>
        <v>500</v>
      </c>
      <c r="L939" s="3">
        <v>2</v>
      </c>
      <c r="M939" s="3">
        <f>IF(AND(tbl_main[[#This Row],[Price]]="",tbl_main[[#This Row],[Qty]]=""),"",tbl_main[[#This Row],[Price]]*tbl_main[[#This Row],[Qty]])</f>
        <v>1000</v>
      </c>
      <c r="N939" s="3">
        <f>_xlfn.LET(_xlpm.x,_xlfn.XLOOKUP(tbl_main[[#This Row],[Service]],tbl_service[Service],tbl_service[Profit],""),
               IF(tbl_main[[#This Row],[Qty]]="","",_xlpm.x*tbl_main[[#This Row],[Qty]]))</f>
        <v>450</v>
      </c>
    </row>
    <row r="940" spans="1:14" x14ac:dyDescent="0.25">
      <c r="A940" t="s">
        <v>982</v>
      </c>
      <c r="B940" s="1">
        <v>45971</v>
      </c>
      <c r="C940">
        <f>IF(tbl_main[[#This Row],[Date]]="","",YEAR(B940))</f>
        <v>2025</v>
      </c>
      <c r="D940" t="str">
        <f>IF(tbl_main[[#This Row],[Date]]="","",TEXT(B940,"mmm"))</f>
        <v>Nov</v>
      </c>
      <c r="E940" t="str">
        <f>IF(tbl_main[[#This Row],[Date]]="","",TEXT(B940,"DDD"))</f>
        <v>Mon</v>
      </c>
      <c r="F940" t="s">
        <v>27</v>
      </c>
      <c r="G940" t="s">
        <v>28</v>
      </c>
      <c r="H940" s="3" t="s">
        <v>18</v>
      </c>
      <c r="I940" s="3" t="s">
        <v>37</v>
      </c>
      <c r="J940" s="3" t="s">
        <v>25</v>
      </c>
      <c r="K940" s="3">
        <f>_xlfn.XLOOKUP(tbl_main[[#This Row],[Service]],tbl_service[Service],tbl_service[Price],"")</f>
        <v>500</v>
      </c>
      <c r="L940" s="3">
        <v>1</v>
      </c>
      <c r="M940" s="3">
        <f>IF(AND(tbl_main[[#This Row],[Price]]="",tbl_main[[#This Row],[Qty]]=""),"",tbl_main[[#This Row],[Price]]*tbl_main[[#This Row],[Qty]])</f>
        <v>500</v>
      </c>
      <c r="N940" s="3">
        <f>_xlfn.LET(_xlpm.x,_xlfn.XLOOKUP(tbl_main[[#This Row],[Service]],tbl_service[Service],tbl_service[Profit],""),
               IF(tbl_main[[#This Row],[Qty]]="","",_xlpm.x*tbl_main[[#This Row],[Qty]]))</f>
        <v>157</v>
      </c>
    </row>
    <row r="941" spans="1:14" x14ac:dyDescent="0.25">
      <c r="A941" t="s">
        <v>983</v>
      </c>
      <c r="B941" s="1">
        <v>45971</v>
      </c>
      <c r="C941">
        <f>IF(tbl_main[[#This Row],[Date]]="","",YEAR(B941))</f>
        <v>2025</v>
      </c>
      <c r="D941" t="str">
        <f>IF(tbl_main[[#This Row],[Date]]="","",TEXT(B941,"mmm"))</f>
        <v>Nov</v>
      </c>
      <c r="E941" t="str">
        <f>IF(tbl_main[[#This Row],[Date]]="","",TEXT(B941,"DDD"))</f>
        <v>Mon</v>
      </c>
      <c r="F941" t="s">
        <v>13</v>
      </c>
      <c r="G941" t="s">
        <v>14</v>
      </c>
      <c r="H941" s="3" t="s">
        <v>22</v>
      </c>
      <c r="I941" s="3" t="s">
        <v>38</v>
      </c>
      <c r="J941" s="3" t="s">
        <v>17</v>
      </c>
      <c r="K941" s="3">
        <f>_xlfn.XLOOKUP(tbl_main[[#This Row],[Service]],tbl_service[Service],tbl_service[Price],"")</f>
        <v>150</v>
      </c>
      <c r="L941" s="3">
        <v>2</v>
      </c>
      <c r="M941" s="3">
        <f>IF(AND(tbl_main[[#This Row],[Price]]="",tbl_main[[#This Row],[Qty]]=""),"",tbl_main[[#This Row],[Price]]*tbl_main[[#This Row],[Qty]])</f>
        <v>300</v>
      </c>
      <c r="N941" s="3">
        <f>_xlfn.LET(_xlpm.x,_xlfn.XLOOKUP(tbl_main[[#This Row],[Service]],tbl_service[Service],tbl_service[Profit],""),
               IF(tbl_main[[#This Row],[Qty]]="","",_xlpm.x*tbl_main[[#This Row],[Qty]]))</f>
        <v>134</v>
      </c>
    </row>
    <row r="942" spans="1:14" x14ac:dyDescent="0.25">
      <c r="A942" t="s">
        <v>984</v>
      </c>
      <c r="B942" s="1">
        <v>45971</v>
      </c>
      <c r="C942">
        <f>IF(tbl_main[[#This Row],[Date]]="","",YEAR(B942))</f>
        <v>2025</v>
      </c>
      <c r="D942" t="str">
        <f>IF(tbl_main[[#This Row],[Date]]="","",TEXT(B942,"mmm"))</f>
        <v>Nov</v>
      </c>
      <c r="E942" t="str">
        <f>IF(tbl_main[[#This Row],[Date]]="","",TEXT(B942,"DDD"))</f>
        <v>Mon</v>
      </c>
      <c r="F942" t="s">
        <v>13</v>
      </c>
      <c r="G942" t="s">
        <v>14</v>
      </c>
      <c r="H942" s="3" t="s">
        <v>22</v>
      </c>
      <c r="I942" s="3" t="s">
        <v>16</v>
      </c>
      <c r="J942" s="3" t="s">
        <v>17</v>
      </c>
      <c r="K942" s="3">
        <f>_xlfn.XLOOKUP(tbl_main[[#This Row],[Service]],tbl_service[Service],tbl_service[Price],"")</f>
        <v>150</v>
      </c>
      <c r="L942" s="3">
        <v>2</v>
      </c>
      <c r="M942" s="3">
        <f>IF(AND(tbl_main[[#This Row],[Price]]="",tbl_main[[#This Row],[Qty]]=""),"",tbl_main[[#This Row],[Price]]*tbl_main[[#This Row],[Qty]])</f>
        <v>300</v>
      </c>
      <c r="N942" s="3">
        <f>_xlfn.LET(_xlpm.x,_xlfn.XLOOKUP(tbl_main[[#This Row],[Service]],tbl_service[Service],tbl_service[Profit],""),
               IF(tbl_main[[#This Row],[Qty]]="","",_xlpm.x*tbl_main[[#This Row],[Qty]]))</f>
        <v>134</v>
      </c>
    </row>
    <row r="943" spans="1:14" x14ac:dyDescent="0.25">
      <c r="A943" t="s">
        <v>985</v>
      </c>
      <c r="B943" s="1">
        <v>45972</v>
      </c>
      <c r="C943">
        <f>IF(tbl_main[[#This Row],[Date]]="","",YEAR(B943))</f>
        <v>2025</v>
      </c>
      <c r="D943" t="str">
        <f>IF(tbl_main[[#This Row],[Date]]="","",TEXT(B943,"mmm"))</f>
        <v>Nov</v>
      </c>
      <c r="E943" t="str">
        <f>IF(tbl_main[[#This Row],[Date]]="","",TEXT(B943,"DDD"))</f>
        <v>Tue</v>
      </c>
      <c r="F943" t="s">
        <v>30</v>
      </c>
      <c r="G943" t="s">
        <v>31</v>
      </c>
      <c r="H943" s="3" t="s">
        <v>24</v>
      </c>
      <c r="I943" s="3" t="s">
        <v>19</v>
      </c>
      <c r="J943" s="3" t="s">
        <v>25</v>
      </c>
      <c r="K943" s="3">
        <f>_xlfn.XLOOKUP(tbl_main[[#This Row],[Service]],tbl_service[Service],tbl_service[Price],"")</f>
        <v>80</v>
      </c>
      <c r="L943" s="3">
        <v>1</v>
      </c>
      <c r="M943" s="3">
        <f>IF(AND(tbl_main[[#This Row],[Price]]="",tbl_main[[#This Row],[Qty]]=""),"",tbl_main[[#This Row],[Price]]*tbl_main[[#This Row],[Qty]])</f>
        <v>80</v>
      </c>
      <c r="N943" s="3">
        <f>_xlfn.LET(_xlpm.x,_xlfn.XLOOKUP(tbl_main[[#This Row],[Service]],tbl_service[Service],tbl_service[Profit],""),
               IF(tbl_main[[#This Row],[Qty]]="","",_xlpm.x*tbl_main[[#This Row],[Qty]]))</f>
        <v>36</v>
      </c>
    </row>
    <row r="944" spans="1:14" x14ac:dyDescent="0.25">
      <c r="A944" t="s">
        <v>986</v>
      </c>
      <c r="B944" s="1">
        <v>45972</v>
      </c>
      <c r="C944">
        <f>IF(tbl_main[[#This Row],[Date]]="","",YEAR(B944))</f>
        <v>2025</v>
      </c>
      <c r="D944" t="str">
        <f>IF(tbl_main[[#This Row],[Date]]="","",TEXT(B944,"mmm"))</f>
        <v>Nov</v>
      </c>
      <c r="E944" t="str">
        <f>IF(tbl_main[[#This Row],[Date]]="","",TEXT(B944,"DDD"))</f>
        <v>Tue</v>
      </c>
      <c r="F944" t="s">
        <v>13</v>
      </c>
      <c r="G944" t="s">
        <v>33</v>
      </c>
      <c r="H944" s="3" t="s">
        <v>22</v>
      </c>
      <c r="I944" s="3" t="s">
        <v>43</v>
      </c>
      <c r="J944" s="3" t="s">
        <v>32</v>
      </c>
      <c r="K944" s="3">
        <f>_xlfn.XLOOKUP(tbl_main[[#This Row],[Service]],tbl_service[Service],tbl_service[Price],"")</f>
        <v>150</v>
      </c>
      <c r="L944" s="3">
        <v>2</v>
      </c>
      <c r="M944" s="3">
        <f>IF(AND(tbl_main[[#This Row],[Price]]="",tbl_main[[#This Row],[Qty]]=""),"",tbl_main[[#This Row],[Price]]*tbl_main[[#This Row],[Qty]])</f>
        <v>300</v>
      </c>
      <c r="N944" s="3">
        <f>_xlfn.LET(_xlpm.x,_xlfn.XLOOKUP(tbl_main[[#This Row],[Service]],tbl_service[Service],tbl_service[Profit],""),
               IF(tbl_main[[#This Row],[Qty]]="","",_xlpm.x*tbl_main[[#This Row],[Qty]]))</f>
        <v>134</v>
      </c>
    </row>
    <row r="945" spans="1:14" x14ac:dyDescent="0.25">
      <c r="A945" t="s">
        <v>987</v>
      </c>
      <c r="B945" s="1">
        <v>45972</v>
      </c>
      <c r="C945">
        <f>IF(tbl_main[[#This Row],[Date]]="","",YEAR(B945))</f>
        <v>2025</v>
      </c>
      <c r="D945" t="str">
        <f>IF(tbl_main[[#This Row],[Date]]="","",TEXT(B945,"mmm"))</f>
        <v>Nov</v>
      </c>
      <c r="E945" t="str">
        <f>IF(tbl_main[[#This Row],[Date]]="","",TEXT(B945,"DDD"))</f>
        <v>Tue</v>
      </c>
      <c r="F945" t="s">
        <v>13</v>
      </c>
      <c r="G945" t="s">
        <v>14</v>
      </c>
      <c r="H945" s="3" t="s">
        <v>18</v>
      </c>
      <c r="I945" s="3" t="s">
        <v>41</v>
      </c>
      <c r="J945" s="3" t="s">
        <v>17</v>
      </c>
      <c r="K945" s="3">
        <f>_xlfn.XLOOKUP(tbl_main[[#This Row],[Service]],tbl_service[Service],tbl_service[Price],"")</f>
        <v>500</v>
      </c>
      <c r="L945" s="3">
        <v>1</v>
      </c>
      <c r="M945" s="3">
        <f>IF(AND(tbl_main[[#This Row],[Price]]="",tbl_main[[#This Row],[Qty]]=""),"",tbl_main[[#This Row],[Price]]*tbl_main[[#This Row],[Qty]])</f>
        <v>500</v>
      </c>
      <c r="N945" s="3">
        <f>_xlfn.LET(_xlpm.x,_xlfn.XLOOKUP(tbl_main[[#This Row],[Service]],tbl_service[Service],tbl_service[Profit],""),
               IF(tbl_main[[#This Row],[Qty]]="","",_xlpm.x*tbl_main[[#This Row],[Qty]]))</f>
        <v>157</v>
      </c>
    </row>
    <row r="946" spans="1:14" x14ac:dyDescent="0.25">
      <c r="A946" t="s">
        <v>988</v>
      </c>
      <c r="B946" s="1">
        <v>45973</v>
      </c>
      <c r="C946">
        <f>IF(tbl_main[[#This Row],[Date]]="","",YEAR(B946))</f>
        <v>2025</v>
      </c>
      <c r="D946" t="str">
        <f>IF(tbl_main[[#This Row],[Date]]="","",TEXT(B946,"mmm"))</f>
        <v>Nov</v>
      </c>
      <c r="E946" t="str">
        <f>IF(tbl_main[[#This Row],[Date]]="","",TEXT(B946,"DDD"))</f>
        <v>Wed</v>
      </c>
      <c r="F946" t="s">
        <v>20</v>
      </c>
      <c r="G946" t="s">
        <v>39</v>
      </c>
      <c r="H946" s="3" t="s">
        <v>26</v>
      </c>
      <c r="I946" s="3" t="s">
        <v>41</v>
      </c>
      <c r="J946" s="3" t="s">
        <v>17</v>
      </c>
      <c r="K946" s="3">
        <f>_xlfn.XLOOKUP(tbl_main[[#This Row],[Service]],tbl_service[Service],tbl_service[Price],"")</f>
        <v>200</v>
      </c>
      <c r="L946" s="3">
        <v>2</v>
      </c>
      <c r="M946" s="3">
        <f>IF(AND(tbl_main[[#This Row],[Price]]="",tbl_main[[#This Row],[Qty]]=""),"",tbl_main[[#This Row],[Price]]*tbl_main[[#This Row],[Qty]])</f>
        <v>400</v>
      </c>
      <c r="N946" s="3">
        <f>_xlfn.LET(_xlpm.x,_xlfn.XLOOKUP(tbl_main[[#This Row],[Service]],tbl_service[Service],tbl_service[Profit],""),
               IF(tbl_main[[#This Row],[Qty]]="","",_xlpm.x*tbl_main[[#This Row],[Qty]]))</f>
        <v>180</v>
      </c>
    </row>
    <row r="947" spans="1:14" x14ac:dyDescent="0.25">
      <c r="A947" t="s">
        <v>989</v>
      </c>
      <c r="B947" s="1">
        <v>45973</v>
      </c>
      <c r="C947">
        <f>IF(tbl_main[[#This Row],[Date]]="","",YEAR(B947))</f>
        <v>2025</v>
      </c>
      <c r="D947" t="str">
        <f>IF(tbl_main[[#This Row],[Date]]="","",TEXT(B947,"mmm"))</f>
        <v>Nov</v>
      </c>
      <c r="E947" t="str">
        <f>IF(tbl_main[[#This Row],[Date]]="","",TEXT(B947,"DDD"))</f>
        <v>Wed</v>
      </c>
      <c r="F947" t="s">
        <v>27</v>
      </c>
      <c r="G947" t="s">
        <v>40</v>
      </c>
      <c r="H947" s="3" t="s">
        <v>34</v>
      </c>
      <c r="I947" s="3" t="s">
        <v>35</v>
      </c>
      <c r="J947" s="3" t="s">
        <v>17</v>
      </c>
      <c r="K947" s="3">
        <f>_xlfn.XLOOKUP(tbl_main[[#This Row],[Service]],tbl_service[Service],tbl_service[Price],"")</f>
        <v>100</v>
      </c>
      <c r="L947" s="3">
        <v>1</v>
      </c>
      <c r="M947" s="3">
        <f>IF(AND(tbl_main[[#This Row],[Price]]="",tbl_main[[#This Row],[Qty]]=""),"",tbl_main[[#This Row],[Price]]*tbl_main[[#This Row],[Qty]])</f>
        <v>100</v>
      </c>
      <c r="N947" s="3">
        <f>_xlfn.LET(_xlpm.x,_xlfn.XLOOKUP(tbl_main[[#This Row],[Service]],tbl_service[Service],tbl_service[Profit],""),
               IF(tbl_main[[#This Row],[Qty]]="","",_xlpm.x*tbl_main[[#This Row],[Qty]]))</f>
        <v>45</v>
      </c>
    </row>
    <row r="948" spans="1:14" x14ac:dyDescent="0.25">
      <c r="A948" t="s">
        <v>990</v>
      </c>
      <c r="B948" s="1">
        <v>45974</v>
      </c>
      <c r="C948">
        <f>IF(tbl_main[[#This Row],[Date]]="","",YEAR(B948))</f>
        <v>2025</v>
      </c>
      <c r="D948" t="str">
        <f>IF(tbl_main[[#This Row],[Date]]="","",TEXT(B948,"mmm"))</f>
        <v>Nov</v>
      </c>
      <c r="E948" t="str">
        <f>IF(tbl_main[[#This Row],[Date]]="","",TEXT(B948,"DDD"))</f>
        <v>Thu</v>
      </c>
      <c r="F948" t="s">
        <v>30</v>
      </c>
      <c r="G948" t="s">
        <v>36</v>
      </c>
      <c r="H948" s="3" t="s">
        <v>18</v>
      </c>
      <c r="I948" s="3" t="s">
        <v>35</v>
      </c>
      <c r="J948" s="3" t="s">
        <v>17</v>
      </c>
      <c r="K948" s="3">
        <f>_xlfn.XLOOKUP(tbl_main[[#This Row],[Service]],tbl_service[Service],tbl_service[Price],"")</f>
        <v>500</v>
      </c>
      <c r="L948" s="3">
        <v>2</v>
      </c>
      <c r="M948" s="3">
        <f>IF(AND(tbl_main[[#This Row],[Price]]="",tbl_main[[#This Row],[Qty]]=""),"",tbl_main[[#This Row],[Price]]*tbl_main[[#This Row],[Qty]])</f>
        <v>1000</v>
      </c>
      <c r="N948" s="3">
        <f>_xlfn.LET(_xlpm.x,_xlfn.XLOOKUP(tbl_main[[#This Row],[Service]],tbl_service[Service],tbl_service[Profit],""),
               IF(tbl_main[[#This Row],[Qty]]="","",_xlpm.x*tbl_main[[#This Row],[Qty]]))</f>
        <v>314</v>
      </c>
    </row>
    <row r="949" spans="1:14" x14ac:dyDescent="0.25">
      <c r="A949" t="s">
        <v>991</v>
      </c>
      <c r="B949" s="1">
        <v>45974</v>
      </c>
      <c r="C949">
        <f>IF(tbl_main[[#This Row],[Date]]="","",YEAR(B949))</f>
        <v>2025</v>
      </c>
      <c r="D949" t="str">
        <f>IF(tbl_main[[#This Row],[Date]]="","",TEXT(B949,"mmm"))</f>
        <v>Nov</v>
      </c>
      <c r="E949" t="str">
        <f>IF(tbl_main[[#This Row],[Date]]="","",TEXT(B949,"DDD"))</f>
        <v>Thu</v>
      </c>
      <c r="F949" t="s">
        <v>27</v>
      </c>
      <c r="G949" t="s">
        <v>28</v>
      </c>
      <c r="H949" s="3" t="s">
        <v>34</v>
      </c>
      <c r="I949" s="3" t="s">
        <v>23</v>
      </c>
      <c r="J949" s="3" t="s">
        <v>17</v>
      </c>
      <c r="K949" s="3">
        <f>_xlfn.XLOOKUP(tbl_main[[#This Row],[Service]],tbl_service[Service],tbl_service[Price],"")</f>
        <v>100</v>
      </c>
      <c r="L949" s="3">
        <v>2</v>
      </c>
      <c r="M949" s="3">
        <f>IF(AND(tbl_main[[#This Row],[Price]]="",tbl_main[[#This Row],[Qty]]=""),"",tbl_main[[#This Row],[Price]]*tbl_main[[#This Row],[Qty]])</f>
        <v>200</v>
      </c>
      <c r="N949" s="3">
        <f>_xlfn.LET(_xlpm.x,_xlfn.XLOOKUP(tbl_main[[#This Row],[Service]],tbl_service[Service],tbl_service[Profit],""),
               IF(tbl_main[[#This Row],[Qty]]="","",_xlpm.x*tbl_main[[#This Row],[Qty]]))</f>
        <v>90</v>
      </c>
    </row>
    <row r="950" spans="1:14" x14ac:dyDescent="0.25">
      <c r="A950" t="s">
        <v>992</v>
      </c>
      <c r="B950" s="1">
        <v>45975</v>
      </c>
      <c r="C950">
        <f>IF(tbl_main[[#This Row],[Date]]="","",YEAR(B950))</f>
        <v>2025</v>
      </c>
      <c r="D950" t="str">
        <f>IF(tbl_main[[#This Row],[Date]]="","",TEXT(B950,"mmm"))</f>
        <v>Nov</v>
      </c>
      <c r="E950" t="str">
        <f>IF(tbl_main[[#This Row],[Date]]="","",TEXT(B950,"DDD"))</f>
        <v>Fri</v>
      </c>
      <c r="F950" t="s">
        <v>27</v>
      </c>
      <c r="G950" t="s">
        <v>40</v>
      </c>
      <c r="H950" s="3" t="s">
        <v>22</v>
      </c>
      <c r="I950" s="3" t="s">
        <v>37</v>
      </c>
      <c r="J950" s="3" t="s">
        <v>32</v>
      </c>
      <c r="K950" s="3">
        <f>_xlfn.XLOOKUP(tbl_main[[#This Row],[Service]],tbl_service[Service],tbl_service[Price],"")</f>
        <v>150</v>
      </c>
      <c r="L950" s="3">
        <v>2</v>
      </c>
      <c r="M950" s="3">
        <f>IF(AND(tbl_main[[#This Row],[Price]]="",tbl_main[[#This Row],[Qty]]=""),"",tbl_main[[#This Row],[Price]]*tbl_main[[#This Row],[Qty]])</f>
        <v>300</v>
      </c>
      <c r="N950" s="3">
        <f>_xlfn.LET(_xlpm.x,_xlfn.XLOOKUP(tbl_main[[#This Row],[Service]],tbl_service[Service],tbl_service[Profit],""),
               IF(tbl_main[[#This Row],[Qty]]="","",_xlpm.x*tbl_main[[#This Row],[Qty]]))</f>
        <v>134</v>
      </c>
    </row>
    <row r="951" spans="1:14" x14ac:dyDescent="0.25">
      <c r="A951" t="s">
        <v>993</v>
      </c>
      <c r="B951" s="1">
        <v>45975</v>
      </c>
      <c r="C951">
        <f>IF(tbl_main[[#This Row],[Date]]="","",YEAR(B951))</f>
        <v>2025</v>
      </c>
      <c r="D951" t="str">
        <f>IF(tbl_main[[#This Row],[Date]]="","",TEXT(B951,"mmm"))</f>
        <v>Nov</v>
      </c>
      <c r="E951" t="str">
        <f>IF(tbl_main[[#This Row],[Date]]="","",TEXT(B951,"DDD"))</f>
        <v>Fri</v>
      </c>
      <c r="F951" t="s">
        <v>27</v>
      </c>
      <c r="G951" t="s">
        <v>28</v>
      </c>
      <c r="H951" s="3" t="s">
        <v>26</v>
      </c>
      <c r="I951" s="3" t="s">
        <v>38</v>
      </c>
      <c r="J951" s="3" t="s">
        <v>25</v>
      </c>
      <c r="K951" s="3">
        <f>_xlfn.XLOOKUP(tbl_main[[#This Row],[Service]],tbl_service[Service],tbl_service[Price],"")</f>
        <v>200</v>
      </c>
      <c r="L951" s="3">
        <v>1</v>
      </c>
      <c r="M951" s="3">
        <f>IF(AND(tbl_main[[#This Row],[Price]]="",tbl_main[[#This Row],[Qty]]=""),"",tbl_main[[#This Row],[Price]]*tbl_main[[#This Row],[Qty]])</f>
        <v>200</v>
      </c>
      <c r="N951" s="3">
        <f>_xlfn.LET(_xlpm.x,_xlfn.XLOOKUP(tbl_main[[#This Row],[Service]],tbl_service[Service],tbl_service[Profit],""),
               IF(tbl_main[[#This Row],[Qty]]="","",_xlpm.x*tbl_main[[#This Row],[Qty]]))</f>
        <v>90</v>
      </c>
    </row>
    <row r="952" spans="1:14" x14ac:dyDescent="0.25">
      <c r="A952" t="s">
        <v>994</v>
      </c>
      <c r="B952" s="1">
        <v>45975</v>
      </c>
      <c r="C952">
        <f>IF(tbl_main[[#This Row],[Date]]="","",YEAR(B952))</f>
        <v>2025</v>
      </c>
      <c r="D952" t="str">
        <f>IF(tbl_main[[#This Row],[Date]]="","",TEXT(B952,"mmm"))</f>
        <v>Nov</v>
      </c>
      <c r="E952" t="str">
        <f>IF(tbl_main[[#This Row],[Date]]="","",TEXT(B952,"DDD"))</f>
        <v>Fri</v>
      </c>
      <c r="F952" t="s">
        <v>27</v>
      </c>
      <c r="G952" t="s">
        <v>28</v>
      </c>
      <c r="H952" s="3" t="s">
        <v>34</v>
      </c>
      <c r="I952" s="3" t="s">
        <v>16</v>
      </c>
      <c r="J952" s="3" t="s">
        <v>32</v>
      </c>
      <c r="K952" s="3">
        <f>_xlfn.XLOOKUP(tbl_main[[#This Row],[Service]],tbl_service[Service],tbl_service[Price],"")</f>
        <v>100</v>
      </c>
      <c r="L952" s="3">
        <v>2</v>
      </c>
      <c r="M952" s="3">
        <f>IF(AND(tbl_main[[#This Row],[Price]]="",tbl_main[[#This Row],[Qty]]=""),"",tbl_main[[#This Row],[Price]]*tbl_main[[#This Row],[Qty]])</f>
        <v>200</v>
      </c>
      <c r="N952" s="3">
        <f>_xlfn.LET(_xlpm.x,_xlfn.XLOOKUP(tbl_main[[#This Row],[Service]],tbl_service[Service],tbl_service[Profit],""),
               IF(tbl_main[[#This Row],[Qty]]="","",_xlpm.x*tbl_main[[#This Row],[Qty]]))</f>
        <v>90</v>
      </c>
    </row>
    <row r="953" spans="1:14" x14ac:dyDescent="0.25">
      <c r="A953" t="s">
        <v>995</v>
      </c>
      <c r="B953" s="1">
        <v>45976</v>
      </c>
      <c r="C953">
        <f>IF(tbl_main[[#This Row],[Date]]="","",YEAR(B953))</f>
        <v>2025</v>
      </c>
      <c r="D953" t="str">
        <f>IF(tbl_main[[#This Row],[Date]]="","",TEXT(B953,"mmm"))</f>
        <v>Nov</v>
      </c>
      <c r="E953" t="str">
        <f>IF(tbl_main[[#This Row],[Date]]="","",TEXT(B953,"DDD"))</f>
        <v>Sat</v>
      </c>
      <c r="F953" t="s">
        <v>13</v>
      </c>
      <c r="G953" t="s">
        <v>14</v>
      </c>
      <c r="H953" s="3" t="s">
        <v>18</v>
      </c>
      <c r="I953" s="3" t="s">
        <v>19</v>
      </c>
      <c r="J953" s="3" t="s">
        <v>17</v>
      </c>
      <c r="K953" s="3">
        <f>_xlfn.XLOOKUP(tbl_main[[#This Row],[Service]],tbl_service[Service],tbl_service[Price],"")</f>
        <v>500</v>
      </c>
      <c r="L953" s="3">
        <v>2</v>
      </c>
      <c r="M953" s="3">
        <f>IF(AND(tbl_main[[#This Row],[Price]]="",tbl_main[[#This Row],[Qty]]=""),"",tbl_main[[#This Row],[Price]]*tbl_main[[#This Row],[Qty]])</f>
        <v>1000</v>
      </c>
      <c r="N953" s="3">
        <f>_xlfn.LET(_xlpm.x,_xlfn.XLOOKUP(tbl_main[[#This Row],[Service]],tbl_service[Service],tbl_service[Profit],""),
               IF(tbl_main[[#This Row],[Qty]]="","",_xlpm.x*tbl_main[[#This Row],[Qty]]))</f>
        <v>314</v>
      </c>
    </row>
    <row r="954" spans="1:14" x14ac:dyDescent="0.25">
      <c r="A954" t="s">
        <v>996</v>
      </c>
      <c r="B954" s="1">
        <v>45976</v>
      </c>
      <c r="C954">
        <f>IF(tbl_main[[#This Row],[Date]]="","",YEAR(B954))</f>
        <v>2025</v>
      </c>
      <c r="D954" t="str">
        <f>IF(tbl_main[[#This Row],[Date]]="","",TEXT(B954,"mmm"))</f>
        <v>Nov</v>
      </c>
      <c r="E954" t="str">
        <f>IF(tbl_main[[#This Row],[Date]]="","",TEXT(B954,"DDD"))</f>
        <v>Sat</v>
      </c>
      <c r="F954" t="s">
        <v>30</v>
      </c>
      <c r="G954" t="s">
        <v>31</v>
      </c>
      <c r="H954" s="3" t="s">
        <v>22</v>
      </c>
      <c r="I954" s="3" t="s">
        <v>43</v>
      </c>
      <c r="J954" s="3" t="s">
        <v>17</v>
      </c>
      <c r="K954" s="3">
        <f>_xlfn.XLOOKUP(tbl_main[[#This Row],[Service]],tbl_service[Service],tbl_service[Price],"")</f>
        <v>150</v>
      </c>
      <c r="L954" s="3">
        <v>1</v>
      </c>
      <c r="M954" s="3">
        <f>IF(AND(tbl_main[[#This Row],[Price]]="",tbl_main[[#This Row],[Qty]]=""),"",tbl_main[[#This Row],[Price]]*tbl_main[[#This Row],[Qty]])</f>
        <v>150</v>
      </c>
      <c r="N954" s="3">
        <f>_xlfn.LET(_xlpm.x,_xlfn.XLOOKUP(tbl_main[[#This Row],[Service]],tbl_service[Service],tbl_service[Profit],""),
               IF(tbl_main[[#This Row],[Qty]]="","",_xlpm.x*tbl_main[[#This Row],[Qty]]))</f>
        <v>67</v>
      </c>
    </row>
    <row r="955" spans="1:14" x14ac:dyDescent="0.25">
      <c r="A955" t="s">
        <v>997</v>
      </c>
      <c r="B955" s="1">
        <v>45976</v>
      </c>
      <c r="C955">
        <f>IF(tbl_main[[#This Row],[Date]]="","",YEAR(B955))</f>
        <v>2025</v>
      </c>
      <c r="D955" t="str">
        <f>IF(tbl_main[[#This Row],[Date]]="","",TEXT(B955,"mmm"))</f>
        <v>Nov</v>
      </c>
      <c r="E955" t="str">
        <f>IF(tbl_main[[#This Row],[Date]]="","",TEXT(B955,"DDD"))</f>
        <v>Sat</v>
      </c>
      <c r="F955" t="s">
        <v>13</v>
      </c>
      <c r="G955" t="s">
        <v>14</v>
      </c>
      <c r="H955" s="3" t="s">
        <v>22</v>
      </c>
      <c r="I955" s="3" t="s">
        <v>41</v>
      </c>
      <c r="J955" s="3" t="s">
        <v>25</v>
      </c>
      <c r="K955" s="3">
        <f>_xlfn.XLOOKUP(tbl_main[[#This Row],[Service]],tbl_service[Service],tbl_service[Price],"")</f>
        <v>150</v>
      </c>
      <c r="L955" s="3">
        <v>2</v>
      </c>
      <c r="M955" s="3">
        <f>IF(AND(tbl_main[[#This Row],[Price]]="",tbl_main[[#This Row],[Qty]]=""),"",tbl_main[[#This Row],[Price]]*tbl_main[[#This Row],[Qty]])</f>
        <v>300</v>
      </c>
      <c r="N955" s="3">
        <f>_xlfn.LET(_xlpm.x,_xlfn.XLOOKUP(tbl_main[[#This Row],[Service]],tbl_service[Service],tbl_service[Profit],""),
               IF(tbl_main[[#This Row],[Qty]]="","",_xlpm.x*tbl_main[[#This Row],[Qty]]))</f>
        <v>134</v>
      </c>
    </row>
    <row r="956" spans="1:14" x14ac:dyDescent="0.25">
      <c r="A956" t="s">
        <v>998</v>
      </c>
      <c r="B956" s="1">
        <v>45977</v>
      </c>
      <c r="C956">
        <f>IF(tbl_main[[#This Row],[Date]]="","",YEAR(B956))</f>
        <v>2025</v>
      </c>
      <c r="D956" t="str">
        <f>IF(tbl_main[[#This Row],[Date]]="","",TEXT(B956,"mmm"))</f>
        <v>Nov</v>
      </c>
      <c r="E956" t="str">
        <f>IF(tbl_main[[#This Row],[Date]]="","",TEXT(B956,"DDD"))</f>
        <v>Sun</v>
      </c>
      <c r="F956" t="s">
        <v>30</v>
      </c>
      <c r="G956" t="s">
        <v>31</v>
      </c>
      <c r="H956" s="3" t="s">
        <v>24</v>
      </c>
      <c r="I956" s="3" t="s">
        <v>41</v>
      </c>
      <c r="J956" s="3" t="s">
        <v>17</v>
      </c>
      <c r="K956" s="3">
        <f>_xlfn.XLOOKUP(tbl_main[[#This Row],[Service]],tbl_service[Service],tbl_service[Price],"")</f>
        <v>80</v>
      </c>
      <c r="L956" s="3">
        <v>1</v>
      </c>
      <c r="M956" s="3">
        <f>IF(AND(tbl_main[[#This Row],[Price]]="",tbl_main[[#This Row],[Qty]]=""),"",tbl_main[[#This Row],[Price]]*tbl_main[[#This Row],[Qty]])</f>
        <v>80</v>
      </c>
      <c r="N956" s="3">
        <f>_xlfn.LET(_xlpm.x,_xlfn.XLOOKUP(tbl_main[[#This Row],[Service]],tbl_service[Service],tbl_service[Profit],""),
               IF(tbl_main[[#This Row],[Qty]]="","",_xlpm.x*tbl_main[[#This Row],[Qty]]))</f>
        <v>36</v>
      </c>
    </row>
    <row r="957" spans="1:14" x14ac:dyDescent="0.25">
      <c r="A957" t="s">
        <v>999</v>
      </c>
      <c r="B957" s="1">
        <v>45977</v>
      </c>
      <c r="C957">
        <f>IF(tbl_main[[#This Row],[Date]]="","",YEAR(B957))</f>
        <v>2025</v>
      </c>
      <c r="D957" t="str">
        <f>IF(tbl_main[[#This Row],[Date]]="","",TEXT(B957,"mmm"))</f>
        <v>Nov</v>
      </c>
      <c r="E957" t="str">
        <f>IF(tbl_main[[#This Row],[Date]]="","",TEXT(B957,"DDD"))</f>
        <v>Sun</v>
      </c>
      <c r="F957" t="s">
        <v>30</v>
      </c>
      <c r="G957" t="s">
        <v>31</v>
      </c>
      <c r="H957" s="3" t="s">
        <v>34</v>
      </c>
      <c r="I957" s="3" t="s">
        <v>35</v>
      </c>
      <c r="J957" s="3" t="s">
        <v>25</v>
      </c>
      <c r="K957" s="3">
        <f>_xlfn.XLOOKUP(tbl_main[[#This Row],[Service]],tbl_service[Service],tbl_service[Price],"")</f>
        <v>100</v>
      </c>
      <c r="L957" s="3">
        <v>1</v>
      </c>
      <c r="M957" s="3">
        <f>IF(AND(tbl_main[[#This Row],[Price]]="",tbl_main[[#This Row],[Qty]]=""),"",tbl_main[[#This Row],[Price]]*tbl_main[[#This Row],[Qty]])</f>
        <v>100</v>
      </c>
      <c r="N957" s="3">
        <f>_xlfn.LET(_xlpm.x,_xlfn.XLOOKUP(tbl_main[[#This Row],[Service]],tbl_service[Service],tbl_service[Profit],""),
               IF(tbl_main[[#This Row],[Qty]]="","",_xlpm.x*tbl_main[[#This Row],[Qty]]))</f>
        <v>45</v>
      </c>
    </row>
    <row r="958" spans="1:14" x14ac:dyDescent="0.25">
      <c r="A958" t="s">
        <v>1000</v>
      </c>
      <c r="B958" s="1">
        <v>45978</v>
      </c>
      <c r="C958">
        <f>IF(tbl_main[[#This Row],[Date]]="","",YEAR(B958))</f>
        <v>2025</v>
      </c>
      <c r="D958" t="str">
        <f>IF(tbl_main[[#This Row],[Date]]="","",TEXT(B958,"mmm"))</f>
        <v>Nov</v>
      </c>
      <c r="E958" t="str">
        <f>IF(tbl_main[[#This Row],[Date]]="","",TEXT(B958,"DDD"))</f>
        <v>Mon</v>
      </c>
      <c r="F958" t="s">
        <v>30</v>
      </c>
      <c r="G958" t="s">
        <v>36</v>
      </c>
      <c r="H958" s="3" t="s">
        <v>18</v>
      </c>
      <c r="I958" s="3" t="s">
        <v>35</v>
      </c>
      <c r="J958" s="3" t="s">
        <v>17</v>
      </c>
      <c r="K958" s="3">
        <f>_xlfn.XLOOKUP(tbl_main[[#This Row],[Service]],tbl_service[Service],tbl_service[Price],"")</f>
        <v>500</v>
      </c>
      <c r="L958" s="3">
        <v>2</v>
      </c>
      <c r="M958" s="3">
        <f>IF(AND(tbl_main[[#This Row],[Price]]="",tbl_main[[#This Row],[Qty]]=""),"",tbl_main[[#This Row],[Price]]*tbl_main[[#This Row],[Qty]])</f>
        <v>1000</v>
      </c>
      <c r="N958" s="3">
        <f>_xlfn.LET(_xlpm.x,_xlfn.XLOOKUP(tbl_main[[#This Row],[Service]],tbl_service[Service],tbl_service[Profit],""),
               IF(tbl_main[[#This Row],[Qty]]="","",_xlpm.x*tbl_main[[#This Row],[Qty]]))</f>
        <v>314</v>
      </c>
    </row>
    <row r="959" spans="1:14" x14ac:dyDescent="0.25">
      <c r="A959" t="s">
        <v>1001</v>
      </c>
      <c r="B959" s="1">
        <v>45978</v>
      </c>
      <c r="C959">
        <f>IF(tbl_main[[#This Row],[Date]]="","",YEAR(B959))</f>
        <v>2025</v>
      </c>
      <c r="D959" t="str">
        <f>IF(tbl_main[[#This Row],[Date]]="","",TEXT(B959,"mmm"))</f>
        <v>Nov</v>
      </c>
      <c r="E959" t="str">
        <f>IF(tbl_main[[#This Row],[Date]]="","",TEXT(B959,"DDD"))</f>
        <v>Mon</v>
      </c>
      <c r="F959" t="s">
        <v>13</v>
      </c>
      <c r="G959" t="s">
        <v>14</v>
      </c>
      <c r="H959" s="3" t="s">
        <v>15</v>
      </c>
      <c r="I959" s="3" t="s">
        <v>23</v>
      </c>
      <c r="J959" s="3" t="s">
        <v>17</v>
      </c>
      <c r="K959" s="3">
        <f>_xlfn.XLOOKUP(tbl_main[[#This Row],[Service]],tbl_service[Service],tbl_service[Price],"")</f>
        <v>500</v>
      </c>
      <c r="L959" s="3">
        <v>2</v>
      </c>
      <c r="M959" s="3">
        <f>IF(AND(tbl_main[[#This Row],[Price]]="",tbl_main[[#This Row],[Qty]]=""),"",tbl_main[[#This Row],[Price]]*tbl_main[[#This Row],[Qty]])</f>
        <v>1000</v>
      </c>
      <c r="N959" s="3">
        <f>_xlfn.LET(_xlpm.x,_xlfn.XLOOKUP(tbl_main[[#This Row],[Service]],tbl_service[Service],tbl_service[Profit],""),
               IF(tbl_main[[#This Row],[Qty]]="","",_xlpm.x*tbl_main[[#This Row],[Qty]]))</f>
        <v>450</v>
      </c>
    </row>
    <row r="960" spans="1:14" x14ac:dyDescent="0.25">
      <c r="A960" t="s">
        <v>1002</v>
      </c>
      <c r="B960" s="1">
        <v>45978</v>
      </c>
      <c r="C960">
        <f>IF(tbl_main[[#This Row],[Date]]="","",YEAR(B960))</f>
        <v>2025</v>
      </c>
      <c r="D960" t="str">
        <f>IF(tbl_main[[#This Row],[Date]]="","",TEXT(B960,"mmm"))</f>
        <v>Nov</v>
      </c>
      <c r="E960" t="str">
        <f>IF(tbl_main[[#This Row],[Date]]="","",TEXT(B960,"DDD"))</f>
        <v>Mon</v>
      </c>
      <c r="F960" t="s">
        <v>13</v>
      </c>
      <c r="G960" t="s">
        <v>33</v>
      </c>
      <c r="H960" s="3" t="s">
        <v>24</v>
      </c>
      <c r="I960" s="3" t="s">
        <v>37</v>
      </c>
      <c r="J960" s="3" t="s">
        <v>32</v>
      </c>
      <c r="K960" s="3">
        <f>_xlfn.XLOOKUP(tbl_main[[#This Row],[Service]],tbl_service[Service],tbl_service[Price],"")</f>
        <v>80</v>
      </c>
      <c r="L960" s="3">
        <v>2</v>
      </c>
      <c r="M960" s="3">
        <f>IF(AND(tbl_main[[#This Row],[Price]]="",tbl_main[[#This Row],[Qty]]=""),"",tbl_main[[#This Row],[Price]]*tbl_main[[#This Row],[Qty]])</f>
        <v>160</v>
      </c>
      <c r="N960" s="3">
        <f>_xlfn.LET(_xlpm.x,_xlfn.XLOOKUP(tbl_main[[#This Row],[Service]],tbl_service[Service],tbl_service[Profit],""),
               IF(tbl_main[[#This Row],[Qty]]="","",_xlpm.x*tbl_main[[#This Row],[Qty]]))</f>
        <v>72</v>
      </c>
    </row>
    <row r="961" spans="1:14" x14ac:dyDescent="0.25">
      <c r="A961" t="s">
        <v>1003</v>
      </c>
      <c r="B961" s="1">
        <v>45978</v>
      </c>
      <c r="C961">
        <f>IF(tbl_main[[#This Row],[Date]]="","",YEAR(B961))</f>
        <v>2025</v>
      </c>
      <c r="D961" t="str">
        <f>IF(tbl_main[[#This Row],[Date]]="","",TEXT(B961,"mmm"))</f>
        <v>Nov</v>
      </c>
      <c r="E961" t="str">
        <f>IF(tbl_main[[#This Row],[Date]]="","",TEXT(B961,"DDD"))</f>
        <v>Mon</v>
      </c>
      <c r="F961" t="s">
        <v>27</v>
      </c>
      <c r="G961" t="s">
        <v>28</v>
      </c>
      <c r="H961" s="3" t="s">
        <v>26</v>
      </c>
      <c r="I961" s="3" t="s">
        <v>38</v>
      </c>
      <c r="J961" s="3" t="s">
        <v>25</v>
      </c>
      <c r="K961" s="3">
        <f>_xlfn.XLOOKUP(tbl_main[[#This Row],[Service]],tbl_service[Service],tbl_service[Price],"")</f>
        <v>200</v>
      </c>
      <c r="L961" s="3">
        <v>2</v>
      </c>
      <c r="M961" s="3">
        <f>IF(AND(tbl_main[[#This Row],[Price]]="",tbl_main[[#This Row],[Qty]]=""),"",tbl_main[[#This Row],[Price]]*tbl_main[[#This Row],[Qty]])</f>
        <v>400</v>
      </c>
      <c r="N961" s="3">
        <f>_xlfn.LET(_xlpm.x,_xlfn.XLOOKUP(tbl_main[[#This Row],[Service]],tbl_service[Service],tbl_service[Profit],""),
               IF(tbl_main[[#This Row],[Qty]]="","",_xlpm.x*tbl_main[[#This Row],[Qty]]))</f>
        <v>180</v>
      </c>
    </row>
    <row r="962" spans="1:14" x14ac:dyDescent="0.25">
      <c r="A962" t="s">
        <v>1004</v>
      </c>
      <c r="B962" s="1">
        <v>45979</v>
      </c>
      <c r="C962">
        <f>IF(tbl_main[[#This Row],[Date]]="","",YEAR(B962))</f>
        <v>2025</v>
      </c>
      <c r="D962" t="str">
        <f>IF(tbl_main[[#This Row],[Date]]="","",TEXT(B962,"mmm"))</f>
        <v>Nov</v>
      </c>
      <c r="E962" t="str">
        <f>IF(tbl_main[[#This Row],[Date]]="","",TEXT(B962,"DDD"))</f>
        <v>Tue</v>
      </c>
      <c r="F962" t="s">
        <v>13</v>
      </c>
      <c r="G962" t="s">
        <v>14</v>
      </c>
      <c r="H962" s="3" t="s">
        <v>24</v>
      </c>
      <c r="I962" s="3" t="s">
        <v>16</v>
      </c>
      <c r="J962" s="3" t="s">
        <v>32</v>
      </c>
      <c r="K962" s="3">
        <f>_xlfn.XLOOKUP(tbl_main[[#This Row],[Service]],tbl_service[Service],tbl_service[Price],"")</f>
        <v>80</v>
      </c>
      <c r="L962" s="3">
        <v>1</v>
      </c>
      <c r="M962" s="3">
        <f>IF(AND(tbl_main[[#This Row],[Price]]="",tbl_main[[#This Row],[Qty]]=""),"",tbl_main[[#This Row],[Price]]*tbl_main[[#This Row],[Qty]])</f>
        <v>80</v>
      </c>
      <c r="N962" s="3">
        <f>_xlfn.LET(_xlpm.x,_xlfn.XLOOKUP(tbl_main[[#This Row],[Service]],tbl_service[Service],tbl_service[Profit],""),
               IF(tbl_main[[#This Row],[Qty]]="","",_xlpm.x*tbl_main[[#This Row],[Qty]]))</f>
        <v>36</v>
      </c>
    </row>
    <row r="963" spans="1:14" x14ac:dyDescent="0.25">
      <c r="A963" t="s">
        <v>1005</v>
      </c>
      <c r="B963" s="1">
        <v>45979</v>
      </c>
      <c r="C963">
        <f>IF(tbl_main[[#This Row],[Date]]="","",YEAR(B963))</f>
        <v>2025</v>
      </c>
      <c r="D963" t="str">
        <f>IF(tbl_main[[#This Row],[Date]]="","",TEXT(B963,"mmm"))</f>
        <v>Nov</v>
      </c>
      <c r="E963" t="str">
        <f>IF(tbl_main[[#This Row],[Date]]="","",TEXT(B963,"DDD"))</f>
        <v>Tue</v>
      </c>
      <c r="F963" t="s">
        <v>27</v>
      </c>
      <c r="G963" t="s">
        <v>40</v>
      </c>
      <c r="H963" s="3" t="s">
        <v>15</v>
      </c>
      <c r="I963" s="3" t="s">
        <v>19</v>
      </c>
      <c r="J963" s="3" t="s">
        <v>17</v>
      </c>
      <c r="K963" s="3">
        <f>_xlfn.XLOOKUP(tbl_main[[#This Row],[Service]],tbl_service[Service],tbl_service[Price],"")</f>
        <v>500</v>
      </c>
      <c r="L963" s="3">
        <v>2</v>
      </c>
      <c r="M963" s="3">
        <f>IF(AND(tbl_main[[#This Row],[Price]]="",tbl_main[[#This Row],[Qty]]=""),"",tbl_main[[#This Row],[Price]]*tbl_main[[#This Row],[Qty]])</f>
        <v>1000</v>
      </c>
      <c r="N963" s="3">
        <f>_xlfn.LET(_xlpm.x,_xlfn.XLOOKUP(tbl_main[[#This Row],[Service]],tbl_service[Service],tbl_service[Profit],""),
               IF(tbl_main[[#This Row],[Qty]]="","",_xlpm.x*tbl_main[[#This Row],[Qty]]))</f>
        <v>450</v>
      </c>
    </row>
    <row r="964" spans="1:14" x14ac:dyDescent="0.25">
      <c r="A964" t="s">
        <v>1006</v>
      </c>
      <c r="B964" s="1">
        <v>45979</v>
      </c>
      <c r="C964">
        <f>IF(tbl_main[[#This Row],[Date]]="","",YEAR(B964))</f>
        <v>2025</v>
      </c>
      <c r="D964" t="str">
        <f>IF(tbl_main[[#This Row],[Date]]="","",TEXT(B964,"mmm"))</f>
        <v>Nov</v>
      </c>
      <c r="E964" t="str">
        <f>IF(tbl_main[[#This Row],[Date]]="","",TEXT(B964,"DDD"))</f>
        <v>Tue</v>
      </c>
      <c r="F964" t="s">
        <v>13</v>
      </c>
      <c r="G964" t="s">
        <v>33</v>
      </c>
      <c r="H964" s="3" t="s">
        <v>15</v>
      </c>
      <c r="I964" s="3" t="s">
        <v>43</v>
      </c>
      <c r="J964" s="3" t="s">
        <v>25</v>
      </c>
      <c r="K964" s="3">
        <f>_xlfn.XLOOKUP(tbl_main[[#This Row],[Service]],tbl_service[Service],tbl_service[Price],"")</f>
        <v>500</v>
      </c>
      <c r="L964" s="3">
        <v>2</v>
      </c>
      <c r="M964" s="3">
        <f>IF(AND(tbl_main[[#This Row],[Price]]="",tbl_main[[#This Row],[Qty]]=""),"",tbl_main[[#This Row],[Price]]*tbl_main[[#This Row],[Qty]])</f>
        <v>1000</v>
      </c>
      <c r="N964" s="3">
        <f>_xlfn.LET(_xlpm.x,_xlfn.XLOOKUP(tbl_main[[#This Row],[Service]],tbl_service[Service],tbl_service[Profit],""),
               IF(tbl_main[[#This Row],[Qty]]="","",_xlpm.x*tbl_main[[#This Row],[Qty]]))</f>
        <v>450</v>
      </c>
    </row>
    <row r="965" spans="1:14" x14ac:dyDescent="0.25">
      <c r="A965" t="s">
        <v>1007</v>
      </c>
      <c r="B965" s="1">
        <v>45979</v>
      </c>
      <c r="C965">
        <f>IF(tbl_main[[#This Row],[Date]]="","",YEAR(B965))</f>
        <v>2025</v>
      </c>
      <c r="D965" t="str">
        <f>IF(tbl_main[[#This Row],[Date]]="","",TEXT(B965,"mmm"))</f>
        <v>Nov</v>
      </c>
      <c r="E965" t="str">
        <f>IF(tbl_main[[#This Row],[Date]]="","",TEXT(B965,"DDD"))</f>
        <v>Tue</v>
      </c>
      <c r="F965" t="s">
        <v>20</v>
      </c>
      <c r="G965" t="s">
        <v>29</v>
      </c>
      <c r="H965" s="3" t="s">
        <v>18</v>
      </c>
      <c r="I965" s="3" t="s">
        <v>41</v>
      </c>
      <c r="J965" s="3" t="s">
        <v>17</v>
      </c>
      <c r="K965" s="3">
        <f>_xlfn.XLOOKUP(tbl_main[[#This Row],[Service]],tbl_service[Service],tbl_service[Price],"")</f>
        <v>500</v>
      </c>
      <c r="L965" s="3">
        <v>1</v>
      </c>
      <c r="M965" s="3">
        <f>IF(AND(tbl_main[[#This Row],[Price]]="",tbl_main[[#This Row],[Qty]]=""),"",tbl_main[[#This Row],[Price]]*tbl_main[[#This Row],[Qty]])</f>
        <v>500</v>
      </c>
      <c r="N965" s="3">
        <f>_xlfn.LET(_xlpm.x,_xlfn.XLOOKUP(tbl_main[[#This Row],[Service]],tbl_service[Service],tbl_service[Profit],""),
               IF(tbl_main[[#This Row],[Qty]]="","",_xlpm.x*tbl_main[[#This Row],[Qty]]))</f>
        <v>157</v>
      </c>
    </row>
    <row r="966" spans="1:14" x14ac:dyDescent="0.25">
      <c r="A966" t="s">
        <v>1008</v>
      </c>
      <c r="B966" s="1">
        <v>45980</v>
      </c>
      <c r="C966">
        <f>IF(tbl_main[[#This Row],[Date]]="","",YEAR(B966))</f>
        <v>2025</v>
      </c>
      <c r="D966" t="str">
        <f>IF(tbl_main[[#This Row],[Date]]="","",TEXT(B966,"mmm"))</f>
        <v>Nov</v>
      </c>
      <c r="E966" t="str">
        <f>IF(tbl_main[[#This Row],[Date]]="","",TEXT(B966,"DDD"))</f>
        <v>Wed</v>
      </c>
      <c r="F966" t="s">
        <v>30</v>
      </c>
      <c r="G966" t="s">
        <v>31</v>
      </c>
      <c r="H966" s="3" t="s">
        <v>22</v>
      </c>
      <c r="I966" s="3" t="s">
        <v>41</v>
      </c>
      <c r="J966" s="3" t="s">
        <v>25</v>
      </c>
      <c r="K966" s="3">
        <f>_xlfn.XLOOKUP(tbl_main[[#This Row],[Service]],tbl_service[Service],tbl_service[Price],"")</f>
        <v>150</v>
      </c>
      <c r="L966" s="3">
        <v>2</v>
      </c>
      <c r="M966" s="3">
        <f>IF(AND(tbl_main[[#This Row],[Price]]="",tbl_main[[#This Row],[Qty]]=""),"",tbl_main[[#This Row],[Price]]*tbl_main[[#This Row],[Qty]])</f>
        <v>300</v>
      </c>
      <c r="N966" s="3">
        <f>_xlfn.LET(_xlpm.x,_xlfn.XLOOKUP(tbl_main[[#This Row],[Service]],tbl_service[Service],tbl_service[Profit],""),
               IF(tbl_main[[#This Row],[Qty]]="","",_xlpm.x*tbl_main[[#This Row],[Qty]]))</f>
        <v>134</v>
      </c>
    </row>
    <row r="967" spans="1:14" x14ac:dyDescent="0.25">
      <c r="A967" t="s">
        <v>1009</v>
      </c>
      <c r="B967" s="1">
        <v>45980</v>
      </c>
      <c r="C967">
        <f>IF(tbl_main[[#This Row],[Date]]="","",YEAR(B967))</f>
        <v>2025</v>
      </c>
      <c r="D967" t="str">
        <f>IF(tbl_main[[#This Row],[Date]]="","",TEXT(B967,"mmm"))</f>
        <v>Nov</v>
      </c>
      <c r="E967" t="str">
        <f>IF(tbl_main[[#This Row],[Date]]="","",TEXT(B967,"DDD"))</f>
        <v>Wed</v>
      </c>
      <c r="F967" t="s">
        <v>30</v>
      </c>
      <c r="G967" t="s">
        <v>36</v>
      </c>
      <c r="H967" s="3" t="s">
        <v>22</v>
      </c>
      <c r="I967" s="3" t="s">
        <v>35</v>
      </c>
      <c r="J967" s="3" t="s">
        <v>32</v>
      </c>
      <c r="K967" s="3">
        <f>_xlfn.XLOOKUP(tbl_main[[#This Row],[Service]],tbl_service[Service],tbl_service[Price],"")</f>
        <v>150</v>
      </c>
      <c r="L967" s="3">
        <v>1</v>
      </c>
      <c r="M967" s="3">
        <f>IF(AND(tbl_main[[#This Row],[Price]]="",tbl_main[[#This Row],[Qty]]=""),"",tbl_main[[#This Row],[Price]]*tbl_main[[#This Row],[Qty]])</f>
        <v>150</v>
      </c>
      <c r="N967" s="3">
        <f>_xlfn.LET(_xlpm.x,_xlfn.XLOOKUP(tbl_main[[#This Row],[Service]],tbl_service[Service],tbl_service[Profit],""),
               IF(tbl_main[[#This Row],[Qty]]="","",_xlpm.x*tbl_main[[#This Row],[Qty]]))</f>
        <v>67</v>
      </c>
    </row>
    <row r="968" spans="1:14" x14ac:dyDescent="0.25">
      <c r="A968" t="s">
        <v>1010</v>
      </c>
      <c r="B968" s="1">
        <v>45981</v>
      </c>
      <c r="C968">
        <f>IF(tbl_main[[#This Row],[Date]]="","",YEAR(B968))</f>
        <v>2025</v>
      </c>
      <c r="D968" t="str">
        <f>IF(tbl_main[[#This Row],[Date]]="","",TEXT(B968,"mmm"))</f>
        <v>Nov</v>
      </c>
      <c r="E968" t="str">
        <f>IF(tbl_main[[#This Row],[Date]]="","",TEXT(B968,"DDD"))</f>
        <v>Thu</v>
      </c>
      <c r="F968" t="s">
        <v>27</v>
      </c>
      <c r="G968" t="s">
        <v>28</v>
      </c>
      <c r="H968" s="3" t="s">
        <v>26</v>
      </c>
      <c r="I968" s="3" t="s">
        <v>35</v>
      </c>
      <c r="J968" s="3" t="s">
        <v>17</v>
      </c>
      <c r="K968" s="3">
        <f>_xlfn.XLOOKUP(tbl_main[[#This Row],[Service]],tbl_service[Service],tbl_service[Price],"")</f>
        <v>200</v>
      </c>
      <c r="L968" s="3">
        <v>2</v>
      </c>
      <c r="M968" s="3">
        <f>IF(AND(tbl_main[[#This Row],[Price]]="",tbl_main[[#This Row],[Qty]]=""),"",tbl_main[[#This Row],[Price]]*tbl_main[[#This Row],[Qty]])</f>
        <v>400</v>
      </c>
      <c r="N968" s="3">
        <f>_xlfn.LET(_xlpm.x,_xlfn.XLOOKUP(tbl_main[[#This Row],[Service]],tbl_service[Service],tbl_service[Profit],""),
               IF(tbl_main[[#This Row],[Qty]]="","",_xlpm.x*tbl_main[[#This Row],[Qty]]))</f>
        <v>180</v>
      </c>
    </row>
    <row r="969" spans="1:14" x14ac:dyDescent="0.25">
      <c r="A969" t="s">
        <v>1011</v>
      </c>
      <c r="B969" s="1">
        <v>45981</v>
      </c>
      <c r="C969">
        <f>IF(tbl_main[[#This Row],[Date]]="","",YEAR(B969))</f>
        <v>2025</v>
      </c>
      <c r="D969" t="str">
        <f>IF(tbl_main[[#This Row],[Date]]="","",TEXT(B969,"mmm"))</f>
        <v>Nov</v>
      </c>
      <c r="E969" t="str">
        <f>IF(tbl_main[[#This Row],[Date]]="","",TEXT(B969,"DDD"))</f>
        <v>Thu</v>
      </c>
      <c r="F969" t="s">
        <v>13</v>
      </c>
      <c r="G969" t="s">
        <v>33</v>
      </c>
      <c r="H969" s="3" t="s">
        <v>15</v>
      </c>
      <c r="I969" s="3" t="s">
        <v>23</v>
      </c>
      <c r="J969" s="3" t="s">
        <v>17</v>
      </c>
      <c r="K969" s="3">
        <f>_xlfn.XLOOKUP(tbl_main[[#This Row],[Service]],tbl_service[Service],tbl_service[Price],"")</f>
        <v>500</v>
      </c>
      <c r="L969" s="3">
        <v>2</v>
      </c>
      <c r="M969" s="3">
        <f>IF(AND(tbl_main[[#This Row],[Price]]="",tbl_main[[#This Row],[Qty]]=""),"",tbl_main[[#This Row],[Price]]*tbl_main[[#This Row],[Qty]])</f>
        <v>1000</v>
      </c>
      <c r="N969" s="3">
        <f>_xlfn.LET(_xlpm.x,_xlfn.XLOOKUP(tbl_main[[#This Row],[Service]],tbl_service[Service],tbl_service[Profit],""),
               IF(tbl_main[[#This Row],[Qty]]="","",_xlpm.x*tbl_main[[#This Row],[Qty]]))</f>
        <v>450</v>
      </c>
    </row>
    <row r="970" spans="1:14" x14ac:dyDescent="0.25">
      <c r="A970" t="s">
        <v>1012</v>
      </c>
      <c r="B970" s="1">
        <v>45982</v>
      </c>
      <c r="C970">
        <f>IF(tbl_main[[#This Row],[Date]]="","",YEAR(B970))</f>
        <v>2025</v>
      </c>
      <c r="D970" t="str">
        <f>IF(tbl_main[[#This Row],[Date]]="","",TEXT(B970,"mmm"))</f>
        <v>Nov</v>
      </c>
      <c r="E970" t="str">
        <f>IF(tbl_main[[#This Row],[Date]]="","",TEXT(B970,"DDD"))</f>
        <v>Fri</v>
      </c>
      <c r="F970" t="s">
        <v>13</v>
      </c>
      <c r="G970" t="s">
        <v>14</v>
      </c>
      <c r="H970" s="3" t="s">
        <v>15</v>
      </c>
      <c r="I970" s="3" t="s">
        <v>37</v>
      </c>
      <c r="J970" s="3" t="s">
        <v>17</v>
      </c>
      <c r="K970" s="3">
        <f>_xlfn.XLOOKUP(tbl_main[[#This Row],[Service]],tbl_service[Service],tbl_service[Price],"")</f>
        <v>500</v>
      </c>
      <c r="L970" s="3">
        <v>1</v>
      </c>
      <c r="M970" s="3">
        <f>IF(AND(tbl_main[[#This Row],[Price]]="",tbl_main[[#This Row],[Qty]]=""),"",tbl_main[[#This Row],[Price]]*tbl_main[[#This Row],[Qty]])</f>
        <v>500</v>
      </c>
      <c r="N970" s="3">
        <f>_xlfn.LET(_xlpm.x,_xlfn.XLOOKUP(tbl_main[[#This Row],[Service]],tbl_service[Service],tbl_service[Profit],""),
               IF(tbl_main[[#This Row],[Qty]]="","",_xlpm.x*tbl_main[[#This Row],[Qty]]))</f>
        <v>225</v>
      </c>
    </row>
    <row r="971" spans="1:14" x14ac:dyDescent="0.25">
      <c r="A971" t="s">
        <v>1013</v>
      </c>
      <c r="B971" s="1">
        <v>45982</v>
      </c>
      <c r="C971">
        <f>IF(tbl_main[[#This Row],[Date]]="","",YEAR(B971))</f>
        <v>2025</v>
      </c>
      <c r="D971" t="str">
        <f>IF(tbl_main[[#This Row],[Date]]="","",TEXT(B971,"mmm"))</f>
        <v>Nov</v>
      </c>
      <c r="E971" t="str">
        <f>IF(tbl_main[[#This Row],[Date]]="","",TEXT(B971,"DDD"))</f>
        <v>Fri</v>
      </c>
      <c r="F971" t="s">
        <v>13</v>
      </c>
      <c r="G971" t="s">
        <v>14</v>
      </c>
      <c r="H971" s="3" t="s">
        <v>22</v>
      </c>
      <c r="I971" s="3" t="s">
        <v>38</v>
      </c>
      <c r="J971" s="3" t="s">
        <v>17</v>
      </c>
      <c r="K971" s="3">
        <f>_xlfn.XLOOKUP(tbl_main[[#This Row],[Service]],tbl_service[Service],tbl_service[Price],"")</f>
        <v>150</v>
      </c>
      <c r="L971" s="3">
        <v>2</v>
      </c>
      <c r="M971" s="3">
        <f>IF(AND(tbl_main[[#This Row],[Price]]="",tbl_main[[#This Row],[Qty]]=""),"",tbl_main[[#This Row],[Price]]*tbl_main[[#This Row],[Qty]])</f>
        <v>300</v>
      </c>
      <c r="N971" s="3">
        <f>_xlfn.LET(_xlpm.x,_xlfn.XLOOKUP(tbl_main[[#This Row],[Service]],tbl_service[Service],tbl_service[Profit],""),
               IF(tbl_main[[#This Row],[Qty]]="","",_xlpm.x*tbl_main[[#This Row],[Qty]]))</f>
        <v>134</v>
      </c>
    </row>
    <row r="972" spans="1:14" x14ac:dyDescent="0.25">
      <c r="A972" t="s">
        <v>1014</v>
      </c>
      <c r="B972" s="1">
        <v>45982</v>
      </c>
      <c r="C972">
        <f>IF(tbl_main[[#This Row],[Date]]="","",YEAR(B972))</f>
        <v>2025</v>
      </c>
      <c r="D972" t="str">
        <f>IF(tbl_main[[#This Row],[Date]]="","",TEXT(B972,"mmm"))</f>
        <v>Nov</v>
      </c>
      <c r="E972" t="str">
        <f>IF(tbl_main[[#This Row],[Date]]="","",TEXT(B972,"DDD"))</f>
        <v>Fri</v>
      </c>
      <c r="F972" t="s">
        <v>30</v>
      </c>
      <c r="G972" t="s">
        <v>31</v>
      </c>
      <c r="H972" s="3" t="s">
        <v>26</v>
      </c>
      <c r="I972" s="3" t="s">
        <v>16</v>
      </c>
      <c r="J972" s="3" t="s">
        <v>32</v>
      </c>
      <c r="K972" s="3">
        <f>_xlfn.XLOOKUP(tbl_main[[#This Row],[Service]],tbl_service[Service],tbl_service[Price],"")</f>
        <v>200</v>
      </c>
      <c r="L972" s="3">
        <v>1</v>
      </c>
      <c r="M972" s="3">
        <f>IF(AND(tbl_main[[#This Row],[Price]]="",tbl_main[[#This Row],[Qty]]=""),"",tbl_main[[#This Row],[Price]]*tbl_main[[#This Row],[Qty]])</f>
        <v>200</v>
      </c>
      <c r="N972" s="3">
        <f>_xlfn.LET(_xlpm.x,_xlfn.XLOOKUP(tbl_main[[#This Row],[Service]],tbl_service[Service],tbl_service[Profit],""),
               IF(tbl_main[[#This Row],[Qty]]="","",_xlpm.x*tbl_main[[#This Row],[Qty]]))</f>
        <v>90</v>
      </c>
    </row>
    <row r="973" spans="1:14" x14ac:dyDescent="0.25">
      <c r="A973" t="s">
        <v>1015</v>
      </c>
      <c r="B973" s="1">
        <v>45982</v>
      </c>
      <c r="C973">
        <f>IF(tbl_main[[#This Row],[Date]]="","",YEAR(B973))</f>
        <v>2025</v>
      </c>
      <c r="D973" t="str">
        <f>IF(tbl_main[[#This Row],[Date]]="","",TEXT(B973,"mmm"))</f>
        <v>Nov</v>
      </c>
      <c r="E973" t="str">
        <f>IF(tbl_main[[#This Row],[Date]]="","",TEXT(B973,"DDD"))</f>
        <v>Fri</v>
      </c>
      <c r="F973" t="s">
        <v>30</v>
      </c>
      <c r="G973" t="s">
        <v>36</v>
      </c>
      <c r="H973" s="3" t="s">
        <v>22</v>
      </c>
      <c r="I973" s="3" t="s">
        <v>19</v>
      </c>
      <c r="J973" s="3" t="s">
        <v>17</v>
      </c>
      <c r="K973" s="3">
        <f>_xlfn.XLOOKUP(tbl_main[[#This Row],[Service]],tbl_service[Service],tbl_service[Price],"")</f>
        <v>150</v>
      </c>
      <c r="L973" s="3">
        <v>2</v>
      </c>
      <c r="M973" s="3">
        <f>IF(AND(tbl_main[[#This Row],[Price]]="",tbl_main[[#This Row],[Qty]]=""),"",tbl_main[[#This Row],[Price]]*tbl_main[[#This Row],[Qty]])</f>
        <v>300</v>
      </c>
      <c r="N973" s="3">
        <f>_xlfn.LET(_xlpm.x,_xlfn.XLOOKUP(tbl_main[[#This Row],[Service]],tbl_service[Service],tbl_service[Profit],""),
               IF(tbl_main[[#This Row],[Qty]]="","",_xlpm.x*tbl_main[[#This Row],[Qty]]))</f>
        <v>134</v>
      </c>
    </row>
    <row r="974" spans="1:14" x14ac:dyDescent="0.25">
      <c r="A974" t="s">
        <v>1016</v>
      </c>
      <c r="B974" s="1">
        <v>45983</v>
      </c>
      <c r="C974">
        <f>IF(tbl_main[[#This Row],[Date]]="","",YEAR(B974))</f>
        <v>2025</v>
      </c>
      <c r="D974" t="str">
        <f>IF(tbl_main[[#This Row],[Date]]="","",TEXT(B974,"mmm"))</f>
        <v>Nov</v>
      </c>
      <c r="E974" t="str">
        <f>IF(tbl_main[[#This Row],[Date]]="","",TEXT(B974,"DDD"))</f>
        <v>Sat</v>
      </c>
      <c r="F974" t="s">
        <v>30</v>
      </c>
      <c r="G974" t="s">
        <v>31</v>
      </c>
      <c r="H974" s="3" t="s">
        <v>15</v>
      </c>
      <c r="I974" s="3" t="s">
        <v>43</v>
      </c>
      <c r="J974" s="3" t="s">
        <v>17</v>
      </c>
      <c r="K974" s="3">
        <f>_xlfn.XLOOKUP(tbl_main[[#This Row],[Service]],tbl_service[Service],tbl_service[Price],"")</f>
        <v>500</v>
      </c>
      <c r="L974" s="3">
        <v>1</v>
      </c>
      <c r="M974" s="3">
        <f>IF(AND(tbl_main[[#This Row],[Price]]="",tbl_main[[#This Row],[Qty]]=""),"",tbl_main[[#This Row],[Price]]*tbl_main[[#This Row],[Qty]])</f>
        <v>500</v>
      </c>
      <c r="N974" s="3">
        <f>_xlfn.LET(_xlpm.x,_xlfn.XLOOKUP(tbl_main[[#This Row],[Service]],tbl_service[Service],tbl_service[Profit],""),
               IF(tbl_main[[#This Row],[Qty]]="","",_xlpm.x*tbl_main[[#This Row],[Qty]]))</f>
        <v>225</v>
      </c>
    </row>
    <row r="975" spans="1:14" x14ac:dyDescent="0.25">
      <c r="A975" t="s">
        <v>1017</v>
      </c>
      <c r="B975" s="1">
        <v>45983</v>
      </c>
      <c r="C975">
        <f>IF(tbl_main[[#This Row],[Date]]="","",YEAR(B975))</f>
        <v>2025</v>
      </c>
      <c r="D975" t="str">
        <f>IF(tbl_main[[#This Row],[Date]]="","",TEXT(B975,"mmm"))</f>
        <v>Nov</v>
      </c>
      <c r="E975" t="str">
        <f>IF(tbl_main[[#This Row],[Date]]="","",TEXT(B975,"DDD"))</f>
        <v>Sat</v>
      </c>
      <c r="F975" t="s">
        <v>13</v>
      </c>
      <c r="G975" t="s">
        <v>33</v>
      </c>
      <c r="H975" s="3" t="s">
        <v>26</v>
      </c>
      <c r="I975" s="3" t="s">
        <v>41</v>
      </c>
      <c r="J975" s="3" t="s">
        <v>32</v>
      </c>
      <c r="K975" s="3">
        <f>_xlfn.XLOOKUP(tbl_main[[#This Row],[Service]],tbl_service[Service],tbl_service[Price],"")</f>
        <v>200</v>
      </c>
      <c r="L975" s="3">
        <v>2</v>
      </c>
      <c r="M975" s="3">
        <f>IF(AND(tbl_main[[#This Row],[Price]]="",tbl_main[[#This Row],[Qty]]=""),"",tbl_main[[#This Row],[Price]]*tbl_main[[#This Row],[Qty]])</f>
        <v>400</v>
      </c>
      <c r="N975" s="3">
        <f>_xlfn.LET(_xlpm.x,_xlfn.XLOOKUP(tbl_main[[#This Row],[Service]],tbl_service[Service],tbl_service[Profit],""),
               IF(tbl_main[[#This Row],[Qty]]="","",_xlpm.x*tbl_main[[#This Row],[Qty]]))</f>
        <v>180</v>
      </c>
    </row>
    <row r="976" spans="1:14" x14ac:dyDescent="0.25">
      <c r="A976" t="s">
        <v>1018</v>
      </c>
      <c r="B976" s="1">
        <v>45984</v>
      </c>
      <c r="C976">
        <f>IF(tbl_main[[#This Row],[Date]]="","",YEAR(B976))</f>
        <v>2025</v>
      </c>
      <c r="D976" t="str">
        <f>IF(tbl_main[[#This Row],[Date]]="","",TEXT(B976,"mmm"))</f>
        <v>Nov</v>
      </c>
      <c r="E976" t="str">
        <f>IF(tbl_main[[#This Row],[Date]]="","",TEXT(B976,"DDD"))</f>
        <v>Sun</v>
      </c>
      <c r="F976" t="s">
        <v>30</v>
      </c>
      <c r="G976" t="s">
        <v>36</v>
      </c>
      <c r="H976" s="3" t="s">
        <v>18</v>
      </c>
      <c r="I976" s="3" t="s">
        <v>41</v>
      </c>
      <c r="J976" s="3" t="s">
        <v>25</v>
      </c>
      <c r="K976" s="3">
        <f>_xlfn.XLOOKUP(tbl_main[[#This Row],[Service]],tbl_service[Service],tbl_service[Price],"")</f>
        <v>500</v>
      </c>
      <c r="L976" s="3">
        <v>2</v>
      </c>
      <c r="M976" s="3">
        <f>IF(AND(tbl_main[[#This Row],[Price]]="",tbl_main[[#This Row],[Qty]]=""),"",tbl_main[[#This Row],[Price]]*tbl_main[[#This Row],[Qty]])</f>
        <v>1000</v>
      </c>
      <c r="N976" s="3">
        <f>_xlfn.LET(_xlpm.x,_xlfn.XLOOKUP(tbl_main[[#This Row],[Service]],tbl_service[Service],tbl_service[Profit],""),
               IF(tbl_main[[#This Row],[Qty]]="","",_xlpm.x*tbl_main[[#This Row],[Qty]]))</f>
        <v>314</v>
      </c>
    </row>
    <row r="977" spans="1:14" x14ac:dyDescent="0.25">
      <c r="A977" t="s">
        <v>1019</v>
      </c>
      <c r="B977" s="1">
        <v>45984</v>
      </c>
      <c r="C977">
        <f>IF(tbl_main[[#This Row],[Date]]="","",YEAR(B977))</f>
        <v>2025</v>
      </c>
      <c r="D977" t="str">
        <f>IF(tbl_main[[#This Row],[Date]]="","",TEXT(B977,"mmm"))</f>
        <v>Nov</v>
      </c>
      <c r="E977" t="str">
        <f>IF(tbl_main[[#This Row],[Date]]="","",TEXT(B977,"DDD"))</f>
        <v>Sun</v>
      </c>
      <c r="F977" t="s">
        <v>13</v>
      </c>
      <c r="G977" t="s">
        <v>14</v>
      </c>
      <c r="H977" s="3" t="s">
        <v>24</v>
      </c>
      <c r="I977" s="3" t="s">
        <v>35</v>
      </c>
      <c r="J977" s="3" t="s">
        <v>25</v>
      </c>
      <c r="K977" s="3">
        <f>_xlfn.XLOOKUP(tbl_main[[#This Row],[Service]],tbl_service[Service],tbl_service[Price],"")</f>
        <v>80</v>
      </c>
      <c r="L977" s="3">
        <v>2</v>
      </c>
      <c r="M977" s="3">
        <f>IF(AND(tbl_main[[#This Row],[Price]]="",tbl_main[[#This Row],[Qty]]=""),"",tbl_main[[#This Row],[Price]]*tbl_main[[#This Row],[Qty]])</f>
        <v>160</v>
      </c>
      <c r="N977" s="3">
        <f>_xlfn.LET(_xlpm.x,_xlfn.XLOOKUP(tbl_main[[#This Row],[Service]],tbl_service[Service],tbl_service[Profit],""),
               IF(tbl_main[[#This Row],[Qty]]="","",_xlpm.x*tbl_main[[#This Row],[Qty]]))</f>
        <v>72</v>
      </c>
    </row>
    <row r="978" spans="1:14" x14ac:dyDescent="0.25">
      <c r="A978" t="s">
        <v>1020</v>
      </c>
      <c r="B978" s="1">
        <v>45985</v>
      </c>
      <c r="C978">
        <f>IF(tbl_main[[#This Row],[Date]]="","",YEAR(B978))</f>
        <v>2025</v>
      </c>
      <c r="D978" t="str">
        <f>IF(tbl_main[[#This Row],[Date]]="","",TEXT(B978,"mmm"))</f>
        <v>Nov</v>
      </c>
      <c r="E978" t="str">
        <f>IF(tbl_main[[#This Row],[Date]]="","",TEXT(B978,"DDD"))</f>
        <v>Mon</v>
      </c>
      <c r="F978" t="s">
        <v>30</v>
      </c>
      <c r="G978" t="s">
        <v>36</v>
      </c>
      <c r="H978" s="3" t="s">
        <v>24</v>
      </c>
      <c r="I978" s="3" t="s">
        <v>35</v>
      </c>
      <c r="J978" s="3" t="s">
        <v>25</v>
      </c>
      <c r="K978" s="3">
        <f>_xlfn.XLOOKUP(tbl_main[[#This Row],[Service]],tbl_service[Service],tbl_service[Price],"")</f>
        <v>80</v>
      </c>
      <c r="L978" s="3">
        <v>1</v>
      </c>
      <c r="M978" s="3">
        <f>IF(AND(tbl_main[[#This Row],[Price]]="",tbl_main[[#This Row],[Qty]]=""),"",tbl_main[[#This Row],[Price]]*tbl_main[[#This Row],[Qty]])</f>
        <v>80</v>
      </c>
      <c r="N978" s="3">
        <f>_xlfn.LET(_xlpm.x,_xlfn.XLOOKUP(tbl_main[[#This Row],[Service]],tbl_service[Service],tbl_service[Profit],""),
               IF(tbl_main[[#This Row],[Qty]]="","",_xlpm.x*tbl_main[[#This Row],[Qty]]))</f>
        <v>36</v>
      </c>
    </row>
    <row r="979" spans="1:14" x14ac:dyDescent="0.25">
      <c r="A979" t="s">
        <v>1021</v>
      </c>
      <c r="B979" s="1">
        <v>45985</v>
      </c>
      <c r="C979">
        <f>IF(tbl_main[[#This Row],[Date]]="","",YEAR(B979))</f>
        <v>2025</v>
      </c>
      <c r="D979" t="str">
        <f>IF(tbl_main[[#This Row],[Date]]="","",TEXT(B979,"mmm"))</f>
        <v>Nov</v>
      </c>
      <c r="E979" t="str">
        <f>IF(tbl_main[[#This Row],[Date]]="","",TEXT(B979,"DDD"))</f>
        <v>Mon</v>
      </c>
      <c r="F979" t="s">
        <v>30</v>
      </c>
      <c r="G979" t="s">
        <v>36</v>
      </c>
      <c r="H979" s="3" t="s">
        <v>24</v>
      </c>
      <c r="I979" s="3" t="s">
        <v>23</v>
      </c>
      <c r="J979" s="3" t="s">
        <v>25</v>
      </c>
      <c r="K979" s="3">
        <f>_xlfn.XLOOKUP(tbl_main[[#This Row],[Service]],tbl_service[Service],tbl_service[Price],"")</f>
        <v>80</v>
      </c>
      <c r="L979" s="3">
        <v>2</v>
      </c>
      <c r="M979" s="3">
        <f>IF(AND(tbl_main[[#This Row],[Price]]="",tbl_main[[#This Row],[Qty]]=""),"",tbl_main[[#This Row],[Price]]*tbl_main[[#This Row],[Qty]])</f>
        <v>160</v>
      </c>
      <c r="N979" s="3">
        <f>_xlfn.LET(_xlpm.x,_xlfn.XLOOKUP(tbl_main[[#This Row],[Service]],tbl_service[Service],tbl_service[Profit],""),
               IF(tbl_main[[#This Row],[Qty]]="","",_xlpm.x*tbl_main[[#This Row],[Qty]]))</f>
        <v>72</v>
      </c>
    </row>
    <row r="980" spans="1:14" x14ac:dyDescent="0.25">
      <c r="A980" t="s">
        <v>1022</v>
      </c>
      <c r="B980" s="1">
        <v>45986</v>
      </c>
      <c r="C980">
        <f>IF(tbl_main[[#This Row],[Date]]="","",YEAR(B980))</f>
        <v>2025</v>
      </c>
      <c r="D980" t="str">
        <f>IF(tbl_main[[#This Row],[Date]]="","",TEXT(B980,"mmm"))</f>
        <v>Nov</v>
      </c>
      <c r="E980" t="str">
        <f>IF(tbl_main[[#This Row],[Date]]="","",TEXT(B980,"DDD"))</f>
        <v>Tue</v>
      </c>
      <c r="F980" t="s">
        <v>27</v>
      </c>
      <c r="G980" t="s">
        <v>40</v>
      </c>
      <c r="H980" s="3" t="s">
        <v>26</v>
      </c>
      <c r="I980" s="3" t="s">
        <v>37</v>
      </c>
      <c r="J980" s="3" t="s">
        <v>25</v>
      </c>
      <c r="K980" s="3">
        <f>_xlfn.XLOOKUP(tbl_main[[#This Row],[Service]],tbl_service[Service],tbl_service[Price],"")</f>
        <v>200</v>
      </c>
      <c r="L980" s="3">
        <v>2</v>
      </c>
      <c r="M980" s="3">
        <f>IF(AND(tbl_main[[#This Row],[Price]]="",tbl_main[[#This Row],[Qty]]=""),"",tbl_main[[#This Row],[Price]]*tbl_main[[#This Row],[Qty]])</f>
        <v>400</v>
      </c>
      <c r="N980" s="3">
        <f>_xlfn.LET(_xlpm.x,_xlfn.XLOOKUP(tbl_main[[#This Row],[Service]],tbl_service[Service],tbl_service[Profit],""),
               IF(tbl_main[[#This Row],[Qty]]="","",_xlpm.x*tbl_main[[#This Row],[Qty]]))</f>
        <v>180</v>
      </c>
    </row>
    <row r="981" spans="1:14" x14ac:dyDescent="0.25">
      <c r="A981" t="s">
        <v>1023</v>
      </c>
      <c r="B981" s="1">
        <v>45986</v>
      </c>
      <c r="C981">
        <f>IF(tbl_main[[#This Row],[Date]]="","",YEAR(B981))</f>
        <v>2025</v>
      </c>
      <c r="D981" t="str">
        <f>IF(tbl_main[[#This Row],[Date]]="","",TEXT(B981,"mmm"))</f>
        <v>Nov</v>
      </c>
      <c r="E981" t="str">
        <f>IF(tbl_main[[#This Row],[Date]]="","",TEXT(B981,"DDD"))</f>
        <v>Tue</v>
      </c>
      <c r="F981" t="s">
        <v>20</v>
      </c>
      <c r="G981" t="s">
        <v>21</v>
      </c>
      <c r="H981" s="3" t="s">
        <v>24</v>
      </c>
      <c r="I981" s="3" t="s">
        <v>38</v>
      </c>
      <c r="J981" s="3" t="s">
        <v>17</v>
      </c>
      <c r="K981" s="3">
        <f>_xlfn.XLOOKUP(tbl_main[[#This Row],[Service]],tbl_service[Service],tbl_service[Price],"")</f>
        <v>80</v>
      </c>
      <c r="L981" s="3">
        <v>2</v>
      </c>
      <c r="M981" s="3">
        <f>IF(AND(tbl_main[[#This Row],[Price]]="",tbl_main[[#This Row],[Qty]]=""),"",tbl_main[[#This Row],[Price]]*tbl_main[[#This Row],[Qty]])</f>
        <v>160</v>
      </c>
      <c r="N981" s="3">
        <f>_xlfn.LET(_xlpm.x,_xlfn.XLOOKUP(tbl_main[[#This Row],[Service]],tbl_service[Service],tbl_service[Profit],""),
               IF(tbl_main[[#This Row],[Qty]]="","",_xlpm.x*tbl_main[[#This Row],[Qty]]))</f>
        <v>72</v>
      </c>
    </row>
    <row r="982" spans="1:14" x14ac:dyDescent="0.25">
      <c r="A982" t="s">
        <v>1024</v>
      </c>
      <c r="B982" s="1">
        <v>45986</v>
      </c>
      <c r="C982">
        <f>IF(tbl_main[[#This Row],[Date]]="","",YEAR(B982))</f>
        <v>2025</v>
      </c>
      <c r="D982" t="str">
        <f>IF(tbl_main[[#This Row],[Date]]="","",TEXT(B982,"mmm"))</f>
        <v>Nov</v>
      </c>
      <c r="E982" t="str">
        <f>IF(tbl_main[[#This Row],[Date]]="","",TEXT(B982,"DDD"))</f>
        <v>Tue</v>
      </c>
      <c r="F982" t="s">
        <v>20</v>
      </c>
      <c r="G982" t="s">
        <v>29</v>
      </c>
      <c r="H982" s="3" t="s">
        <v>34</v>
      </c>
      <c r="I982" s="3" t="s">
        <v>16</v>
      </c>
      <c r="J982" s="3" t="s">
        <v>25</v>
      </c>
      <c r="K982" s="3">
        <f>_xlfn.XLOOKUP(tbl_main[[#This Row],[Service]],tbl_service[Service],tbl_service[Price],"")</f>
        <v>100</v>
      </c>
      <c r="L982" s="3">
        <v>1</v>
      </c>
      <c r="M982" s="3">
        <f>IF(AND(tbl_main[[#This Row],[Price]]="",tbl_main[[#This Row],[Qty]]=""),"",tbl_main[[#This Row],[Price]]*tbl_main[[#This Row],[Qty]])</f>
        <v>100</v>
      </c>
      <c r="N982" s="3">
        <f>_xlfn.LET(_xlpm.x,_xlfn.XLOOKUP(tbl_main[[#This Row],[Service]],tbl_service[Service],tbl_service[Profit],""),
               IF(tbl_main[[#This Row],[Qty]]="","",_xlpm.x*tbl_main[[#This Row],[Qty]]))</f>
        <v>45</v>
      </c>
    </row>
    <row r="983" spans="1:14" x14ac:dyDescent="0.25">
      <c r="A983" t="s">
        <v>1025</v>
      </c>
      <c r="B983" s="1">
        <v>45987</v>
      </c>
      <c r="C983">
        <f>IF(tbl_main[[#This Row],[Date]]="","",YEAR(B983))</f>
        <v>2025</v>
      </c>
      <c r="D983" t="str">
        <f>IF(tbl_main[[#This Row],[Date]]="","",TEXT(B983,"mmm"))</f>
        <v>Nov</v>
      </c>
      <c r="E983" t="str">
        <f>IF(tbl_main[[#This Row],[Date]]="","",TEXT(B983,"DDD"))</f>
        <v>Wed</v>
      </c>
      <c r="F983" t="s">
        <v>13</v>
      </c>
      <c r="G983" t="s">
        <v>14</v>
      </c>
      <c r="H983" s="3" t="s">
        <v>24</v>
      </c>
      <c r="I983" s="3" t="s">
        <v>19</v>
      </c>
      <c r="J983" s="3" t="s">
        <v>25</v>
      </c>
      <c r="K983" s="3">
        <f>_xlfn.XLOOKUP(tbl_main[[#This Row],[Service]],tbl_service[Service],tbl_service[Price],"")</f>
        <v>80</v>
      </c>
      <c r="L983" s="3">
        <v>2</v>
      </c>
      <c r="M983" s="3">
        <f>IF(AND(tbl_main[[#This Row],[Price]]="",tbl_main[[#This Row],[Qty]]=""),"",tbl_main[[#This Row],[Price]]*tbl_main[[#This Row],[Qty]])</f>
        <v>160</v>
      </c>
      <c r="N983" s="3">
        <f>_xlfn.LET(_xlpm.x,_xlfn.XLOOKUP(tbl_main[[#This Row],[Service]],tbl_service[Service],tbl_service[Profit],""),
               IF(tbl_main[[#This Row],[Qty]]="","",_xlpm.x*tbl_main[[#This Row],[Qty]]))</f>
        <v>72</v>
      </c>
    </row>
    <row r="984" spans="1:14" x14ac:dyDescent="0.25">
      <c r="A984" t="s">
        <v>1026</v>
      </c>
      <c r="B984" s="1">
        <v>45987</v>
      </c>
      <c r="C984">
        <f>IF(tbl_main[[#This Row],[Date]]="","",YEAR(B984))</f>
        <v>2025</v>
      </c>
      <c r="D984" t="str">
        <f>IF(tbl_main[[#This Row],[Date]]="","",TEXT(B984,"mmm"))</f>
        <v>Nov</v>
      </c>
      <c r="E984" t="str">
        <f>IF(tbl_main[[#This Row],[Date]]="","",TEXT(B984,"DDD"))</f>
        <v>Wed</v>
      </c>
      <c r="F984" t="s">
        <v>27</v>
      </c>
      <c r="G984" t="s">
        <v>40</v>
      </c>
      <c r="H984" s="3" t="s">
        <v>22</v>
      </c>
      <c r="I984" s="3" t="s">
        <v>43</v>
      </c>
      <c r="J984" s="3" t="s">
        <v>25</v>
      </c>
      <c r="K984" s="3">
        <f>_xlfn.XLOOKUP(tbl_main[[#This Row],[Service]],tbl_service[Service],tbl_service[Price],"")</f>
        <v>150</v>
      </c>
      <c r="L984" s="3">
        <v>1</v>
      </c>
      <c r="M984" s="3">
        <f>IF(AND(tbl_main[[#This Row],[Price]]="",tbl_main[[#This Row],[Qty]]=""),"",tbl_main[[#This Row],[Price]]*tbl_main[[#This Row],[Qty]])</f>
        <v>150</v>
      </c>
      <c r="N984" s="3">
        <f>_xlfn.LET(_xlpm.x,_xlfn.XLOOKUP(tbl_main[[#This Row],[Service]],tbl_service[Service],tbl_service[Profit],""),
               IF(tbl_main[[#This Row],[Qty]]="","",_xlpm.x*tbl_main[[#This Row],[Qty]]))</f>
        <v>67</v>
      </c>
    </row>
    <row r="985" spans="1:14" x14ac:dyDescent="0.25">
      <c r="A985" t="s">
        <v>1027</v>
      </c>
      <c r="B985" s="1">
        <v>45988</v>
      </c>
      <c r="C985">
        <f>IF(tbl_main[[#This Row],[Date]]="","",YEAR(B985))</f>
        <v>2025</v>
      </c>
      <c r="D985" t="str">
        <f>IF(tbl_main[[#This Row],[Date]]="","",TEXT(B985,"mmm"))</f>
        <v>Nov</v>
      </c>
      <c r="E985" t="str">
        <f>IF(tbl_main[[#This Row],[Date]]="","",TEXT(B985,"DDD"))</f>
        <v>Thu</v>
      </c>
      <c r="F985" t="s">
        <v>13</v>
      </c>
      <c r="G985" t="s">
        <v>14</v>
      </c>
      <c r="H985" s="3" t="s">
        <v>34</v>
      </c>
      <c r="I985" s="3" t="s">
        <v>41</v>
      </c>
      <c r="J985" s="3" t="s">
        <v>25</v>
      </c>
      <c r="K985" s="3">
        <f>_xlfn.XLOOKUP(tbl_main[[#This Row],[Service]],tbl_service[Service],tbl_service[Price],"")</f>
        <v>100</v>
      </c>
      <c r="L985" s="3">
        <v>2</v>
      </c>
      <c r="M985" s="3">
        <f>IF(AND(tbl_main[[#This Row],[Price]]="",tbl_main[[#This Row],[Qty]]=""),"",tbl_main[[#This Row],[Price]]*tbl_main[[#This Row],[Qty]])</f>
        <v>200</v>
      </c>
      <c r="N985" s="3">
        <f>_xlfn.LET(_xlpm.x,_xlfn.XLOOKUP(tbl_main[[#This Row],[Service]],tbl_service[Service],tbl_service[Profit],""),
               IF(tbl_main[[#This Row],[Qty]]="","",_xlpm.x*tbl_main[[#This Row],[Qty]]))</f>
        <v>90</v>
      </c>
    </row>
    <row r="986" spans="1:14" x14ac:dyDescent="0.25">
      <c r="A986" t="s">
        <v>1028</v>
      </c>
      <c r="B986" s="1">
        <v>45988</v>
      </c>
      <c r="C986">
        <f>IF(tbl_main[[#This Row],[Date]]="","",YEAR(B986))</f>
        <v>2025</v>
      </c>
      <c r="D986" t="str">
        <f>IF(tbl_main[[#This Row],[Date]]="","",TEXT(B986,"mmm"))</f>
        <v>Nov</v>
      </c>
      <c r="E986" t="str">
        <f>IF(tbl_main[[#This Row],[Date]]="","",TEXT(B986,"DDD"))</f>
        <v>Thu</v>
      </c>
      <c r="F986" t="s">
        <v>13</v>
      </c>
      <c r="G986" t="s">
        <v>14</v>
      </c>
      <c r="H986" s="3" t="s">
        <v>15</v>
      </c>
      <c r="I986" s="3" t="s">
        <v>41</v>
      </c>
      <c r="J986" s="3" t="s">
        <v>32</v>
      </c>
      <c r="K986" s="3">
        <f>_xlfn.XLOOKUP(tbl_main[[#This Row],[Service]],tbl_service[Service],tbl_service[Price],"")</f>
        <v>500</v>
      </c>
      <c r="L986" s="3">
        <v>1</v>
      </c>
      <c r="M986" s="3">
        <f>IF(AND(tbl_main[[#This Row],[Price]]="",tbl_main[[#This Row],[Qty]]=""),"",tbl_main[[#This Row],[Price]]*tbl_main[[#This Row],[Qty]])</f>
        <v>500</v>
      </c>
      <c r="N986" s="3">
        <f>_xlfn.LET(_xlpm.x,_xlfn.XLOOKUP(tbl_main[[#This Row],[Service]],tbl_service[Service],tbl_service[Profit],""),
               IF(tbl_main[[#This Row],[Qty]]="","",_xlpm.x*tbl_main[[#This Row],[Qty]]))</f>
        <v>225</v>
      </c>
    </row>
    <row r="987" spans="1:14" x14ac:dyDescent="0.25">
      <c r="A987" t="s">
        <v>1029</v>
      </c>
      <c r="B987" s="1">
        <v>45988</v>
      </c>
      <c r="C987">
        <f>IF(tbl_main[[#This Row],[Date]]="","",YEAR(B987))</f>
        <v>2025</v>
      </c>
      <c r="D987" t="str">
        <f>IF(tbl_main[[#This Row],[Date]]="","",TEXT(B987,"mmm"))</f>
        <v>Nov</v>
      </c>
      <c r="E987" t="str">
        <f>IF(tbl_main[[#This Row],[Date]]="","",TEXT(B987,"DDD"))</f>
        <v>Thu</v>
      </c>
      <c r="F987" t="s">
        <v>13</v>
      </c>
      <c r="G987" t="s">
        <v>14</v>
      </c>
      <c r="H987" s="3" t="s">
        <v>24</v>
      </c>
      <c r="I987" s="3" t="s">
        <v>35</v>
      </c>
      <c r="J987" s="3" t="s">
        <v>32</v>
      </c>
      <c r="K987" s="3">
        <f>_xlfn.XLOOKUP(tbl_main[[#This Row],[Service]],tbl_service[Service],tbl_service[Price],"")</f>
        <v>80</v>
      </c>
      <c r="L987" s="3">
        <v>1</v>
      </c>
      <c r="M987" s="3">
        <f>IF(AND(tbl_main[[#This Row],[Price]]="",tbl_main[[#This Row],[Qty]]=""),"",tbl_main[[#This Row],[Price]]*tbl_main[[#This Row],[Qty]])</f>
        <v>80</v>
      </c>
      <c r="N987" s="3">
        <f>_xlfn.LET(_xlpm.x,_xlfn.XLOOKUP(tbl_main[[#This Row],[Service]],tbl_service[Service],tbl_service[Profit],""),
               IF(tbl_main[[#This Row],[Qty]]="","",_xlpm.x*tbl_main[[#This Row],[Qty]]))</f>
        <v>36</v>
      </c>
    </row>
    <row r="988" spans="1:14" x14ac:dyDescent="0.25">
      <c r="A988" t="s">
        <v>1030</v>
      </c>
      <c r="B988" s="1">
        <v>45989</v>
      </c>
      <c r="C988">
        <f>IF(tbl_main[[#This Row],[Date]]="","",YEAR(B988))</f>
        <v>2025</v>
      </c>
      <c r="D988" t="str">
        <f>IF(tbl_main[[#This Row],[Date]]="","",TEXT(B988,"mmm"))</f>
        <v>Nov</v>
      </c>
      <c r="E988" t="str">
        <f>IF(tbl_main[[#This Row],[Date]]="","",TEXT(B988,"DDD"))</f>
        <v>Fri</v>
      </c>
      <c r="F988" t="s">
        <v>20</v>
      </c>
      <c r="G988" t="s">
        <v>29</v>
      </c>
      <c r="H988" s="3" t="s">
        <v>24</v>
      </c>
      <c r="I988" s="3" t="s">
        <v>35</v>
      </c>
      <c r="J988" s="3" t="s">
        <v>32</v>
      </c>
      <c r="K988" s="3">
        <f>_xlfn.XLOOKUP(tbl_main[[#This Row],[Service]],tbl_service[Service],tbl_service[Price],"")</f>
        <v>80</v>
      </c>
      <c r="L988" s="3">
        <v>2</v>
      </c>
      <c r="M988" s="3">
        <f>IF(AND(tbl_main[[#This Row],[Price]]="",tbl_main[[#This Row],[Qty]]=""),"",tbl_main[[#This Row],[Price]]*tbl_main[[#This Row],[Qty]])</f>
        <v>160</v>
      </c>
      <c r="N988" s="3">
        <f>_xlfn.LET(_xlpm.x,_xlfn.XLOOKUP(tbl_main[[#This Row],[Service]],tbl_service[Service],tbl_service[Profit],""),
               IF(tbl_main[[#This Row],[Qty]]="","",_xlpm.x*tbl_main[[#This Row],[Qty]]))</f>
        <v>72</v>
      </c>
    </row>
    <row r="989" spans="1:14" x14ac:dyDescent="0.25">
      <c r="A989" t="s">
        <v>1031</v>
      </c>
      <c r="B989" s="1">
        <v>45989</v>
      </c>
      <c r="C989">
        <f>IF(tbl_main[[#This Row],[Date]]="","",YEAR(B989))</f>
        <v>2025</v>
      </c>
      <c r="D989" t="str">
        <f>IF(tbl_main[[#This Row],[Date]]="","",TEXT(B989,"mmm"))</f>
        <v>Nov</v>
      </c>
      <c r="E989" t="str">
        <f>IF(tbl_main[[#This Row],[Date]]="","",TEXT(B989,"DDD"))</f>
        <v>Fri</v>
      </c>
      <c r="F989" t="s">
        <v>30</v>
      </c>
      <c r="G989" t="s">
        <v>36</v>
      </c>
      <c r="H989" s="3" t="s">
        <v>15</v>
      </c>
      <c r="I989" s="3" t="s">
        <v>23</v>
      </c>
      <c r="J989" s="3" t="s">
        <v>32</v>
      </c>
      <c r="K989" s="3">
        <f>_xlfn.XLOOKUP(tbl_main[[#This Row],[Service]],tbl_service[Service],tbl_service[Price],"")</f>
        <v>500</v>
      </c>
      <c r="L989" s="3">
        <v>1</v>
      </c>
      <c r="M989" s="3">
        <f>IF(AND(tbl_main[[#This Row],[Price]]="",tbl_main[[#This Row],[Qty]]=""),"",tbl_main[[#This Row],[Price]]*tbl_main[[#This Row],[Qty]])</f>
        <v>500</v>
      </c>
      <c r="N989" s="3">
        <f>_xlfn.LET(_xlpm.x,_xlfn.XLOOKUP(tbl_main[[#This Row],[Service]],tbl_service[Service],tbl_service[Profit],""),
               IF(tbl_main[[#This Row],[Qty]]="","",_xlpm.x*tbl_main[[#This Row],[Qty]]))</f>
        <v>225</v>
      </c>
    </row>
    <row r="990" spans="1:14" x14ac:dyDescent="0.25">
      <c r="A990" t="s">
        <v>1032</v>
      </c>
      <c r="B990" s="1">
        <v>45989</v>
      </c>
      <c r="C990">
        <f>IF(tbl_main[[#This Row],[Date]]="","",YEAR(B990))</f>
        <v>2025</v>
      </c>
      <c r="D990" t="str">
        <f>IF(tbl_main[[#This Row],[Date]]="","",TEXT(B990,"mmm"))</f>
        <v>Nov</v>
      </c>
      <c r="E990" t="str">
        <f>IF(tbl_main[[#This Row],[Date]]="","",TEXT(B990,"DDD"))</f>
        <v>Fri</v>
      </c>
      <c r="F990" t="s">
        <v>27</v>
      </c>
      <c r="G990" t="s">
        <v>40</v>
      </c>
      <c r="H990" s="3" t="s">
        <v>26</v>
      </c>
      <c r="I990" s="3" t="s">
        <v>37</v>
      </c>
      <c r="J990" s="3" t="s">
        <v>32</v>
      </c>
      <c r="K990" s="3">
        <f>_xlfn.XLOOKUP(tbl_main[[#This Row],[Service]],tbl_service[Service],tbl_service[Price],"")</f>
        <v>200</v>
      </c>
      <c r="L990" s="3">
        <v>2</v>
      </c>
      <c r="M990" s="3">
        <f>IF(AND(tbl_main[[#This Row],[Price]]="",tbl_main[[#This Row],[Qty]]=""),"",tbl_main[[#This Row],[Price]]*tbl_main[[#This Row],[Qty]])</f>
        <v>400</v>
      </c>
      <c r="N990" s="3">
        <f>_xlfn.LET(_xlpm.x,_xlfn.XLOOKUP(tbl_main[[#This Row],[Service]],tbl_service[Service],tbl_service[Profit],""),
               IF(tbl_main[[#This Row],[Qty]]="","",_xlpm.x*tbl_main[[#This Row],[Qty]]))</f>
        <v>180</v>
      </c>
    </row>
    <row r="991" spans="1:14" x14ac:dyDescent="0.25">
      <c r="A991" t="s">
        <v>1033</v>
      </c>
      <c r="B991" s="1">
        <v>45990</v>
      </c>
      <c r="C991">
        <f>IF(tbl_main[[#This Row],[Date]]="","",YEAR(B991))</f>
        <v>2025</v>
      </c>
      <c r="D991" t="str">
        <f>IF(tbl_main[[#This Row],[Date]]="","",TEXT(B991,"mmm"))</f>
        <v>Nov</v>
      </c>
      <c r="E991" t="str">
        <f>IF(tbl_main[[#This Row],[Date]]="","",TEXT(B991,"DDD"))</f>
        <v>Sat</v>
      </c>
      <c r="F991" t="s">
        <v>20</v>
      </c>
      <c r="G991" t="s">
        <v>21</v>
      </c>
      <c r="H991" s="3" t="s">
        <v>26</v>
      </c>
      <c r="I991" s="3" t="s">
        <v>38</v>
      </c>
      <c r="J991" s="3" t="s">
        <v>25</v>
      </c>
      <c r="K991" s="3">
        <f>_xlfn.XLOOKUP(tbl_main[[#This Row],[Service]],tbl_service[Service],tbl_service[Price],"")</f>
        <v>200</v>
      </c>
      <c r="L991" s="3">
        <v>2</v>
      </c>
      <c r="M991" s="3">
        <f>IF(AND(tbl_main[[#This Row],[Price]]="",tbl_main[[#This Row],[Qty]]=""),"",tbl_main[[#This Row],[Price]]*tbl_main[[#This Row],[Qty]])</f>
        <v>400</v>
      </c>
      <c r="N991" s="3">
        <f>_xlfn.LET(_xlpm.x,_xlfn.XLOOKUP(tbl_main[[#This Row],[Service]],tbl_service[Service],tbl_service[Profit],""),
               IF(tbl_main[[#This Row],[Qty]]="","",_xlpm.x*tbl_main[[#This Row],[Qty]]))</f>
        <v>180</v>
      </c>
    </row>
    <row r="992" spans="1:14" x14ac:dyDescent="0.25">
      <c r="A992" t="s">
        <v>1034</v>
      </c>
      <c r="B992" s="1">
        <v>45990</v>
      </c>
      <c r="C992">
        <f>IF(tbl_main[[#This Row],[Date]]="","",YEAR(B992))</f>
        <v>2025</v>
      </c>
      <c r="D992" t="str">
        <f>IF(tbl_main[[#This Row],[Date]]="","",TEXT(B992,"mmm"))</f>
        <v>Nov</v>
      </c>
      <c r="E992" t="str">
        <f>IF(tbl_main[[#This Row],[Date]]="","",TEXT(B992,"DDD"))</f>
        <v>Sat</v>
      </c>
      <c r="F992" t="s">
        <v>13</v>
      </c>
      <c r="G992" t="s">
        <v>14</v>
      </c>
      <c r="H992" s="3" t="s">
        <v>24</v>
      </c>
      <c r="I992" s="3" t="s">
        <v>16</v>
      </c>
      <c r="J992" s="3" t="s">
        <v>17</v>
      </c>
      <c r="K992" s="3">
        <f>_xlfn.XLOOKUP(tbl_main[[#This Row],[Service]],tbl_service[Service],tbl_service[Price],"")</f>
        <v>80</v>
      </c>
      <c r="L992" s="3">
        <v>1</v>
      </c>
      <c r="M992" s="3">
        <f>IF(AND(tbl_main[[#This Row],[Price]]="",tbl_main[[#This Row],[Qty]]=""),"",tbl_main[[#This Row],[Price]]*tbl_main[[#This Row],[Qty]])</f>
        <v>80</v>
      </c>
      <c r="N992" s="3">
        <f>_xlfn.LET(_xlpm.x,_xlfn.XLOOKUP(tbl_main[[#This Row],[Service]],tbl_service[Service],tbl_service[Profit],""),
               IF(tbl_main[[#This Row],[Qty]]="","",_xlpm.x*tbl_main[[#This Row],[Qty]]))</f>
        <v>36</v>
      </c>
    </row>
    <row r="993" spans="1:14" x14ac:dyDescent="0.25">
      <c r="A993" t="s">
        <v>1035</v>
      </c>
      <c r="B993" s="1">
        <v>45991</v>
      </c>
      <c r="C993">
        <f>IF(tbl_main[[#This Row],[Date]]="","",YEAR(B993))</f>
        <v>2025</v>
      </c>
      <c r="D993" t="str">
        <f>IF(tbl_main[[#This Row],[Date]]="","",TEXT(B993,"mmm"))</f>
        <v>Nov</v>
      </c>
      <c r="E993" t="str">
        <f>IF(tbl_main[[#This Row],[Date]]="","",TEXT(B993,"DDD"))</f>
        <v>Sun</v>
      </c>
      <c r="F993" t="s">
        <v>30</v>
      </c>
      <c r="G993" t="s">
        <v>36</v>
      </c>
      <c r="H993" s="3" t="s">
        <v>24</v>
      </c>
      <c r="I993" s="3" t="s">
        <v>19</v>
      </c>
      <c r="J993" s="3" t="s">
        <v>17</v>
      </c>
      <c r="K993" s="3">
        <f>_xlfn.XLOOKUP(tbl_main[[#This Row],[Service]],tbl_service[Service],tbl_service[Price],"")</f>
        <v>80</v>
      </c>
      <c r="L993" s="3">
        <v>1</v>
      </c>
      <c r="M993" s="3">
        <f>IF(AND(tbl_main[[#This Row],[Price]]="",tbl_main[[#This Row],[Qty]]=""),"",tbl_main[[#This Row],[Price]]*tbl_main[[#This Row],[Qty]])</f>
        <v>80</v>
      </c>
      <c r="N993" s="3">
        <f>_xlfn.LET(_xlpm.x,_xlfn.XLOOKUP(tbl_main[[#This Row],[Service]],tbl_service[Service],tbl_service[Profit],""),
               IF(tbl_main[[#This Row],[Qty]]="","",_xlpm.x*tbl_main[[#This Row],[Qty]]))</f>
        <v>36</v>
      </c>
    </row>
    <row r="994" spans="1:14" x14ac:dyDescent="0.25">
      <c r="A994" t="s">
        <v>1036</v>
      </c>
      <c r="B994" s="1">
        <v>45991</v>
      </c>
      <c r="C994">
        <f>IF(tbl_main[[#This Row],[Date]]="","",YEAR(B994))</f>
        <v>2025</v>
      </c>
      <c r="D994" t="str">
        <f>IF(tbl_main[[#This Row],[Date]]="","",TEXT(B994,"mmm"))</f>
        <v>Nov</v>
      </c>
      <c r="E994" t="str">
        <f>IF(tbl_main[[#This Row],[Date]]="","",TEXT(B994,"DDD"))</f>
        <v>Sun</v>
      </c>
      <c r="F994" t="s">
        <v>20</v>
      </c>
      <c r="G994" t="s">
        <v>21</v>
      </c>
      <c r="H994" s="3" t="s">
        <v>24</v>
      </c>
      <c r="I994" s="3" t="s">
        <v>43</v>
      </c>
      <c r="J994" s="3" t="s">
        <v>25</v>
      </c>
      <c r="K994" s="3">
        <f>_xlfn.XLOOKUP(tbl_main[[#This Row],[Service]],tbl_service[Service],tbl_service[Price],"")</f>
        <v>80</v>
      </c>
      <c r="L994" s="3">
        <v>2</v>
      </c>
      <c r="M994" s="3">
        <f>IF(AND(tbl_main[[#This Row],[Price]]="",tbl_main[[#This Row],[Qty]]=""),"",tbl_main[[#This Row],[Price]]*tbl_main[[#This Row],[Qty]])</f>
        <v>160</v>
      </c>
      <c r="N994" s="3">
        <f>_xlfn.LET(_xlpm.x,_xlfn.XLOOKUP(tbl_main[[#This Row],[Service]],tbl_service[Service],tbl_service[Profit],""),
               IF(tbl_main[[#This Row],[Qty]]="","",_xlpm.x*tbl_main[[#This Row],[Qty]]))</f>
        <v>72</v>
      </c>
    </row>
    <row r="995" spans="1:14" x14ac:dyDescent="0.25">
      <c r="A995" t="s">
        <v>1037</v>
      </c>
      <c r="B995" s="1">
        <v>45991</v>
      </c>
      <c r="C995">
        <f>IF(tbl_main[[#This Row],[Date]]="","",YEAR(B995))</f>
        <v>2025</v>
      </c>
      <c r="D995" t="str">
        <f>IF(tbl_main[[#This Row],[Date]]="","",TEXT(B995,"mmm"))</f>
        <v>Nov</v>
      </c>
      <c r="E995" t="str">
        <f>IF(tbl_main[[#This Row],[Date]]="","",TEXT(B995,"DDD"))</f>
        <v>Sun</v>
      </c>
      <c r="F995" t="s">
        <v>27</v>
      </c>
      <c r="G995" t="s">
        <v>28</v>
      </c>
      <c r="H995" s="3" t="s">
        <v>15</v>
      </c>
      <c r="I995" s="3" t="s">
        <v>41</v>
      </c>
      <c r="J995" s="3" t="s">
        <v>25</v>
      </c>
      <c r="K995" s="3">
        <f>_xlfn.XLOOKUP(tbl_main[[#This Row],[Service]],tbl_service[Service],tbl_service[Price],"")</f>
        <v>500</v>
      </c>
      <c r="L995" s="3">
        <v>2</v>
      </c>
      <c r="M995" s="3">
        <f>IF(AND(tbl_main[[#This Row],[Price]]="",tbl_main[[#This Row],[Qty]]=""),"",tbl_main[[#This Row],[Price]]*tbl_main[[#This Row],[Qty]])</f>
        <v>1000</v>
      </c>
      <c r="N995" s="3">
        <f>_xlfn.LET(_xlpm.x,_xlfn.XLOOKUP(tbl_main[[#This Row],[Service]],tbl_service[Service],tbl_service[Profit],""),
               IF(tbl_main[[#This Row],[Qty]]="","",_xlpm.x*tbl_main[[#This Row],[Qty]]))</f>
        <v>450</v>
      </c>
    </row>
    <row r="996" spans="1:14" x14ac:dyDescent="0.25">
      <c r="A996" t="s">
        <v>1038</v>
      </c>
      <c r="B996" s="1">
        <v>45992</v>
      </c>
      <c r="C996">
        <f>IF(tbl_main[[#This Row],[Date]]="","",YEAR(B996))</f>
        <v>2025</v>
      </c>
      <c r="D996" t="str">
        <f>IF(tbl_main[[#This Row],[Date]]="","",TEXT(B996,"mmm"))</f>
        <v>Dec</v>
      </c>
      <c r="E996" t="str">
        <f>IF(tbl_main[[#This Row],[Date]]="","",TEXT(B996,"DDD"))</f>
        <v>Mon</v>
      </c>
      <c r="F996" t="s">
        <v>27</v>
      </c>
      <c r="G996" t="s">
        <v>40</v>
      </c>
      <c r="H996" s="3" t="s">
        <v>24</v>
      </c>
      <c r="I996" s="3" t="s">
        <v>41</v>
      </c>
      <c r="J996" s="3" t="s">
        <v>25</v>
      </c>
      <c r="K996" s="3">
        <f>_xlfn.XLOOKUP(tbl_main[[#This Row],[Service]],tbl_service[Service],tbl_service[Price],"")</f>
        <v>80</v>
      </c>
      <c r="L996" s="3">
        <v>1</v>
      </c>
      <c r="M996" s="3">
        <f>IF(AND(tbl_main[[#This Row],[Price]]="",tbl_main[[#This Row],[Qty]]=""),"",tbl_main[[#This Row],[Price]]*tbl_main[[#This Row],[Qty]])</f>
        <v>80</v>
      </c>
      <c r="N996" s="3">
        <f>_xlfn.LET(_xlpm.x,_xlfn.XLOOKUP(tbl_main[[#This Row],[Service]],tbl_service[Service],tbl_service[Profit],""),
               IF(tbl_main[[#This Row],[Qty]]="","",_xlpm.x*tbl_main[[#This Row],[Qty]]))</f>
        <v>36</v>
      </c>
    </row>
    <row r="997" spans="1:14" x14ac:dyDescent="0.25">
      <c r="A997" t="s">
        <v>1039</v>
      </c>
      <c r="B997" s="1">
        <v>45992</v>
      </c>
      <c r="C997">
        <f>IF(tbl_main[[#This Row],[Date]]="","",YEAR(B997))</f>
        <v>2025</v>
      </c>
      <c r="D997" t="str">
        <f>IF(tbl_main[[#This Row],[Date]]="","",TEXT(B997,"mmm"))</f>
        <v>Dec</v>
      </c>
      <c r="E997" t="str">
        <f>IF(tbl_main[[#This Row],[Date]]="","",TEXT(B997,"DDD"))</f>
        <v>Mon</v>
      </c>
      <c r="F997" t="s">
        <v>30</v>
      </c>
      <c r="G997" t="s">
        <v>31</v>
      </c>
      <c r="H997" s="3" t="s">
        <v>18</v>
      </c>
      <c r="I997" s="3" t="s">
        <v>35</v>
      </c>
      <c r="J997" s="3" t="s">
        <v>17</v>
      </c>
      <c r="K997" s="3">
        <f>_xlfn.XLOOKUP(tbl_main[[#This Row],[Service]],tbl_service[Service],tbl_service[Price],"")</f>
        <v>500</v>
      </c>
      <c r="L997" s="3">
        <v>1</v>
      </c>
      <c r="M997" s="3">
        <f>IF(AND(tbl_main[[#This Row],[Price]]="",tbl_main[[#This Row],[Qty]]=""),"",tbl_main[[#This Row],[Price]]*tbl_main[[#This Row],[Qty]])</f>
        <v>500</v>
      </c>
      <c r="N997" s="3">
        <f>_xlfn.LET(_xlpm.x,_xlfn.XLOOKUP(tbl_main[[#This Row],[Service]],tbl_service[Service],tbl_service[Profit],""),
               IF(tbl_main[[#This Row],[Qty]]="","",_xlpm.x*tbl_main[[#This Row],[Qty]]))</f>
        <v>157</v>
      </c>
    </row>
    <row r="998" spans="1:14" x14ac:dyDescent="0.25">
      <c r="A998" t="s">
        <v>1040</v>
      </c>
      <c r="B998" s="1">
        <v>45993</v>
      </c>
      <c r="C998">
        <f>IF(tbl_main[[#This Row],[Date]]="","",YEAR(B998))</f>
        <v>2025</v>
      </c>
      <c r="D998" t="str">
        <f>IF(tbl_main[[#This Row],[Date]]="","",TEXT(B998,"mmm"))</f>
        <v>Dec</v>
      </c>
      <c r="E998" t="str">
        <f>IF(tbl_main[[#This Row],[Date]]="","",TEXT(B998,"DDD"))</f>
        <v>Tue</v>
      </c>
      <c r="F998" t="s">
        <v>30</v>
      </c>
      <c r="G998" t="s">
        <v>31</v>
      </c>
      <c r="H998" s="3" t="s">
        <v>34</v>
      </c>
      <c r="I998" s="3" t="s">
        <v>35</v>
      </c>
      <c r="J998" s="3" t="s">
        <v>32</v>
      </c>
      <c r="K998" s="3">
        <f>_xlfn.XLOOKUP(tbl_main[[#This Row],[Service]],tbl_service[Service],tbl_service[Price],"")</f>
        <v>100</v>
      </c>
      <c r="L998" s="3">
        <v>2</v>
      </c>
      <c r="M998" s="3">
        <f>IF(AND(tbl_main[[#This Row],[Price]]="",tbl_main[[#This Row],[Qty]]=""),"",tbl_main[[#This Row],[Price]]*tbl_main[[#This Row],[Qty]])</f>
        <v>200</v>
      </c>
      <c r="N998" s="3">
        <f>_xlfn.LET(_xlpm.x,_xlfn.XLOOKUP(tbl_main[[#This Row],[Service]],tbl_service[Service],tbl_service[Profit],""),
               IF(tbl_main[[#This Row],[Qty]]="","",_xlpm.x*tbl_main[[#This Row],[Qty]]))</f>
        <v>90</v>
      </c>
    </row>
    <row r="999" spans="1:14" x14ac:dyDescent="0.25">
      <c r="A999" t="s">
        <v>1041</v>
      </c>
      <c r="B999" s="1">
        <v>45993</v>
      </c>
      <c r="C999">
        <f>IF(tbl_main[[#This Row],[Date]]="","",YEAR(B999))</f>
        <v>2025</v>
      </c>
      <c r="D999" t="str">
        <f>IF(tbl_main[[#This Row],[Date]]="","",TEXT(B999,"mmm"))</f>
        <v>Dec</v>
      </c>
      <c r="E999" t="str">
        <f>IF(tbl_main[[#This Row],[Date]]="","",TEXT(B999,"DDD"))</f>
        <v>Tue</v>
      </c>
      <c r="F999" t="s">
        <v>30</v>
      </c>
      <c r="G999" t="s">
        <v>36</v>
      </c>
      <c r="H999" s="3" t="s">
        <v>34</v>
      </c>
      <c r="I999" s="3" t="s">
        <v>23</v>
      </c>
      <c r="J999" s="3" t="s">
        <v>25</v>
      </c>
      <c r="K999" s="3">
        <f>_xlfn.XLOOKUP(tbl_main[[#This Row],[Service]],tbl_service[Service],tbl_service[Price],"")</f>
        <v>100</v>
      </c>
      <c r="L999" s="3">
        <v>1</v>
      </c>
      <c r="M999" s="3">
        <f>IF(AND(tbl_main[[#This Row],[Price]]="",tbl_main[[#This Row],[Qty]]=""),"",tbl_main[[#This Row],[Price]]*tbl_main[[#This Row],[Qty]])</f>
        <v>100</v>
      </c>
      <c r="N999" s="3">
        <f>_xlfn.LET(_xlpm.x,_xlfn.XLOOKUP(tbl_main[[#This Row],[Service]],tbl_service[Service],tbl_service[Profit],""),
               IF(tbl_main[[#This Row],[Qty]]="","",_xlpm.x*tbl_main[[#This Row],[Qty]]))</f>
        <v>45</v>
      </c>
    </row>
    <row r="1000" spans="1:14" x14ac:dyDescent="0.25">
      <c r="A1000" t="s">
        <v>1042</v>
      </c>
      <c r="B1000" s="1">
        <v>45993</v>
      </c>
      <c r="C1000">
        <f>IF(tbl_main[[#This Row],[Date]]="","",YEAR(B1000))</f>
        <v>2025</v>
      </c>
      <c r="D1000" t="str">
        <f>IF(tbl_main[[#This Row],[Date]]="","",TEXT(B1000,"mmm"))</f>
        <v>Dec</v>
      </c>
      <c r="E1000" t="str">
        <f>IF(tbl_main[[#This Row],[Date]]="","",TEXT(B1000,"DDD"))</f>
        <v>Tue</v>
      </c>
      <c r="F1000" t="s">
        <v>20</v>
      </c>
      <c r="G1000" t="s">
        <v>39</v>
      </c>
      <c r="H1000" s="3" t="s">
        <v>26</v>
      </c>
      <c r="I1000" s="3" t="s">
        <v>37</v>
      </c>
      <c r="J1000" s="3" t="s">
        <v>17</v>
      </c>
      <c r="K1000" s="3">
        <f>_xlfn.XLOOKUP(tbl_main[[#This Row],[Service]],tbl_service[Service],tbl_service[Price],"")</f>
        <v>200</v>
      </c>
      <c r="L1000" s="3">
        <v>1</v>
      </c>
      <c r="M1000" s="3">
        <f>IF(AND(tbl_main[[#This Row],[Price]]="",tbl_main[[#This Row],[Qty]]=""),"",tbl_main[[#This Row],[Price]]*tbl_main[[#This Row],[Qty]])</f>
        <v>200</v>
      </c>
      <c r="N1000" s="3">
        <f>_xlfn.LET(_xlpm.x,_xlfn.XLOOKUP(tbl_main[[#This Row],[Service]],tbl_service[Service],tbl_service[Profit],""),
               IF(tbl_main[[#This Row],[Qty]]="","",_xlpm.x*tbl_main[[#This Row],[Qty]]))</f>
        <v>90</v>
      </c>
    </row>
    <row r="1001" spans="1:14" x14ac:dyDescent="0.25">
      <c r="A1001" t="s">
        <v>1043</v>
      </c>
      <c r="B1001" s="1">
        <v>45994</v>
      </c>
      <c r="C1001">
        <f>IF(tbl_main[[#This Row],[Date]]="","",YEAR(B1001))</f>
        <v>2025</v>
      </c>
      <c r="D1001" t="str">
        <f>IF(tbl_main[[#This Row],[Date]]="","",TEXT(B1001,"mmm"))</f>
        <v>Dec</v>
      </c>
      <c r="E1001" t="str">
        <f>IF(tbl_main[[#This Row],[Date]]="","",TEXT(B1001,"DDD"))</f>
        <v>Wed</v>
      </c>
      <c r="F1001" t="s">
        <v>30</v>
      </c>
      <c r="G1001" t="s">
        <v>36</v>
      </c>
      <c r="H1001" s="3" t="s">
        <v>26</v>
      </c>
      <c r="I1001" s="3" t="s">
        <v>38</v>
      </c>
      <c r="J1001" s="3" t="s">
        <v>25</v>
      </c>
      <c r="K1001" s="3">
        <f>_xlfn.XLOOKUP(tbl_main[[#This Row],[Service]],tbl_service[Service],tbl_service[Price],"")</f>
        <v>200</v>
      </c>
      <c r="L1001" s="3">
        <v>1</v>
      </c>
      <c r="M1001" s="3">
        <f>IF(AND(tbl_main[[#This Row],[Price]]="",tbl_main[[#This Row],[Qty]]=""),"",tbl_main[[#This Row],[Price]]*tbl_main[[#This Row],[Qty]])</f>
        <v>200</v>
      </c>
      <c r="N1001" s="3">
        <f>_xlfn.LET(_xlpm.x,_xlfn.XLOOKUP(tbl_main[[#This Row],[Service]],tbl_service[Service],tbl_service[Profit],""),
               IF(tbl_main[[#This Row],[Qty]]="","",_xlpm.x*tbl_main[[#This Row],[Qty]]))</f>
        <v>90</v>
      </c>
    </row>
    <row r="1002" spans="1:14" x14ac:dyDescent="0.25">
      <c r="A1002" t="s">
        <v>1044</v>
      </c>
      <c r="B1002" s="1">
        <v>45994</v>
      </c>
      <c r="C1002">
        <f>IF(tbl_main[[#This Row],[Date]]="","",YEAR(B1002))</f>
        <v>2025</v>
      </c>
      <c r="D1002" t="str">
        <f>IF(tbl_main[[#This Row],[Date]]="","",TEXT(B1002,"mmm"))</f>
        <v>Dec</v>
      </c>
      <c r="E1002" t="str">
        <f>IF(tbl_main[[#This Row],[Date]]="","",TEXT(B1002,"DDD"))</f>
        <v>Wed</v>
      </c>
      <c r="F1002" t="s">
        <v>30</v>
      </c>
      <c r="G1002" t="s">
        <v>36</v>
      </c>
      <c r="H1002" s="3" t="s">
        <v>24</v>
      </c>
      <c r="I1002" s="3" t="s">
        <v>16</v>
      </c>
      <c r="J1002" s="3" t="s">
        <v>17</v>
      </c>
      <c r="K1002" s="3">
        <f>_xlfn.XLOOKUP(tbl_main[[#This Row],[Service]],tbl_service[Service],tbl_service[Price],"")</f>
        <v>80</v>
      </c>
      <c r="L1002" s="3">
        <v>1</v>
      </c>
      <c r="M1002" s="3">
        <f>IF(AND(tbl_main[[#This Row],[Price]]="",tbl_main[[#This Row],[Qty]]=""),"",tbl_main[[#This Row],[Price]]*tbl_main[[#This Row],[Qty]])</f>
        <v>80</v>
      </c>
      <c r="N1002" s="3">
        <f>_xlfn.LET(_xlpm.x,_xlfn.XLOOKUP(tbl_main[[#This Row],[Service]],tbl_service[Service],tbl_service[Profit],""),
               IF(tbl_main[[#This Row],[Qty]]="","",_xlpm.x*tbl_main[[#This Row],[Qty]]))</f>
        <v>36</v>
      </c>
    </row>
    <row r="1003" spans="1:14" x14ac:dyDescent="0.25">
      <c r="A1003" t="s">
        <v>1045</v>
      </c>
      <c r="B1003" s="1">
        <v>45994</v>
      </c>
      <c r="C1003">
        <f>IF(tbl_main[[#This Row],[Date]]="","",YEAR(B1003))</f>
        <v>2025</v>
      </c>
      <c r="D1003" t="str">
        <f>IF(tbl_main[[#This Row],[Date]]="","",TEXT(B1003,"mmm"))</f>
        <v>Dec</v>
      </c>
      <c r="E1003" t="str">
        <f>IF(tbl_main[[#This Row],[Date]]="","",TEXT(B1003,"DDD"))</f>
        <v>Wed</v>
      </c>
      <c r="F1003" t="s">
        <v>30</v>
      </c>
      <c r="G1003" t="s">
        <v>36</v>
      </c>
      <c r="H1003" s="3" t="s">
        <v>15</v>
      </c>
      <c r="I1003" s="3" t="s">
        <v>19</v>
      </c>
      <c r="J1003" s="3" t="s">
        <v>32</v>
      </c>
      <c r="K1003" s="3">
        <f>_xlfn.XLOOKUP(tbl_main[[#This Row],[Service]],tbl_service[Service],tbl_service[Price],"")</f>
        <v>500</v>
      </c>
      <c r="L1003" s="3">
        <v>2</v>
      </c>
      <c r="M1003" s="3">
        <f>IF(AND(tbl_main[[#This Row],[Price]]="",tbl_main[[#This Row],[Qty]]=""),"",tbl_main[[#This Row],[Price]]*tbl_main[[#This Row],[Qty]])</f>
        <v>1000</v>
      </c>
      <c r="N1003" s="3">
        <f>_xlfn.LET(_xlpm.x,_xlfn.XLOOKUP(tbl_main[[#This Row],[Service]],tbl_service[Service],tbl_service[Profit],""),
               IF(tbl_main[[#This Row],[Qty]]="","",_xlpm.x*tbl_main[[#This Row],[Qty]]))</f>
        <v>450</v>
      </c>
    </row>
    <row r="1004" spans="1:14" x14ac:dyDescent="0.25">
      <c r="A1004" t="s">
        <v>1046</v>
      </c>
      <c r="B1004" s="1">
        <v>45995</v>
      </c>
      <c r="C1004">
        <f>IF(tbl_main[[#This Row],[Date]]="","",YEAR(B1004))</f>
        <v>2025</v>
      </c>
      <c r="D1004" t="str">
        <f>IF(tbl_main[[#This Row],[Date]]="","",TEXT(B1004,"mmm"))</f>
        <v>Dec</v>
      </c>
      <c r="E1004" t="str">
        <f>IF(tbl_main[[#This Row],[Date]]="","",TEXT(B1004,"DDD"))</f>
        <v>Thu</v>
      </c>
      <c r="F1004" t="s">
        <v>27</v>
      </c>
      <c r="G1004" t="s">
        <v>40</v>
      </c>
      <c r="H1004" s="3" t="s">
        <v>18</v>
      </c>
      <c r="I1004" s="3" t="s">
        <v>43</v>
      </c>
      <c r="J1004" s="3" t="s">
        <v>25</v>
      </c>
      <c r="K1004" s="3">
        <f>_xlfn.XLOOKUP(tbl_main[[#This Row],[Service]],tbl_service[Service],tbl_service[Price],"")</f>
        <v>500</v>
      </c>
      <c r="L1004" s="3">
        <v>1</v>
      </c>
      <c r="M1004" s="3">
        <f>IF(AND(tbl_main[[#This Row],[Price]]="",tbl_main[[#This Row],[Qty]]=""),"",tbl_main[[#This Row],[Price]]*tbl_main[[#This Row],[Qty]])</f>
        <v>500</v>
      </c>
      <c r="N1004" s="3">
        <f>_xlfn.LET(_xlpm.x,_xlfn.XLOOKUP(tbl_main[[#This Row],[Service]],tbl_service[Service],tbl_service[Profit],""),
               IF(tbl_main[[#This Row],[Qty]]="","",_xlpm.x*tbl_main[[#This Row],[Qty]]))</f>
        <v>157</v>
      </c>
    </row>
    <row r="1005" spans="1:14" x14ac:dyDescent="0.25">
      <c r="A1005" t="s">
        <v>1047</v>
      </c>
      <c r="B1005" s="1">
        <v>45995</v>
      </c>
      <c r="C1005">
        <f>IF(tbl_main[[#This Row],[Date]]="","",YEAR(B1005))</f>
        <v>2025</v>
      </c>
      <c r="D1005" t="str">
        <f>IF(tbl_main[[#This Row],[Date]]="","",TEXT(B1005,"mmm"))</f>
        <v>Dec</v>
      </c>
      <c r="E1005" t="str">
        <f>IF(tbl_main[[#This Row],[Date]]="","",TEXT(B1005,"DDD"))</f>
        <v>Thu</v>
      </c>
      <c r="F1005" t="s">
        <v>20</v>
      </c>
      <c r="G1005" t="s">
        <v>39</v>
      </c>
      <c r="H1005" s="3" t="s">
        <v>22</v>
      </c>
      <c r="I1005" s="3" t="s">
        <v>41</v>
      </c>
      <c r="J1005" s="3" t="s">
        <v>17</v>
      </c>
      <c r="K1005" s="3">
        <f>_xlfn.XLOOKUP(tbl_main[[#This Row],[Service]],tbl_service[Service],tbl_service[Price],"")</f>
        <v>150</v>
      </c>
      <c r="L1005" s="3">
        <v>2</v>
      </c>
      <c r="M1005" s="3">
        <f>IF(AND(tbl_main[[#This Row],[Price]]="",tbl_main[[#This Row],[Qty]]=""),"",tbl_main[[#This Row],[Price]]*tbl_main[[#This Row],[Qty]])</f>
        <v>300</v>
      </c>
      <c r="N1005" s="3">
        <f>_xlfn.LET(_xlpm.x,_xlfn.XLOOKUP(tbl_main[[#This Row],[Service]],tbl_service[Service],tbl_service[Profit],""),
               IF(tbl_main[[#This Row],[Qty]]="","",_xlpm.x*tbl_main[[#This Row],[Qty]]))</f>
        <v>134</v>
      </c>
    </row>
    <row r="1006" spans="1:14" x14ac:dyDescent="0.25">
      <c r="A1006" t="s">
        <v>1048</v>
      </c>
      <c r="B1006" s="1">
        <v>45995</v>
      </c>
      <c r="C1006">
        <f>IF(tbl_main[[#This Row],[Date]]="","",YEAR(B1006))</f>
        <v>2025</v>
      </c>
      <c r="D1006" t="str">
        <f>IF(tbl_main[[#This Row],[Date]]="","",TEXT(B1006,"mmm"))</f>
        <v>Dec</v>
      </c>
      <c r="E1006" t="str">
        <f>IF(tbl_main[[#This Row],[Date]]="","",TEXT(B1006,"DDD"))</f>
        <v>Thu</v>
      </c>
      <c r="F1006" t="s">
        <v>30</v>
      </c>
      <c r="G1006" t="s">
        <v>31</v>
      </c>
      <c r="H1006" s="3" t="s">
        <v>22</v>
      </c>
      <c r="I1006" s="3" t="s">
        <v>41</v>
      </c>
      <c r="J1006" s="3" t="s">
        <v>32</v>
      </c>
      <c r="K1006" s="3">
        <f>_xlfn.XLOOKUP(tbl_main[[#This Row],[Service]],tbl_service[Service],tbl_service[Price],"")</f>
        <v>150</v>
      </c>
      <c r="L1006" s="3">
        <v>2</v>
      </c>
      <c r="M1006" s="3">
        <f>IF(AND(tbl_main[[#This Row],[Price]]="",tbl_main[[#This Row],[Qty]]=""),"",tbl_main[[#This Row],[Price]]*tbl_main[[#This Row],[Qty]])</f>
        <v>300</v>
      </c>
      <c r="N1006" s="3">
        <f>_xlfn.LET(_xlpm.x,_xlfn.XLOOKUP(tbl_main[[#This Row],[Service]],tbl_service[Service],tbl_service[Profit],""),
               IF(tbl_main[[#This Row],[Qty]]="","",_xlpm.x*tbl_main[[#This Row],[Qty]]))</f>
        <v>134</v>
      </c>
    </row>
    <row r="1007" spans="1:14" x14ac:dyDescent="0.25">
      <c r="A1007" t="s">
        <v>1049</v>
      </c>
      <c r="B1007" s="1">
        <v>45996</v>
      </c>
      <c r="C1007">
        <f>IF(tbl_main[[#This Row],[Date]]="","",YEAR(B1007))</f>
        <v>2025</v>
      </c>
      <c r="D1007" t="str">
        <f>IF(tbl_main[[#This Row],[Date]]="","",TEXT(B1007,"mmm"))</f>
        <v>Dec</v>
      </c>
      <c r="E1007" t="str">
        <f>IF(tbl_main[[#This Row],[Date]]="","",TEXT(B1007,"DDD"))</f>
        <v>Fri</v>
      </c>
      <c r="F1007" t="s">
        <v>13</v>
      </c>
      <c r="G1007" t="s">
        <v>14</v>
      </c>
      <c r="H1007" s="3" t="s">
        <v>22</v>
      </c>
      <c r="I1007" s="3" t="s">
        <v>35</v>
      </c>
      <c r="J1007" s="3" t="s">
        <v>32</v>
      </c>
      <c r="K1007" s="3">
        <f>_xlfn.XLOOKUP(tbl_main[[#This Row],[Service]],tbl_service[Service],tbl_service[Price],"")</f>
        <v>150</v>
      </c>
      <c r="L1007" s="3">
        <v>1</v>
      </c>
      <c r="M1007" s="3">
        <f>IF(AND(tbl_main[[#This Row],[Price]]="",tbl_main[[#This Row],[Qty]]=""),"",tbl_main[[#This Row],[Price]]*tbl_main[[#This Row],[Qty]])</f>
        <v>150</v>
      </c>
      <c r="N1007" s="3">
        <f>_xlfn.LET(_xlpm.x,_xlfn.XLOOKUP(tbl_main[[#This Row],[Service]],tbl_service[Service],tbl_service[Profit],""),
               IF(tbl_main[[#This Row],[Qty]]="","",_xlpm.x*tbl_main[[#This Row],[Qty]]))</f>
        <v>67</v>
      </c>
    </row>
    <row r="1008" spans="1:14" x14ac:dyDescent="0.25">
      <c r="A1008" t="s">
        <v>1050</v>
      </c>
      <c r="B1008" s="1">
        <v>45996</v>
      </c>
      <c r="C1008">
        <f>IF(tbl_main[[#This Row],[Date]]="","",YEAR(B1008))</f>
        <v>2025</v>
      </c>
      <c r="D1008" t="str">
        <f>IF(tbl_main[[#This Row],[Date]]="","",TEXT(B1008,"mmm"))</f>
        <v>Dec</v>
      </c>
      <c r="E1008" t="str">
        <f>IF(tbl_main[[#This Row],[Date]]="","",TEXT(B1008,"DDD"))</f>
        <v>Fri</v>
      </c>
      <c r="F1008" t="s">
        <v>27</v>
      </c>
      <c r="G1008" t="s">
        <v>28</v>
      </c>
      <c r="H1008" s="3" t="s">
        <v>22</v>
      </c>
      <c r="I1008" s="3" t="s">
        <v>35</v>
      </c>
      <c r="J1008" s="3" t="s">
        <v>32</v>
      </c>
      <c r="K1008" s="3">
        <f>_xlfn.XLOOKUP(tbl_main[[#This Row],[Service]],tbl_service[Service],tbl_service[Price],"")</f>
        <v>150</v>
      </c>
      <c r="L1008" s="3">
        <v>2</v>
      </c>
      <c r="M1008" s="3">
        <f>IF(AND(tbl_main[[#This Row],[Price]]="",tbl_main[[#This Row],[Qty]]=""),"",tbl_main[[#This Row],[Price]]*tbl_main[[#This Row],[Qty]])</f>
        <v>300</v>
      </c>
      <c r="N1008" s="3">
        <f>_xlfn.LET(_xlpm.x,_xlfn.XLOOKUP(tbl_main[[#This Row],[Service]],tbl_service[Service],tbl_service[Profit],""),
               IF(tbl_main[[#This Row],[Qty]]="","",_xlpm.x*tbl_main[[#This Row],[Qty]]))</f>
        <v>134</v>
      </c>
    </row>
    <row r="1009" spans="1:14" x14ac:dyDescent="0.25">
      <c r="A1009" t="s">
        <v>1051</v>
      </c>
      <c r="B1009" s="1">
        <v>45996</v>
      </c>
      <c r="C1009">
        <f>IF(tbl_main[[#This Row],[Date]]="","",YEAR(B1009))</f>
        <v>2025</v>
      </c>
      <c r="D1009" t="str">
        <f>IF(tbl_main[[#This Row],[Date]]="","",TEXT(B1009,"mmm"))</f>
        <v>Dec</v>
      </c>
      <c r="E1009" t="str">
        <f>IF(tbl_main[[#This Row],[Date]]="","",TEXT(B1009,"DDD"))</f>
        <v>Fri</v>
      </c>
      <c r="F1009" t="s">
        <v>20</v>
      </c>
      <c r="G1009" t="s">
        <v>39</v>
      </c>
      <c r="H1009" s="3" t="s">
        <v>22</v>
      </c>
      <c r="I1009" s="3" t="s">
        <v>23</v>
      </c>
      <c r="J1009" s="3" t="s">
        <v>32</v>
      </c>
      <c r="K1009" s="3">
        <f>_xlfn.XLOOKUP(tbl_main[[#This Row],[Service]],tbl_service[Service],tbl_service[Price],"")</f>
        <v>150</v>
      </c>
      <c r="L1009" s="3">
        <v>2</v>
      </c>
      <c r="M1009" s="3">
        <f>IF(AND(tbl_main[[#This Row],[Price]]="",tbl_main[[#This Row],[Qty]]=""),"",tbl_main[[#This Row],[Price]]*tbl_main[[#This Row],[Qty]])</f>
        <v>300</v>
      </c>
      <c r="N1009" s="3">
        <f>_xlfn.LET(_xlpm.x,_xlfn.XLOOKUP(tbl_main[[#This Row],[Service]],tbl_service[Service],tbl_service[Profit],""),
               IF(tbl_main[[#This Row],[Qty]]="","",_xlpm.x*tbl_main[[#This Row],[Qty]]))</f>
        <v>134</v>
      </c>
    </row>
    <row r="1010" spans="1:14" x14ac:dyDescent="0.25">
      <c r="A1010" t="s">
        <v>1052</v>
      </c>
      <c r="B1010" s="1">
        <v>45997</v>
      </c>
      <c r="C1010">
        <f>IF(tbl_main[[#This Row],[Date]]="","",YEAR(B1010))</f>
        <v>2025</v>
      </c>
      <c r="D1010" t="str">
        <f>IF(tbl_main[[#This Row],[Date]]="","",TEXT(B1010,"mmm"))</f>
        <v>Dec</v>
      </c>
      <c r="E1010" t="str">
        <f>IF(tbl_main[[#This Row],[Date]]="","",TEXT(B1010,"DDD"))</f>
        <v>Sat</v>
      </c>
      <c r="F1010" t="s">
        <v>27</v>
      </c>
      <c r="G1010" t="s">
        <v>40</v>
      </c>
      <c r="H1010" s="3" t="s">
        <v>26</v>
      </c>
      <c r="I1010" s="3" t="s">
        <v>37</v>
      </c>
      <c r="J1010" s="3" t="s">
        <v>17</v>
      </c>
      <c r="K1010" s="3">
        <f>_xlfn.XLOOKUP(tbl_main[[#This Row],[Service]],tbl_service[Service],tbl_service[Price],"")</f>
        <v>200</v>
      </c>
      <c r="L1010" s="3">
        <v>2</v>
      </c>
      <c r="M1010" s="3">
        <f>IF(AND(tbl_main[[#This Row],[Price]]="",tbl_main[[#This Row],[Qty]]=""),"",tbl_main[[#This Row],[Price]]*tbl_main[[#This Row],[Qty]])</f>
        <v>400</v>
      </c>
      <c r="N1010" s="3">
        <f>_xlfn.LET(_xlpm.x,_xlfn.XLOOKUP(tbl_main[[#This Row],[Service]],tbl_service[Service],tbl_service[Profit],""),
               IF(tbl_main[[#This Row],[Qty]]="","",_xlpm.x*tbl_main[[#This Row],[Qty]]))</f>
        <v>180</v>
      </c>
    </row>
    <row r="1011" spans="1:14" x14ac:dyDescent="0.25">
      <c r="A1011" t="s">
        <v>1053</v>
      </c>
      <c r="B1011" s="1">
        <v>45997</v>
      </c>
      <c r="C1011">
        <f>IF(tbl_main[[#This Row],[Date]]="","",YEAR(B1011))</f>
        <v>2025</v>
      </c>
      <c r="D1011" t="str">
        <f>IF(tbl_main[[#This Row],[Date]]="","",TEXT(B1011,"mmm"))</f>
        <v>Dec</v>
      </c>
      <c r="E1011" t="str">
        <f>IF(tbl_main[[#This Row],[Date]]="","",TEXT(B1011,"DDD"))</f>
        <v>Sat</v>
      </c>
      <c r="F1011" t="s">
        <v>20</v>
      </c>
      <c r="G1011" t="s">
        <v>39</v>
      </c>
      <c r="H1011" s="3" t="s">
        <v>24</v>
      </c>
      <c r="I1011" s="3" t="s">
        <v>38</v>
      </c>
      <c r="J1011" s="3" t="s">
        <v>25</v>
      </c>
      <c r="K1011" s="3">
        <f>_xlfn.XLOOKUP(tbl_main[[#This Row],[Service]],tbl_service[Service],tbl_service[Price],"")</f>
        <v>80</v>
      </c>
      <c r="L1011" s="3">
        <v>2</v>
      </c>
      <c r="M1011" s="3">
        <f>IF(AND(tbl_main[[#This Row],[Price]]="",tbl_main[[#This Row],[Qty]]=""),"",tbl_main[[#This Row],[Price]]*tbl_main[[#This Row],[Qty]])</f>
        <v>160</v>
      </c>
      <c r="N1011" s="3">
        <f>_xlfn.LET(_xlpm.x,_xlfn.XLOOKUP(tbl_main[[#This Row],[Service]],tbl_service[Service],tbl_service[Profit],""),
               IF(tbl_main[[#This Row],[Qty]]="","",_xlpm.x*tbl_main[[#This Row],[Qty]]))</f>
        <v>72</v>
      </c>
    </row>
    <row r="1012" spans="1:14" x14ac:dyDescent="0.25">
      <c r="A1012" t="s">
        <v>1054</v>
      </c>
      <c r="B1012" s="1">
        <v>45998</v>
      </c>
      <c r="C1012">
        <f>IF(tbl_main[[#This Row],[Date]]="","",YEAR(B1012))</f>
        <v>2025</v>
      </c>
      <c r="D1012" t="str">
        <f>IF(tbl_main[[#This Row],[Date]]="","",TEXT(B1012,"mmm"))</f>
        <v>Dec</v>
      </c>
      <c r="E1012" t="str">
        <f>IF(tbl_main[[#This Row],[Date]]="","",TEXT(B1012,"DDD"))</f>
        <v>Sun</v>
      </c>
      <c r="F1012" t="s">
        <v>20</v>
      </c>
      <c r="G1012" t="s">
        <v>21</v>
      </c>
      <c r="H1012" s="3" t="s">
        <v>24</v>
      </c>
      <c r="I1012" s="3" t="s">
        <v>16</v>
      </c>
      <c r="J1012" s="3" t="s">
        <v>32</v>
      </c>
      <c r="K1012" s="3">
        <f>_xlfn.XLOOKUP(tbl_main[[#This Row],[Service]],tbl_service[Service],tbl_service[Price],"")</f>
        <v>80</v>
      </c>
      <c r="L1012" s="3">
        <v>2</v>
      </c>
      <c r="M1012" s="3">
        <f>IF(AND(tbl_main[[#This Row],[Price]]="",tbl_main[[#This Row],[Qty]]=""),"",tbl_main[[#This Row],[Price]]*tbl_main[[#This Row],[Qty]])</f>
        <v>160</v>
      </c>
      <c r="N1012" s="3">
        <f>_xlfn.LET(_xlpm.x,_xlfn.XLOOKUP(tbl_main[[#This Row],[Service]],tbl_service[Service],tbl_service[Profit],""),
               IF(tbl_main[[#This Row],[Qty]]="","",_xlpm.x*tbl_main[[#This Row],[Qty]]))</f>
        <v>72</v>
      </c>
    </row>
    <row r="1013" spans="1:14" x14ac:dyDescent="0.25">
      <c r="A1013" t="s">
        <v>1055</v>
      </c>
      <c r="B1013" s="1">
        <v>45998</v>
      </c>
      <c r="C1013">
        <f>IF(tbl_main[[#This Row],[Date]]="","",YEAR(B1013))</f>
        <v>2025</v>
      </c>
      <c r="D1013" t="str">
        <f>IF(tbl_main[[#This Row],[Date]]="","",TEXT(B1013,"mmm"))</f>
        <v>Dec</v>
      </c>
      <c r="E1013" t="str">
        <f>IF(tbl_main[[#This Row],[Date]]="","",TEXT(B1013,"DDD"))</f>
        <v>Sun</v>
      </c>
      <c r="F1013" t="s">
        <v>13</v>
      </c>
      <c r="G1013" t="s">
        <v>14</v>
      </c>
      <c r="H1013" s="3" t="s">
        <v>15</v>
      </c>
      <c r="I1013" s="3" t="s">
        <v>19</v>
      </c>
      <c r="J1013" s="3" t="s">
        <v>25</v>
      </c>
      <c r="K1013" s="3">
        <f>_xlfn.XLOOKUP(tbl_main[[#This Row],[Service]],tbl_service[Service],tbl_service[Price],"")</f>
        <v>500</v>
      </c>
      <c r="L1013" s="3">
        <v>2</v>
      </c>
      <c r="M1013" s="3">
        <f>IF(AND(tbl_main[[#This Row],[Price]]="",tbl_main[[#This Row],[Qty]]=""),"",tbl_main[[#This Row],[Price]]*tbl_main[[#This Row],[Qty]])</f>
        <v>1000</v>
      </c>
      <c r="N1013" s="3">
        <f>_xlfn.LET(_xlpm.x,_xlfn.XLOOKUP(tbl_main[[#This Row],[Service]],tbl_service[Service],tbl_service[Profit],""),
               IF(tbl_main[[#This Row],[Qty]]="","",_xlpm.x*tbl_main[[#This Row],[Qty]]))</f>
        <v>450</v>
      </c>
    </row>
    <row r="1014" spans="1:14" x14ac:dyDescent="0.25">
      <c r="A1014" t="s">
        <v>1056</v>
      </c>
      <c r="B1014" s="1">
        <v>45998</v>
      </c>
      <c r="C1014">
        <f>IF(tbl_main[[#This Row],[Date]]="","",YEAR(B1014))</f>
        <v>2025</v>
      </c>
      <c r="D1014" t="str">
        <f>IF(tbl_main[[#This Row],[Date]]="","",TEXT(B1014,"mmm"))</f>
        <v>Dec</v>
      </c>
      <c r="E1014" t="str">
        <f>IF(tbl_main[[#This Row],[Date]]="","",TEXT(B1014,"DDD"))</f>
        <v>Sun</v>
      </c>
      <c r="F1014" t="s">
        <v>20</v>
      </c>
      <c r="G1014" t="s">
        <v>39</v>
      </c>
      <c r="H1014" s="3" t="s">
        <v>24</v>
      </c>
      <c r="I1014" s="3" t="s">
        <v>43</v>
      </c>
      <c r="J1014" s="3" t="s">
        <v>32</v>
      </c>
      <c r="K1014" s="3">
        <f>_xlfn.XLOOKUP(tbl_main[[#This Row],[Service]],tbl_service[Service],tbl_service[Price],"")</f>
        <v>80</v>
      </c>
      <c r="L1014" s="3">
        <v>1</v>
      </c>
      <c r="M1014" s="3">
        <f>IF(AND(tbl_main[[#This Row],[Price]]="",tbl_main[[#This Row],[Qty]]=""),"",tbl_main[[#This Row],[Price]]*tbl_main[[#This Row],[Qty]])</f>
        <v>80</v>
      </c>
      <c r="N1014" s="3">
        <f>_xlfn.LET(_xlpm.x,_xlfn.XLOOKUP(tbl_main[[#This Row],[Service]],tbl_service[Service],tbl_service[Profit],""),
               IF(tbl_main[[#This Row],[Qty]]="","",_xlpm.x*tbl_main[[#This Row],[Qty]]))</f>
        <v>36</v>
      </c>
    </row>
    <row r="1015" spans="1:14" x14ac:dyDescent="0.25">
      <c r="A1015" t="s">
        <v>1057</v>
      </c>
      <c r="B1015" s="1">
        <v>45998</v>
      </c>
      <c r="C1015">
        <f>IF(tbl_main[[#This Row],[Date]]="","",YEAR(B1015))</f>
        <v>2025</v>
      </c>
      <c r="D1015" t="str">
        <f>IF(tbl_main[[#This Row],[Date]]="","",TEXT(B1015,"mmm"))</f>
        <v>Dec</v>
      </c>
      <c r="E1015" t="str">
        <f>IF(tbl_main[[#This Row],[Date]]="","",TEXT(B1015,"DDD"))</f>
        <v>Sun</v>
      </c>
      <c r="F1015" t="s">
        <v>20</v>
      </c>
      <c r="G1015" t="s">
        <v>29</v>
      </c>
      <c r="H1015" s="3" t="s">
        <v>34</v>
      </c>
      <c r="I1015" s="3" t="s">
        <v>41</v>
      </c>
      <c r="J1015" s="3" t="s">
        <v>32</v>
      </c>
      <c r="K1015" s="3">
        <f>_xlfn.XLOOKUP(tbl_main[[#This Row],[Service]],tbl_service[Service],tbl_service[Price],"")</f>
        <v>100</v>
      </c>
      <c r="L1015" s="3">
        <v>2</v>
      </c>
      <c r="M1015" s="3">
        <f>IF(AND(tbl_main[[#This Row],[Price]]="",tbl_main[[#This Row],[Qty]]=""),"",tbl_main[[#This Row],[Price]]*tbl_main[[#This Row],[Qty]])</f>
        <v>200</v>
      </c>
      <c r="N1015" s="3">
        <f>_xlfn.LET(_xlpm.x,_xlfn.XLOOKUP(tbl_main[[#This Row],[Service]],tbl_service[Service],tbl_service[Profit],""),
               IF(tbl_main[[#This Row],[Qty]]="","",_xlpm.x*tbl_main[[#This Row],[Qty]]))</f>
        <v>90</v>
      </c>
    </row>
    <row r="1016" spans="1:14" x14ac:dyDescent="0.25">
      <c r="A1016" t="s">
        <v>1058</v>
      </c>
      <c r="B1016" s="1">
        <v>45999</v>
      </c>
      <c r="C1016">
        <f>IF(tbl_main[[#This Row],[Date]]="","",YEAR(B1016))</f>
        <v>2025</v>
      </c>
      <c r="D1016" t="str">
        <f>IF(tbl_main[[#This Row],[Date]]="","",TEXT(B1016,"mmm"))</f>
        <v>Dec</v>
      </c>
      <c r="E1016" t="str">
        <f>IF(tbl_main[[#This Row],[Date]]="","",TEXT(B1016,"DDD"))</f>
        <v>Mon</v>
      </c>
      <c r="F1016" t="s">
        <v>27</v>
      </c>
      <c r="G1016" t="s">
        <v>28</v>
      </c>
      <c r="H1016" s="3" t="s">
        <v>18</v>
      </c>
      <c r="I1016" s="3" t="s">
        <v>41</v>
      </c>
      <c r="J1016" s="3" t="s">
        <v>25</v>
      </c>
      <c r="K1016" s="3">
        <f>_xlfn.XLOOKUP(tbl_main[[#This Row],[Service]],tbl_service[Service],tbl_service[Price],"")</f>
        <v>500</v>
      </c>
      <c r="L1016" s="3">
        <v>2</v>
      </c>
      <c r="M1016" s="3">
        <f>IF(AND(tbl_main[[#This Row],[Price]]="",tbl_main[[#This Row],[Qty]]=""),"",tbl_main[[#This Row],[Price]]*tbl_main[[#This Row],[Qty]])</f>
        <v>1000</v>
      </c>
      <c r="N1016" s="3">
        <f>_xlfn.LET(_xlpm.x,_xlfn.XLOOKUP(tbl_main[[#This Row],[Service]],tbl_service[Service],tbl_service[Profit],""),
               IF(tbl_main[[#This Row],[Qty]]="","",_xlpm.x*tbl_main[[#This Row],[Qty]]))</f>
        <v>314</v>
      </c>
    </row>
    <row r="1017" spans="1:14" x14ac:dyDescent="0.25">
      <c r="A1017" t="s">
        <v>1059</v>
      </c>
      <c r="B1017" s="1">
        <v>45999</v>
      </c>
      <c r="C1017">
        <f>IF(tbl_main[[#This Row],[Date]]="","",YEAR(B1017))</f>
        <v>2025</v>
      </c>
      <c r="D1017" t="str">
        <f>IF(tbl_main[[#This Row],[Date]]="","",TEXT(B1017,"mmm"))</f>
        <v>Dec</v>
      </c>
      <c r="E1017" t="str">
        <f>IF(tbl_main[[#This Row],[Date]]="","",TEXT(B1017,"DDD"))</f>
        <v>Mon</v>
      </c>
      <c r="F1017" t="s">
        <v>27</v>
      </c>
      <c r="G1017" t="s">
        <v>28</v>
      </c>
      <c r="H1017" s="3" t="s">
        <v>24</v>
      </c>
      <c r="I1017" s="3" t="s">
        <v>35</v>
      </c>
      <c r="J1017" s="3" t="s">
        <v>32</v>
      </c>
      <c r="K1017" s="3">
        <f>_xlfn.XLOOKUP(tbl_main[[#This Row],[Service]],tbl_service[Service],tbl_service[Price],"")</f>
        <v>80</v>
      </c>
      <c r="L1017" s="3">
        <v>2</v>
      </c>
      <c r="M1017" s="3">
        <f>IF(AND(tbl_main[[#This Row],[Price]]="",tbl_main[[#This Row],[Qty]]=""),"",tbl_main[[#This Row],[Price]]*tbl_main[[#This Row],[Qty]])</f>
        <v>160</v>
      </c>
      <c r="N1017" s="3">
        <f>_xlfn.LET(_xlpm.x,_xlfn.XLOOKUP(tbl_main[[#This Row],[Service]],tbl_service[Service],tbl_service[Profit],""),
               IF(tbl_main[[#This Row],[Qty]]="","",_xlpm.x*tbl_main[[#This Row],[Qty]]))</f>
        <v>72</v>
      </c>
    </row>
    <row r="1018" spans="1:14" x14ac:dyDescent="0.25">
      <c r="A1018" t="s">
        <v>1060</v>
      </c>
      <c r="B1018" s="1">
        <v>46000</v>
      </c>
      <c r="C1018">
        <f>IF(tbl_main[[#This Row],[Date]]="","",YEAR(B1018))</f>
        <v>2025</v>
      </c>
      <c r="D1018" t="str">
        <f>IF(tbl_main[[#This Row],[Date]]="","",TEXT(B1018,"mmm"))</f>
        <v>Dec</v>
      </c>
      <c r="E1018" t="str">
        <f>IF(tbl_main[[#This Row],[Date]]="","",TEXT(B1018,"DDD"))</f>
        <v>Tue</v>
      </c>
      <c r="F1018" t="s">
        <v>30</v>
      </c>
      <c r="G1018" t="s">
        <v>36</v>
      </c>
      <c r="H1018" s="3" t="s">
        <v>22</v>
      </c>
      <c r="I1018" s="3" t="s">
        <v>35</v>
      </c>
      <c r="J1018" s="3" t="s">
        <v>32</v>
      </c>
      <c r="K1018" s="3">
        <f>_xlfn.XLOOKUP(tbl_main[[#This Row],[Service]],tbl_service[Service],tbl_service[Price],"")</f>
        <v>150</v>
      </c>
      <c r="L1018" s="3">
        <v>2</v>
      </c>
      <c r="M1018" s="3">
        <f>IF(AND(tbl_main[[#This Row],[Price]]="",tbl_main[[#This Row],[Qty]]=""),"",tbl_main[[#This Row],[Price]]*tbl_main[[#This Row],[Qty]])</f>
        <v>300</v>
      </c>
      <c r="N1018" s="3">
        <f>_xlfn.LET(_xlpm.x,_xlfn.XLOOKUP(tbl_main[[#This Row],[Service]],tbl_service[Service],tbl_service[Profit],""),
               IF(tbl_main[[#This Row],[Qty]]="","",_xlpm.x*tbl_main[[#This Row],[Qty]]))</f>
        <v>134</v>
      </c>
    </row>
    <row r="1019" spans="1:14" x14ac:dyDescent="0.25">
      <c r="A1019" t="s">
        <v>1061</v>
      </c>
      <c r="B1019" s="1">
        <v>46000</v>
      </c>
      <c r="C1019">
        <f>IF(tbl_main[[#This Row],[Date]]="","",YEAR(B1019))</f>
        <v>2025</v>
      </c>
      <c r="D1019" t="str">
        <f>IF(tbl_main[[#This Row],[Date]]="","",TEXT(B1019,"mmm"))</f>
        <v>Dec</v>
      </c>
      <c r="E1019" t="str">
        <f>IF(tbl_main[[#This Row],[Date]]="","",TEXT(B1019,"DDD"))</f>
        <v>Tue</v>
      </c>
      <c r="F1019" t="s">
        <v>13</v>
      </c>
      <c r="G1019" t="s">
        <v>33</v>
      </c>
      <c r="H1019" s="3" t="s">
        <v>18</v>
      </c>
      <c r="I1019" s="3" t="s">
        <v>23</v>
      </c>
      <c r="J1019" s="3" t="s">
        <v>17</v>
      </c>
      <c r="K1019" s="3">
        <f>_xlfn.XLOOKUP(tbl_main[[#This Row],[Service]],tbl_service[Service],tbl_service[Price],"")</f>
        <v>500</v>
      </c>
      <c r="L1019" s="3">
        <v>1</v>
      </c>
      <c r="M1019" s="3">
        <f>IF(AND(tbl_main[[#This Row],[Price]]="",tbl_main[[#This Row],[Qty]]=""),"",tbl_main[[#This Row],[Price]]*tbl_main[[#This Row],[Qty]])</f>
        <v>500</v>
      </c>
      <c r="N1019" s="3">
        <f>_xlfn.LET(_xlpm.x,_xlfn.XLOOKUP(tbl_main[[#This Row],[Service]],tbl_service[Service],tbl_service[Profit],""),
               IF(tbl_main[[#This Row],[Qty]]="","",_xlpm.x*tbl_main[[#This Row],[Qty]]))</f>
        <v>157</v>
      </c>
    </row>
    <row r="1020" spans="1:14" x14ac:dyDescent="0.25">
      <c r="A1020" t="s">
        <v>1062</v>
      </c>
      <c r="B1020" s="1">
        <v>46000</v>
      </c>
      <c r="C1020">
        <f>IF(tbl_main[[#This Row],[Date]]="","",YEAR(B1020))</f>
        <v>2025</v>
      </c>
      <c r="D1020" t="str">
        <f>IF(tbl_main[[#This Row],[Date]]="","",TEXT(B1020,"mmm"))</f>
        <v>Dec</v>
      </c>
      <c r="E1020" t="str">
        <f>IF(tbl_main[[#This Row],[Date]]="","",TEXT(B1020,"DDD"))</f>
        <v>Tue</v>
      </c>
      <c r="F1020" t="s">
        <v>27</v>
      </c>
      <c r="G1020" t="s">
        <v>40</v>
      </c>
      <c r="H1020" s="3" t="s">
        <v>15</v>
      </c>
      <c r="I1020" s="3" t="s">
        <v>37</v>
      </c>
      <c r="J1020" s="3" t="s">
        <v>32</v>
      </c>
      <c r="K1020" s="3">
        <f>_xlfn.XLOOKUP(tbl_main[[#This Row],[Service]],tbl_service[Service],tbl_service[Price],"")</f>
        <v>500</v>
      </c>
      <c r="L1020" s="3">
        <v>1</v>
      </c>
      <c r="M1020" s="3">
        <f>IF(AND(tbl_main[[#This Row],[Price]]="",tbl_main[[#This Row],[Qty]]=""),"",tbl_main[[#This Row],[Price]]*tbl_main[[#This Row],[Qty]])</f>
        <v>500</v>
      </c>
      <c r="N1020" s="3">
        <f>_xlfn.LET(_xlpm.x,_xlfn.XLOOKUP(tbl_main[[#This Row],[Service]],tbl_service[Service],tbl_service[Profit],""),
               IF(tbl_main[[#This Row],[Qty]]="","",_xlpm.x*tbl_main[[#This Row],[Qty]]))</f>
        <v>225</v>
      </c>
    </row>
    <row r="1021" spans="1:14" x14ac:dyDescent="0.25">
      <c r="A1021" t="s">
        <v>1063</v>
      </c>
      <c r="B1021" s="1">
        <v>46001</v>
      </c>
      <c r="C1021">
        <f>IF(tbl_main[[#This Row],[Date]]="","",YEAR(B1021))</f>
        <v>2025</v>
      </c>
      <c r="D1021" t="str">
        <f>IF(tbl_main[[#This Row],[Date]]="","",TEXT(B1021,"mmm"))</f>
        <v>Dec</v>
      </c>
      <c r="E1021" t="str">
        <f>IF(tbl_main[[#This Row],[Date]]="","",TEXT(B1021,"DDD"))</f>
        <v>Wed</v>
      </c>
      <c r="F1021" t="s">
        <v>27</v>
      </c>
      <c r="G1021" t="s">
        <v>40</v>
      </c>
      <c r="H1021" s="3" t="s">
        <v>15</v>
      </c>
      <c r="I1021" s="3" t="s">
        <v>38</v>
      </c>
      <c r="J1021" s="3" t="s">
        <v>32</v>
      </c>
      <c r="K1021" s="3">
        <f>_xlfn.XLOOKUP(tbl_main[[#This Row],[Service]],tbl_service[Service],tbl_service[Price],"")</f>
        <v>500</v>
      </c>
      <c r="L1021" s="3">
        <v>2</v>
      </c>
      <c r="M1021" s="3">
        <f>IF(AND(tbl_main[[#This Row],[Price]]="",tbl_main[[#This Row],[Qty]]=""),"",tbl_main[[#This Row],[Price]]*tbl_main[[#This Row],[Qty]])</f>
        <v>1000</v>
      </c>
      <c r="N1021" s="3">
        <f>_xlfn.LET(_xlpm.x,_xlfn.XLOOKUP(tbl_main[[#This Row],[Service]],tbl_service[Service],tbl_service[Profit],""),
               IF(tbl_main[[#This Row],[Qty]]="","",_xlpm.x*tbl_main[[#This Row],[Qty]]))</f>
        <v>450</v>
      </c>
    </row>
    <row r="1022" spans="1:14" x14ac:dyDescent="0.25">
      <c r="A1022" t="s">
        <v>1064</v>
      </c>
      <c r="B1022" s="1">
        <v>46001</v>
      </c>
      <c r="C1022">
        <f>IF(tbl_main[[#This Row],[Date]]="","",YEAR(B1022))</f>
        <v>2025</v>
      </c>
      <c r="D1022" t="str">
        <f>IF(tbl_main[[#This Row],[Date]]="","",TEXT(B1022,"mmm"))</f>
        <v>Dec</v>
      </c>
      <c r="E1022" t="str">
        <f>IF(tbl_main[[#This Row],[Date]]="","",TEXT(B1022,"DDD"))</f>
        <v>Wed</v>
      </c>
      <c r="F1022" t="s">
        <v>27</v>
      </c>
      <c r="G1022" t="s">
        <v>28</v>
      </c>
      <c r="H1022" s="3" t="s">
        <v>26</v>
      </c>
      <c r="I1022" s="3" t="s">
        <v>16</v>
      </c>
      <c r="J1022" s="3" t="s">
        <v>17</v>
      </c>
      <c r="K1022" s="3">
        <f>_xlfn.XLOOKUP(tbl_main[[#This Row],[Service]],tbl_service[Service],tbl_service[Price],"")</f>
        <v>200</v>
      </c>
      <c r="L1022" s="3">
        <v>2</v>
      </c>
      <c r="M1022" s="3">
        <f>IF(AND(tbl_main[[#This Row],[Price]]="",tbl_main[[#This Row],[Qty]]=""),"",tbl_main[[#This Row],[Price]]*tbl_main[[#This Row],[Qty]])</f>
        <v>400</v>
      </c>
      <c r="N1022" s="3">
        <f>_xlfn.LET(_xlpm.x,_xlfn.XLOOKUP(tbl_main[[#This Row],[Service]],tbl_service[Service],tbl_service[Profit],""),
               IF(tbl_main[[#This Row],[Qty]]="","",_xlpm.x*tbl_main[[#This Row],[Qty]]))</f>
        <v>180</v>
      </c>
    </row>
    <row r="1023" spans="1:14" x14ac:dyDescent="0.25">
      <c r="A1023" t="s">
        <v>1065</v>
      </c>
      <c r="B1023" s="1">
        <v>46001</v>
      </c>
      <c r="C1023">
        <f>IF(tbl_main[[#This Row],[Date]]="","",YEAR(B1023))</f>
        <v>2025</v>
      </c>
      <c r="D1023" t="str">
        <f>IF(tbl_main[[#This Row],[Date]]="","",TEXT(B1023,"mmm"))</f>
        <v>Dec</v>
      </c>
      <c r="E1023" t="str">
        <f>IF(tbl_main[[#This Row],[Date]]="","",TEXT(B1023,"DDD"))</f>
        <v>Wed</v>
      </c>
      <c r="F1023" t="s">
        <v>30</v>
      </c>
      <c r="G1023" t="s">
        <v>36</v>
      </c>
      <c r="H1023" s="3" t="s">
        <v>26</v>
      </c>
      <c r="I1023" s="3" t="s">
        <v>19</v>
      </c>
      <c r="J1023" s="3" t="s">
        <v>17</v>
      </c>
      <c r="K1023" s="3">
        <f>_xlfn.XLOOKUP(tbl_main[[#This Row],[Service]],tbl_service[Service],tbl_service[Price],"")</f>
        <v>200</v>
      </c>
      <c r="L1023" s="3">
        <v>2</v>
      </c>
      <c r="M1023" s="3">
        <f>IF(AND(tbl_main[[#This Row],[Price]]="",tbl_main[[#This Row],[Qty]]=""),"",tbl_main[[#This Row],[Price]]*tbl_main[[#This Row],[Qty]])</f>
        <v>400</v>
      </c>
      <c r="N1023" s="3">
        <f>_xlfn.LET(_xlpm.x,_xlfn.XLOOKUP(tbl_main[[#This Row],[Service]],tbl_service[Service],tbl_service[Profit],""),
               IF(tbl_main[[#This Row],[Qty]]="","",_xlpm.x*tbl_main[[#This Row],[Qty]]))</f>
        <v>180</v>
      </c>
    </row>
    <row r="1024" spans="1:14" x14ac:dyDescent="0.25">
      <c r="A1024" t="s">
        <v>1066</v>
      </c>
      <c r="B1024" s="1">
        <v>46001</v>
      </c>
      <c r="C1024">
        <f>IF(tbl_main[[#This Row],[Date]]="","",YEAR(B1024))</f>
        <v>2025</v>
      </c>
      <c r="D1024" t="str">
        <f>IF(tbl_main[[#This Row],[Date]]="","",TEXT(B1024,"mmm"))</f>
        <v>Dec</v>
      </c>
      <c r="E1024" t="str">
        <f>IF(tbl_main[[#This Row],[Date]]="","",TEXT(B1024,"DDD"))</f>
        <v>Wed</v>
      </c>
      <c r="F1024" t="s">
        <v>27</v>
      </c>
      <c r="G1024" t="s">
        <v>28</v>
      </c>
      <c r="H1024" s="3" t="s">
        <v>26</v>
      </c>
      <c r="I1024" s="3" t="s">
        <v>43</v>
      </c>
      <c r="J1024" s="3" t="s">
        <v>32</v>
      </c>
      <c r="K1024" s="3">
        <f>_xlfn.XLOOKUP(tbl_main[[#This Row],[Service]],tbl_service[Service],tbl_service[Price],"")</f>
        <v>200</v>
      </c>
      <c r="L1024" s="3">
        <v>1</v>
      </c>
      <c r="M1024" s="3">
        <f>IF(AND(tbl_main[[#This Row],[Price]]="",tbl_main[[#This Row],[Qty]]=""),"",tbl_main[[#This Row],[Price]]*tbl_main[[#This Row],[Qty]])</f>
        <v>200</v>
      </c>
      <c r="N1024" s="3">
        <f>_xlfn.LET(_xlpm.x,_xlfn.XLOOKUP(tbl_main[[#This Row],[Service]],tbl_service[Service],tbl_service[Profit],""),
               IF(tbl_main[[#This Row],[Qty]]="","",_xlpm.x*tbl_main[[#This Row],[Qty]]))</f>
        <v>90</v>
      </c>
    </row>
    <row r="1025" spans="1:14" x14ac:dyDescent="0.25">
      <c r="A1025" t="s">
        <v>1067</v>
      </c>
      <c r="B1025" s="1">
        <v>46002</v>
      </c>
      <c r="C1025">
        <f>IF(tbl_main[[#This Row],[Date]]="","",YEAR(B1025))</f>
        <v>2025</v>
      </c>
      <c r="D1025" t="str">
        <f>IF(tbl_main[[#This Row],[Date]]="","",TEXT(B1025,"mmm"))</f>
        <v>Dec</v>
      </c>
      <c r="E1025" t="str">
        <f>IF(tbl_main[[#This Row],[Date]]="","",TEXT(B1025,"DDD"))</f>
        <v>Thu</v>
      </c>
      <c r="F1025" t="s">
        <v>13</v>
      </c>
      <c r="G1025" t="s">
        <v>14</v>
      </c>
      <c r="H1025" s="3" t="s">
        <v>18</v>
      </c>
      <c r="I1025" s="3" t="s">
        <v>41</v>
      </c>
      <c r="J1025" s="3" t="s">
        <v>32</v>
      </c>
      <c r="K1025" s="3">
        <f>_xlfn.XLOOKUP(tbl_main[[#This Row],[Service]],tbl_service[Service],tbl_service[Price],"")</f>
        <v>500</v>
      </c>
      <c r="L1025" s="3">
        <v>1</v>
      </c>
      <c r="M1025" s="3">
        <f>IF(AND(tbl_main[[#This Row],[Price]]="",tbl_main[[#This Row],[Qty]]=""),"",tbl_main[[#This Row],[Price]]*tbl_main[[#This Row],[Qty]])</f>
        <v>500</v>
      </c>
      <c r="N1025" s="3">
        <f>_xlfn.LET(_xlpm.x,_xlfn.XLOOKUP(tbl_main[[#This Row],[Service]],tbl_service[Service],tbl_service[Profit],""),
               IF(tbl_main[[#This Row],[Qty]]="","",_xlpm.x*tbl_main[[#This Row],[Qty]]))</f>
        <v>157</v>
      </c>
    </row>
    <row r="1026" spans="1:14" x14ac:dyDescent="0.25">
      <c r="A1026" t="s">
        <v>1068</v>
      </c>
      <c r="B1026" s="1">
        <v>46002</v>
      </c>
      <c r="C1026">
        <f>IF(tbl_main[[#This Row],[Date]]="","",YEAR(B1026))</f>
        <v>2025</v>
      </c>
      <c r="D1026" t="str">
        <f>IF(tbl_main[[#This Row],[Date]]="","",TEXT(B1026,"mmm"))</f>
        <v>Dec</v>
      </c>
      <c r="E1026" t="str">
        <f>IF(tbl_main[[#This Row],[Date]]="","",TEXT(B1026,"DDD"))</f>
        <v>Thu</v>
      </c>
      <c r="F1026" t="s">
        <v>13</v>
      </c>
      <c r="G1026" t="s">
        <v>33</v>
      </c>
      <c r="H1026" s="3" t="s">
        <v>15</v>
      </c>
      <c r="I1026" s="3" t="s">
        <v>41</v>
      </c>
      <c r="J1026" s="3" t="s">
        <v>25</v>
      </c>
      <c r="K1026" s="3">
        <f>_xlfn.XLOOKUP(tbl_main[[#This Row],[Service]],tbl_service[Service],tbl_service[Price],"")</f>
        <v>500</v>
      </c>
      <c r="L1026" s="3">
        <v>2</v>
      </c>
      <c r="M1026" s="3">
        <f>IF(AND(tbl_main[[#This Row],[Price]]="",tbl_main[[#This Row],[Qty]]=""),"",tbl_main[[#This Row],[Price]]*tbl_main[[#This Row],[Qty]])</f>
        <v>1000</v>
      </c>
      <c r="N1026" s="3">
        <f>_xlfn.LET(_xlpm.x,_xlfn.XLOOKUP(tbl_main[[#This Row],[Service]],tbl_service[Service],tbl_service[Profit],""),
               IF(tbl_main[[#This Row],[Qty]]="","",_xlpm.x*tbl_main[[#This Row],[Qty]]))</f>
        <v>450</v>
      </c>
    </row>
    <row r="1027" spans="1:14" x14ac:dyDescent="0.25">
      <c r="A1027" t="s">
        <v>1069</v>
      </c>
      <c r="B1027" s="1">
        <v>46002</v>
      </c>
      <c r="C1027">
        <f>IF(tbl_main[[#This Row],[Date]]="","",YEAR(B1027))</f>
        <v>2025</v>
      </c>
      <c r="D1027" t="str">
        <f>IF(tbl_main[[#This Row],[Date]]="","",TEXT(B1027,"mmm"))</f>
        <v>Dec</v>
      </c>
      <c r="E1027" t="str">
        <f>IF(tbl_main[[#This Row],[Date]]="","",TEXT(B1027,"DDD"))</f>
        <v>Thu</v>
      </c>
      <c r="F1027" t="s">
        <v>30</v>
      </c>
      <c r="G1027" t="s">
        <v>31</v>
      </c>
      <c r="H1027" s="3" t="s">
        <v>34</v>
      </c>
      <c r="I1027" s="3" t="s">
        <v>35</v>
      </c>
      <c r="J1027" s="3" t="s">
        <v>17</v>
      </c>
      <c r="K1027" s="3">
        <f>_xlfn.XLOOKUP(tbl_main[[#This Row],[Service]],tbl_service[Service],tbl_service[Price],"")</f>
        <v>100</v>
      </c>
      <c r="L1027" s="3">
        <v>1</v>
      </c>
      <c r="M1027" s="3">
        <f>IF(AND(tbl_main[[#This Row],[Price]]="",tbl_main[[#This Row],[Qty]]=""),"",tbl_main[[#This Row],[Price]]*tbl_main[[#This Row],[Qty]])</f>
        <v>100</v>
      </c>
      <c r="N1027" s="3">
        <f>_xlfn.LET(_xlpm.x,_xlfn.XLOOKUP(tbl_main[[#This Row],[Service]],tbl_service[Service],tbl_service[Profit],""),
               IF(tbl_main[[#This Row],[Qty]]="","",_xlpm.x*tbl_main[[#This Row],[Qty]]))</f>
        <v>45</v>
      </c>
    </row>
    <row r="1028" spans="1:14" x14ac:dyDescent="0.25">
      <c r="A1028" t="s">
        <v>1070</v>
      </c>
      <c r="B1028" s="1">
        <v>46003</v>
      </c>
      <c r="C1028">
        <f>IF(tbl_main[[#This Row],[Date]]="","",YEAR(B1028))</f>
        <v>2025</v>
      </c>
      <c r="D1028" t="str">
        <f>IF(tbl_main[[#This Row],[Date]]="","",TEXT(B1028,"mmm"))</f>
        <v>Dec</v>
      </c>
      <c r="E1028" t="str">
        <f>IF(tbl_main[[#This Row],[Date]]="","",TEXT(B1028,"DDD"))</f>
        <v>Fri</v>
      </c>
      <c r="F1028" t="s">
        <v>27</v>
      </c>
      <c r="G1028" t="s">
        <v>28</v>
      </c>
      <c r="H1028" s="3" t="s">
        <v>34</v>
      </c>
      <c r="I1028" s="3" t="s">
        <v>35</v>
      </c>
      <c r="J1028" s="3" t="s">
        <v>32</v>
      </c>
      <c r="K1028" s="3">
        <f>_xlfn.XLOOKUP(tbl_main[[#This Row],[Service]],tbl_service[Service],tbl_service[Price],"")</f>
        <v>100</v>
      </c>
      <c r="L1028" s="3">
        <v>2</v>
      </c>
      <c r="M1028" s="3">
        <f>IF(AND(tbl_main[[#This Row],[Price]]="",tbl_main[[#This Row],[Qty]]=""),"",tbl_main[[#This Row],[Price]]*tbl_main[[#This Row],[Qty]])</f>
        <v>200</v>
      </c>
      <c r="N1028" s="3">
        <f>_xlfn.LET(_xlpm.x,_xlfn.XLOOKUP(tbl_main[[#This Row],[Service]],tbl_service[Service],tbl_service[Profit],""),
               IF(tbl_main[[#This Row],[Qty]]="","",_xlpm.x*tbl_main[[#This Row],[Qty]]))</f>
        <v>90</v>
      </c>
    </row>
    <row r="1029" spans="1:14" x14ac:dyDescent="0.25">
      <c r="A1029" t="s">
        <v>1071</v>
      </c>
      <c r="B1029" s="1">
        <v>46003</v>
      </c>
      <c r="C1029">
        <f>IF(tbl_main[[#This Row],[Date]]="","",YEAR(B1029))</f>
        <v>2025</v>
      </c>
      <c r="D1029" t="str">
        <f>IF(tbl_main[[#This Row],[Date]]="","",TEXT(B1029,"mmm"))</f>
        <v>Dec</v>
      </c>
      <c r="E1029" t="str">
        <f>IF(tbl_main[[#This Row],[Date]]="","",TEXT(B1029,"DDD"))</f>
        <v>Fri</v>
      </c>
      <c r="F1029" t="s">
        <v>20</v>
      </c>
      <c r="G1029" t="s">
        <v>21</v>
      </c>
      <c r="H1029" s="3" t="s">
        <v>24</v>
      </c>
      <c r="I1029" s="3" t="s">
        <v>23</v>
      </c>
      <c r="J1029" s="3" t="s">
        <v>32</v>
      </c>
      <c r="K1029" s="3">
        <f>_xlfn.XLOOKUP(tbl_main[[#This Row],[Service]],tbl_service[Service],tbl_service[Price],"")</f>
        <v>80</v>
      </c>
      <c r="L1029" s="3">
        <v>2</v>
      </c>
      <c r="M1029" s="3">
        <f>IF(AND(tbl_main[[#This Row],[Price]]="",tbl_main[[#This Row],[Qty]]=""),"",tbl_main[[#This Row],[Price]]*tbl_main[[#This Row],[Qty]])</f>
        <v>160</v>
      </c>
      <c r="N1029" s="3">
        <f>_xlfn.LET(_xlpm.x,_xlfn.XLOOKUP(tbl_main[[#This Row],[Service]],tbl_service[Service],tbl_service[Profit],""),
               IF(tbl_main[[#This Row],[Qty]]="","",_xlpm.x*tbl_main[[#This Row],[Qty]]))</f>
        <v>72</v>
      </c>
    </row>
    <row r="1030" spans="1:14" x14ac:dyDescent="0.25">
      <c r="A1030" t="s">
        <v>1072</v>
      </c>
      <c r="B1030" s="1">
        <v>46004</v>
      </c>
      <c r="C1030">
        <f>IF(tbl_main[[#This Row],[Date]]="","",YEAR(B1030))</f>
        <v>2025</v>
      </c>
      <c r="D1030" t="str">
        <f>IF(tbl_main[[#This Row],[Date]]="","",TEXT(B1030,"mmm"))</f>
        <v>Dec</v>
      </c>
      <c r="E1030" t="str">
        <f>IF(tbl_main[[#This Row],[Date]]="","",TEXT(B1030,"DDD"))</f>
        <v>Sat</v>
      </c>
      <c r="F1030" t="s">
        <v>20</v>
      </c>
      <c r="G1030" t="s">
        <v>21</v>
      </c>
      <c r="H1030" s="3" t="s">
        <v>22</v>
      </c>
      <c r="I1030" s="3" t="s">
        <v>37</v>
      </c>
      <c r="J1030" s="3" t="s">
        <v>32</v>
      </c>
      <c r="K1030" s="3">
        <f>_xlfn.XLOOKUP(tbl_main[[#This Row],[Service]],tbl_service[Service],tbl_service[Price],"")</f>
        <v>150</v>
      </c>
      <c r="L1030" s="3">
        <v>2</v>
      </c>
      <c r="M1030" s="3">
        <f>IF(AND(tbl_main[[#This Row],[Price]]="",tbl_main[[#This Row],[Qty]]=""),"",tbl_main[[#This Row],[Price]]*tbl_main[[#This Row],[Qty]])</f>
        <v>300</v>
      </c>
      <c r="N1030" s="3">
        <f>_xlfn.LET(_xlpm.x,_xlfn.XLOOKUP(tbl_main[[#This Row],[Service]],tbl_service[Service],tbl_service[Profit],""),
               IF(tbl_main[[#This Row],[Qty]]="","",_xlpm.x*tbl_main[[#This Row],[Qty]]))</f>
        <v>134</v>
      </c>
    </row>
    <row r="1031" spans="1:14" x14ac:dyDescent="0.25">
      <c r="A1031" t="s">
        <v>1073</v>
      </c>
      <c r="B1031" s="1">
        <v>46004</v>
      </c>
      <c r="C1031">
        <f>IF(tbl_main[[#This Row],[Date]]="","",YEAR(B1031))</f>
        <v>2025</v>
      </c>
      <c r="D1031" t="str">
        <f>IF(tbl_main[[#This Row],[Date]]="","",TEXT(B1031,"mmm"))</f>
        <v>Dec</v>
      </c>
      <c r="E1031" t="str">
        <f>IF(tbl_main[[#This Row],[Date]]="","",TEXT(B1031,"DDD"))</f>
        <v>Sat</v>
      </c>
      <c r="F1031" t="s">
        <v>13</v>
      </c>
      <c r="G1031" t="s">
        <v>14</v>
      </c>
      <c r="H1031" s="3" t="s">
        <v>18</v>
      </c>
      <c r="I1031" s="3" t="s">
        <v>38</v>
      </c>
      <c r="J1031" s="3" t="s">
        <v>25</v>
      </c>
      <c r="K1031" s="3">
        <f>_xlfn.XLOOKUP(tbl_main[[#This Row],[Service]],tbl_service[Service],tbl_service[Price],"")</f>
        <v>500</v>
      </c>
      <c r="L1031" s="3">
        <v>2</v>
      </c>
      <c r="M1031" s="3">
        <f>IF(AND(tbl_main[[#This Row],[Price]]="",tbl_main[[#This Row],[Qty]]=""),"",tbl_main[[#This Row],[Price]]*tbl_main[[#This Row],[Qty]])</f>
        <v>1000</v>
      </c>
      <c r="N1031" s="3">
        <f>_xlfn.LET(_xlpm.x,_xlfn.XLOOKUP(tbl_main[[#This Row],[Service]],tbl_service[Service],tbl_service[Profit],""),
               IF(tbl_main[[#This Row],[Qty]]="","",_xlpm.x*tbl_main[[#This Row],[Qty]]))</f>
        <v>314</v>
      </c>
    </row>
    <row r="1032" spans="1:14" x14ac:dyDescent="0.25">
      <c r="A1032" t="s">
        <v>1074</v>
      </c>
      <c r="B1032" s="1">
        <v>46004</v>
      </c>
      <c r="C1032">
        <f>IF(tbl_main[[#This Row],[Date]]="","",YEAR(B1032))</f>
        <v>2025</v>
      </c>
      <c r="D1032" t="str">
        <f>IF(tbl_main[[#This Row],[Date]]="","",TEXT(B1032,"mmm"))</f>
        <v>Dec</v>
      </c>
      <c r="E1032" t="str">
        <f>IF(tbl_main[[#This Row],[Date]]="","",TEXT(B1032,"DDD"))</f>
        <v>Sat</v>
      </c>
      <c r="F1032" t="s">
        <v>30</v>
      </c>
      <c r="G1032" t="s">
        <v>36</v>
      </c>
      <c r="H1032" s="3" t="s">
        <v>26</v>
      </c>
      <c r="I1032" s="3" t="s">
        <v>16</v>
      </c>
      <c r="J1032" s="3" t="s">
        <v>32</v>
      </c>
      <c r="K1032" s="3">
        <f>_xlfn.XLOOKUP(tbl_main[[#This Row],[Service]],tbl_service[Service],tbl_service[Price],"")</f>
        <v>200</v>
      </c>
      <c r="L1032" s="3">
        <v>1</v>
      </c>
      <c r="M1032" s="3">
        <f>IF(AND(tbl_main[[#This Row],[Price]]="",tbl_main[[#This Row],[Qty]]=""),"",tbl_main[[#This Row],[Price]]*tbl_main[[#This Row],[Qty]])</f>
        <v>200</v>
      </c>
      <c r="N1032" s="3">
        <f>_xlfn.LET(_xlpm.x,_xlfn.XLOOKUP(tbl_main[[#This Row],[Service]],tbl_service[Service],tbl_service[Profit],""),
               IF(tbl_main[[#This Row],[Qty]]="","",_xlpm.x*tbl_main[[#This Row],[Qty]]))</f>
        <v>90</v>
      </c>
    </row>
    <row r="1033" spans="1:14" x14ac:dyDescent="0.25">
      <c r="A1033" t="s">
        <v>1075</v>
      </c>
      <c r="B1033" s="1">
        <v>46004</v>
      </c>
      <c r="C1033">
        <f>IF(tbl_main[[#This Row],[Date]]="","",YEAR(B1033))</f>
        <v>2025</v>
      </c>
      <c r="D1033" t="str">
        <f>IF(tbl_main[[#This Row],[Date]]="","",TEXT(B1033,"mmm"))</f>
        <v>Dec</v>
      </c>
      <c r="E1033" t="str">
        <f>IF(tbl_main[[#This Row],[Date]]="","",TEXT(B1033,"DDD"))</f>
        <v>Sat</v>
      </c>
      <c r="F1033" t="s">
        <v>13</v>
      </c>
      <c r="G1033" t="s">
        <v>14</v>
      </c>
      <c r="H1033" s="3" t="s">
        <v>15</v>
      </c>
      <c r="I1033" s="3" t="s">
        <v>19</v>
      </c>
      <c r="J1033" s="3" t="s">
        <v>17</v>
      </c>
      <c r="K1033" s="3">
        <f>_xlfn.XLOOKUP(tbl_main[[#This Row],[Service]],tbl_service[Service],tbl_service[Price],"")</f>
        <v>500</v>
      </c>
      <c r="L1033" s="3">
        <v>2</v>
      </c>
      <c r="M1033" s="3">
        <f>IF(AND(tbl_main[[#This Row],[Price]]="",tbl_main[[#This Row],[Qty]]=""),"",tbl_main[[#This Row],[Price]]*tbl_main[[#This Row],[Qty]])</f>
        <v>1000</v>
      </c>
      <c r="N1033" s="3">
        <f>_xlfn.LET(_xlpm.x,_xlfn.XLOOKUP(tbl_main[[#This Row],[Service]],tbl_service[Service],tbl_service[Profit],""),
               IF(tbl_main[[#This Row],[Qty]]="","",_xlpm.x*tbl_main[[#This Row],[Qty]]))</f>
        <v>450</v>
      </c>
    </row>
    <row r="1034" spans="1:14" x14ac:dyDescent="0.25">
      <c r="A1034" t="s">
        <v>1076</v>
      </c>
      <c r="B1034" s="1">
        <v>46005</v>
      </c>
      <c r="C1034">
        <f>IF(tbl_main[[#This Row],[Date]]="","",YEAR(B1034))</f>
        <v>2025</v>
      </c>
      <c r="D1034" t="str">
        <f>IF(tbl_main[[#This Row],[Date]]="","",TEXT(B1034,"mmm"))</f>
        <v>Dec</v>
      </c>
      <c r="E1034" t="str">
        <f>IF(tbl_main[[#This Row],[Date]]="","",TEXT(B1034,"DDD"))</f>
        <v>Sun</v>
      </c>
      <c r="F1034" t="s">
        <v>20</v>
      </c>
      <c r="G1034" t="s">
        <v>29</v>
      </c>
      <c r="H1034" s="3" t="s">
        <v>18</v>
      </c>
      <c r="I1034" s="3" t="s">
        <v>43</v>
      </c>
      <c r="J1034" s="3" t="s">
        <v>32</v>
      </c>
      <c r="K1034" s="3">
        <f>_xlfn.XLOOKUP(tbl_main[[#This Row],[Service]],tbl_service[Service],tbl_service[Price],"")</f>
        <v>500</v>
      </c>
      <c r="L1034" s="3">
        <v>2</v>
      </c>
      <c r="M1034" s="3">
        <f>IF(AND(tbl_main[[#This Row],[Price]]="",tbl_main[[#This Row],[Qty]]=""),"",tbl_main[[#This Row],[Price]]*tbl_main[[#This Row],[Qty]])</f>
        <v>1000</v>
      </c>
      <c r="N1034" s="3">
        <f>_xlfn.LET(_xlpm.x,_xlfn.XLOOKUP(tbl_main[[#This Row],[Service]],tbl_service[Service],tbl_service[Profit],""),
               IF(tbl_main[[#This Row],[Qty]]="","",_xlpm.x*tbl_main[[#This Row],[Qty]]))</f>
        <v>314</v>
      </c>
    </row>
    <row r="1035" spans="1:14" x14ac:dyDescent="0.25">
      <c r="A1035" t="s">
        <v>1077</v>
      </c>
      <c r="B1035" s="1">
        <v>46005</v>
      </c>
      <c r="C1035">
        <f>IF(tbl_main[[#This Row],[Date]]="","",YEAR(B1035))</f>
        <v>2025</v>
      </c>
      <c r="D1035" t="str">
        <f>IF(tbl_main[[#This Row],[Date]]="","",TEXT(B1035,"mmm"))</f>
        <v>Dec</v>
      </c>
      <c r="E1035" t="str">
        <f>IF(tbl_main[[#This Row],[Date]]="","",TEXT(B1035,"DDD"))</f>
        <v>Sun</v>
      </c>
      <c r="F1035" t="s">
        <v>13</v>
      </c>
      <c r="G1035" t="s">
        <v>14</v>
      </c>
      <c r="H1035" s="3" t="s">
        <v>24</v>
      </c>
      <c r="I1035" s="3" t="s">
        <v>41</v>
      </c>
      <c r="J1035" s="3" t="s">
        <v>25</v>
      </c>
      <c r="K1035" s="3">
        <f>_xlfn.XLOOKUP(tbl_main[[#This Row],[Service]],tbl_service[Service],tbl_service[Price],"")</f>
        <v>80</v>
      </c>
      <c r="L1035" s="3">
        <v>1</v>
      </c>
      <c r="M1035" s="3">
        <f>IF(AND(tbl_main[[#This Row],[Price]]="",tbl_main[[#This Row],[Qty]]=""),"",tbl_main[[#This Row],[Price]]*tbl_main[[#This Row],[Qty]])</f>
        <v>80</v>
      </c>
      <c r="N1035" s="3">
        <f>_xlfn.LET(_xlpm.x,_xlfn.XLOOKUP(tbl_main[[#This Row],[Service]],tbl_service[Service],tbl_service[Profit],""),
               IF(tbl_main[[#This Row],[Qty]]="","",_xlpm.x*tbl_main[[#This Row],[Qty]]))</f>
        <v>36</v>
      </c>
    </row>
    <row r="1036" spans="1:14" x14ac:dyDescent="0.25">
      <c r="A1036" t="s">
        <v>1078</v>
      </c>
      <c r="B1036" s="1">
        <v>46005</v>
      </c>
      <c r="C1036">
        <f>IF(tbl_main[[#This Row],[Date]]="","",YEAR(B1036))</f>
        <v>2025</v>
      </c>
      <c r="D1036" t="str">
        <f>IF(tbl_main[[#This Row],[Date]]="","",TEXT(B1036,"mmm"))</f>
        <v>Dec</v>
      </c>
      <c r="E1036" t="str">
        <f>IF(tbl_main[[#This Row],[Date]]="","",TEXT(B1036,"DDD"))</f>
        <v>Sun</v>
      </c>
      <c r="F1036" t="s">
        <v>27</v>
      </c>
      <c r="G1036" t="s">
        <v>28</v>
      </c>
      <c r="H1036" s="3" t="s">
        <v>15</v>
      </c>
      <c r="I1036" s="3" t="s">
        <v>41</v>
      </c>
      <c r="J1036" s="3" t="s">
        <v>25</v>
      </c>
      <c r="K1036" s="3">
        <f>_xlfn.XLOOKUP(tbl_main[[#This Row],[Service]],tbl_service[Service],tbl_service[Price],"")</f>
        <v>500</v>
      </c>
      <c r="L1036" s="3">
        <v>1</v>
      </c>
      <c r="M1036" s="3">
        <f>IF(AND(tbl_main[[#This Row],[Price]]="",tbl_main[[#This Row],[Qty]]=""),"",tbl_main[[#This Row],[Price]]*tbl_main[[#This Row],[Qty]])</f>
        <v>500</v>
      </c>
      <c r="N1036" s="3">
        <f>_xlfn.LET(_xlpm.x,_xlfn.XLOOKUP(tbl_main[[#This Row],[Service]],tbl_service[Service],tbl_service[Profit],""),
               IF(tbl_main[[#This Row],[Qty]]="","",_xlpm.x*tbl_main[[#This Row],[Qty]]))</f>
        <v>225</v>
      </c>
    </row>
    <row r="1037" spans="1:14" x14ac:dyDescent="0.25">
      <c r="A1037" t="s">
        <v>1079</v>
      </c>
      <c r="B1037" s="1">
        <v>46005</v>
      </c>
      <c r="C1037">
        <f>IF(tbl_main[[#This Row],[Date]]="","",YEAR(B1037))</f>
        <v>2025</v>
      </c>
      <c r="D1037" t="str">
        <f>IF(tbl_main[[#This Row],[Date]]="","",TEXT(B1037,"mmm"))</f>
        <v>Dec</v>
      </c>
      <c r="E1037" t="str">
        <f>IF(tbl_main[[#This Row],[Date]]="","",TEXT(B1037,"DDD"))</f>
        <v>Sun</v>
      </c>
      <c r="F1037" t="s">
        <v>13</v>
      </c>
      <c r="G1037" t="s">
        <v>14</v>
      </c>
      <c r="H1037" s="3" t="s">
        <v>22</v>
      </c>
      <c r="I1037" s="3" t="s">
        <v>35</v>
      </c>
      <c r="J1037" s="3" t="s">
        <v>32</v>
      </c>
      <c r="K1037" s="3">
        <f>_xlfn.XLOOKUP(tbl_main[[#This Row],[Service]],tbl_service[Service],tbl_service[Price],"")</f>
        <v>150</v>
      </c>
      <c r="L1037" s="3">
        <v>2</v>
      </c>
      <c r="M1037" s="3">
        <f>IF(AND(tbl_main[[#This Row],[Price]]="",tbl_main[[#This Row],[Qty]]=""),"",tbl_main[[#This Row],[Price]]*tbl_main[[#This Row],[Qty]])</f>
        <v>300</v>
      </c>
      <c r="N1037" s="3">
        <f>_xlfn.LET(_xlpm.x,_xlfn.XLOOKUP(tbl_main[[#This Row],[Service]],tbl_service[Service],tbl_service[Profit],""),
               IF(tbl_main[[#This Row],[Qty]]="","",_xlpm.x*tbl_main[[#This Row],[Qty]]))</f>
        <v>134</v>
      </c>
    </row>
    <row r="1038" spans="1:14" x14ac:dyDescent="0.25">
      <c r="A1038" t="s">
        <v>1080</v>
      </c>
      <c r="B1038" s="1">
        <v>46006</v>
      </c>
      <c r="C1038">
        <f>IF(tbl_main[[#This Row],[Date]]="","",YEAR(B1038))</f>
        <v>2025</v>
      </c>
      <c r="D1038" t="str">
        <f>IF(tbl_main[[#This Row],[Date]]="","",TEXT(B1038,"mmm"))</f>
        <v>Dec</v>
      </c>
      <c r="E1038" t="str">
        <f>IF(tbl_main[[#This Row],[Date]]="","",TEXT(B1038,"DDD"))</f>
        <v>Mon</v>
      </c>
      <c r="F1038" t="s">
        <v>20</v>
      </c>
      <c r="G1038" t="s">
        <v>39</v>
      </c>
      <c r="H1038" s="3" t="s">
        <v>34</v>
      </c>
      <c r="I1038" s="3" t="s">
        <v>35</v>
      </c>
      <c r="J1038" s="3" t="s">
        <v>25</v>
      </c>
      <c r="K1038" s="3">
        <f>_xlfn.XLOOKUP(tbl_main[[#This Row],[Service]],tbl_service[Service],tbl_service[Price],"")</f>
        <v>100</v>
      </c>
      <c r="L1038" s="3">
        <v>2</v>
      </c>
      <c r="M1038" s="3">
        <f>IF(AND(tbl_main[[#This Row],[Price]]="",tbl_main[[#This Row],[Qty]]=""),"",tbl_main[[#This Row],[Price]]*tbl_main[[#This Row],[Qty]])</f>
        <v>200</v>
      </c>
      <c r="N1038" s="3">
        <f>_xlfn.LET(_xlpm.x,_xlfn.XLOOKUP(tbl_main[[#This Row],[Service]],tbl_service[Service],tbl_service[Profit],""),
               IF(tbl_main[[#This Row],[Qty]]="","",_xlpm.x*tbl_main[[#This Row],[Qty]]))</f>
        <v>90</v>
      </c>
    </row>
    <row r="1039" spans="1:14" x14ac:dyDescent="0.25">
      <c r="A1039" t="s">
        <v>1081</v>
      </c>
      <c r="B1039" s="1">
        <v>46006</v>
      </c>
      <c r="C1039">
        <f>IF(tbl_main[[#This Row],[Date]]="","",YEAR(B1039))</f>
        <v>2025</v>
      </c>
      <c r="D1039" t="str">
        <f>IF(tbl_main[[#This Row],[Date]]="","",TEXT(B1039,"mmm"))</f>
        <v>Dec</v>
      </c>
      <c r="E1039" t="str">
        <f>IF(tbl_main[[#This Row],[Date]]="","",TEXT(B1039,"DDD"))</f>
        <v>Mon</v>
      </c>
      <c r="F1039" t="s">
        <v>27</v>
      </c>
      <c r="G1039" t="s">
        <v>40</v>
      </c>
      <c r="H1039" s="3" t="s">
        <v>26</v>
      </c>
      <c r="I1039" s="3" t="s">
        <v>23</v>
      </c>
      <c r="J1039" s="3" t="s">
        <v>32</v>
      </c>
      <c r="K1039" s="3">
        <f>_xlfn.XLOOKUP(tbl_main[[#This Row],[Service]],tbl_service[Service],tbl_service[Price],"")</f>
        <v>200</v>
      </c>
      <c r="L1039" s="3">
        <v>2</v>
      </c>
      <c r="M1039" s="3">
        <f>IF(AND(tbl_main[[#This Row],[Price]]="",tbl_main[[#This Row],[Qty]]=""),"",tbl_main[[#This Row],[Price]]*tbl_main[[#This Row],[Qty]])</f>
        <v>400</v>
      </c>
      <c r="N1039" s="3">
        <f>_xlfn.LET(_xlpm.x,_xlfn.XLOOKUP(tbl_main[[#This Row],[Service]],tbl_service[Service],tbl_service[Profit],""),
               IF(tbl_main[[#This Row],[Qty]]="","",_xlpm.x*tbl_main[[#This Row],[Qty]]))</f>
        <v>180</v>
      </c>
    </row>
    <row r="1040" spans="1:14" x14ac:dyDescent="0.25">
      <c r="A1040" t="s">
        <v>1082</v>
      </c>
      <c r="B1040" s="1">
        <v>46006</v>
      </c>
      <c r="C1040">
        <f>IF(tbl_main[[#This Row],[Date]]="","",YEAR(B1040))</f>
        <v>2025</v>
      </c>
      <c r="D1040" t="str">
        <f>IF(tbl_main[[#This Row],[Date]]="","",TEXT(B1040,"mmm"))</f>
        <v>Dec</v>
      </c>
      <c r="E1040" t="str">
        <f>IF(tbl_main[[#This Row],[Date]]="","",TEXT(B1040,"DDD"))</f>
        <v>Mon</v>
      </c>
      <c r="F1040" t="s">
        <v>13</v>
      </c>
      <c r="G1040" t="s">
        <v>33</v>
      </c>
      <c r="H1040" s="3" t="s">
        <v>24</v>
      </c>
      <c r="I1040" s="3" t="s">
        <v>37</v>
      </c>
      <c r="J1040" s="3" t="s">
        <v>25</v>
      </c>
      <c r="K1040" s="3">
        <f>_xlfn.XLOOKUP(tbl_main[[#This Row],[Service]],tbl_service[Service],tbl_service[Price],"")</f>
        <v>80</v>
      </c>
      <c r="L1040" s="3">
        <v>2</v>
      </c>
      <c r="M1040" s="3">
        <f>IF(AND(tbl_main[[#This Row],[Price]]="",tbl_main[[#This Row],[Qty]]=""),"",tbl_main[[#This Row],[Price]]*tbl_main[[#This Row],[Qty]])</f>
        <v>160</v>
      </c>
      <c r="N1040" s="3">
        <f>_xlfn.LET(_xlpm.x,_xlfn.XLOOKUP(tbl_main[[#This Row],[Service]],tbl_service[Service],tbl_service[Profit],""),
               IF(tbl_main[[#This Row],[Qty]]="","",_xlpm.x*tbl_main[[#This Row],[Qty]]))</f>
        <v>72</v>
      </c>
    </row>
    <row r="1041" spans="1:14" x14ac:dyDescent="0.25">
      <c r="A1041" t="s">
        <v>1083</v>
      </c>
      <c r="B1041" s="1">
        <v>46006</v>
      </c>
      <c r="C1041">
        <f>IF(tbl_main[[#This Row],[Date]]="","",YEAR(B1041))</f>
        <v>2025</v>
      </c>
      <c r="D1041" t="str">
        <f>IF(tbl_main[[#This Row],[Date]]="","",TEXT(B1041,"mmm"))</f>
        <v>Dec</v>
      </c>
      <c r="E1041" t="str">
        <f>IF(tbl_main[[#This Row],[Date]]="","",TEXT(B1041,"DDD"))</f>
        <v>Mon</v>
      </c>
      <c r="F1041" t="s">
        <v>20</v>
      </c>
      <c r="G1041" t="s">
        <v>39</v>
      </c>
      <c r="H1041" s="3" t="s">
        <v>24</v>
      </c>
      <c r="I1041" s="3" t="s">
        <v>38</v>
      </c>
      <c r="J1041" s="3" t="s">
        <v>25</v>
      </c>
      <c r="K1041" s="3">
        <f>_xlfn.XLOOKUP(tbl_main[[#This Row],[Service]],tbl_service[Service],tbl_service[Price],"")</f>
        <v>80</v>
      </c>
      <c r="L1041" s="3">
        <v>1</v>
      </c>
      <c r="M1041" s="3">
        <f>IF(AND(tbl_main[[#This Row],[Price]]="",tbl_main[[#This Row],[Qty]]=""),"",tbl_main[[#This Row],[Price]]*tbl_main[[#This Row],[Qty]])</f>
        <v>80</v>
      </c>
      <c r="N1041" s="3">
        <f>_xlfn.LET(_xlpm.x,_xlfn.XLOOKUP(tbl_main[[#This Row],[Service]],tbl_service[Service],tbl_service[Profit],""),
               IF(tbl_main[[#This Row],[Qty]]="","",_xlpm.x*tbl_main[[#This Row],[Qty]]))</f>
        <v>36</v>
      </c>
    </row>
    <row r="1042" spans="1:14" x14ac:dyDescent="0.25">
      <c r="A1042" t="s">
        <v>1084</v>
      </c>
      <c r="B1042" s="1">
        <v>46007</v>
      </c>
      <c r="C1042">
        <f>IF(tbl_main[[#This Row],[Date]]="","",YEAR(B1042))</f>
        <v>2025</v>
      </c>
      <c r="D1042" t="str">
        <f>IF(tbl_main[[#This Row],[Date]]="","",TEXT(B1042,"mmm"))</f>
        <v>Dec</v>
      </c>
      <c r="E1042" t="str">
        <f>IF(tbl_main[[#This Row],[Date]]="","",TEXT(B1042,"DDD"))</f>
        <v>Tue</v>
      </c>
      <c r="F1042" t="s">
        <v>30</v>
      </c>
      <c r="G1042" t="s">
        <v>36</v>
      </c>
      <c r="H1042" s="3" t="s">
        <v>24</v>
      </c>
      <c r="I1042" s="3" t="s">
        <v>16</v>
      </c>
      <c r="J1042" s="3" t="s">
        <v>32</v>
      </c>
      <c r="K1042" s="3">
        <f>_xlfn.XLOOKUP(tbl_main[[#This Row],[Service]],tbl_service[Service],tbl_service[Price],"")</f>
        <v>80</v>
      </c>
      <c r="L1042" s="3">
        <v>2</v>
      </c>
      <c r="M1042" s="3">
        <f>IF(AND(tbl_main[[#This Row],[Price]]="",tbl_main[[#This Row],[Qty]]=""),"",tbl_main[[#This Row],[Price]]*tbl_main[[#This Row],[Qty]])</f>
        <v>160</v>
      </c>
      <c r="N1042" s="3">
        <f>_xlfn.LET(_xlpm.x,_xlfn.XLOOKUP(tbl_main[[#This Row],[Service]],tbl_service[Service],tbl_service[Profit],""),
               IF(tbl_main[[#This Row],[Qty]]="","",_xlpm.x*tbl_main[[#This Row],[Qty]]))</f>
        <v>72</v>
      </c>
    </row>
    <row r="1043" spans="1:14" x14ac:dyDescent="0.25">
      <c r="A1043" t="s">
        <v>1085</v>
      </c>
      <c r="B1043" s="1">
        <v>46007</v>
      </c>
      <c r="C1043">
        <f>IF(tbl_main[[#This Row],[Date]]="","",YEAR(B1043))</f>
        <v>2025</v>
      </c>
      <c r="D1043" t="str">
        <f>IF(tbl_main[[#This Row],[Date]]="","",TEXT(B1043,"mmm"))</f>
        <v>Dec</v>
      </c>
      <c r="E1043" t="str">
        <f>IF(tbl_main[[#This Row],[Date]]="","",TEXT(B1043,"DDD"))</f>
        <v>Tue</v>
      </c>
      <c r="F1043" t="s">
        <v>27</v>
      </c>
      <c r="G1043" t="s">
        <v>40</v>
      </c>
      <c r="H1043" s="3" t="s">
        <v>34</v>
      </c>
      <c r="I1043" s="3" t="s">
        <v>19</v>
      </c>
      <c r="J1043" s="3" t="s">
        <v>32</v>
      </c>
      <c r="K1043" s="3">
        <f>_xlfn.XLOOKUP(tbl_main[[#This Row],[Service]],tbl_service[Service],tbl_service[Price],"")</f>
        <v>100</v>
      </c>
      <c r="L1043" s="3">
        <v>2</v>
      </c>
      <c r="M1043" s="3">
        <f>IF(AND(tbl_main[[#This Row],[Price]]="",tbl_main[[#This Row],[Qty]]=""),"",tbl_main[[#This Row],[Price]]*tbl_main[[#This Row],[Qty]])</f>
        <v>200</v>
      </c>
      <c r="N1043" s="3">
        <f>_xlfn.LET(_xlpm.x,_xlfn.XLOOKUP(tbl_main[[#This Row],[Service]],tbl_service[Service],tbl_service[Profit],""),
               IF(tbl_main[[#This Row],[Qty]]="","",_xlpm.x*tbl_main[[#This Row],[Qty]]))</f>
        <v>90</v>
      </c>
    </row>
    <row r="1044" spans="1:14" x14ac:dyDescent="0.25">
      <c r="A1044" t="s">
        <v>1086</v>
      </c>
      <c r="B1044" s="1">
        <v>46007</v>
      </c>
      <c r="C1044">
        <f>IF(tbl_main[[#This Row],[Date]]="","",YEAR(B1044))</f>
        <v>2025</v>
      </c>
      <c r="D1044" t="str">
        <f>IF(tbl_main[[#This Row],[Date]]="","",TEXT(B1044,"mmm"))</f>
        <v>Dec</v>
      </c>
      <c r="E1044" t="str">
        <f>IF(tbl_main[[#This Row],[Date]]="","",TEXT(B1044,"DDD"))</f>
        <v>Tue</v>
      </c>
      <c r="F1044" t="s">
        <v>27</v>
      </c>
      <c r="G1044" t="s">
        <v>40</v>
      </c>
      <c r="H1044" s="3" t="s">
        <v>22</v>
      </c>
      <c r="I1044" s="3" t="s">
        <v>43</v>
      </c>
      <c r="J1044" s="3" t="s">
        <v>17</v>
      </c>
      <c r="K1044" s="3">
        <f>_xlfn.XLOOKUP(tbl_main[[#This Row],[Service]],tbl_service[Service],tbl_service[Price],"")</f>
        <v>150</v>
      </c>
      <c r="L1044" s="3">
        <v>1</v>
      </c>
      <c r="M1044" s="3">
        <f>IF(AND(tbl_main[[#This Row],[Price]]="",tbl_main[[#This Row],[Qty]]=""),"",tbl_main[[#This Row],[Price]]*tbl_main[[#This Row],[Qty]])</f>
        <v>150</v>
      </c>
      <c r="N1044" s="3">
        <f>_xlfn.LET(_xlpm.x,_xlfn.XLOOKUP(tbl_main[[#This Row],[Service]],tbl_service[Service],tbl_service[Profit],""),
               IF(tbl_main[[#This Row],[Qty]]="","",_xlpm.x*tbl_main[[#This Row],[Qty]]))</f>
        <v>67</v>
      </c>
    </row>
    <row r="1045" spans="1:14" x14ac:dyDescent="0.25">
      <c r="A1045" t="s">
        <v>1087</v>
      </c>
      <c r="B1045" s="1">
        <v>46008</v>
      </c>
      <c r="C1045">
        <f>IF(tbl_main[[#This Row],[Date]]="","",YEAR(B1045))</f>
        <v>2025</v>
      </c>
      <c r="D1045" t="str">
        <f>IF(tbl_main[[#This Row],[Date]]="","",TEXT(B1045,"mmm"))</f>
        <v>Dec</v>
      </c>
      <c r="E1045" t="str">
        <f>IF(tbl_main[[#This Row],[Date]]="","",TEXT(B1045,"DDD"))</f>
        <v>Wed</v>
      </c>
      <c r="F1045" t="s">
        <v>27</v>
      </c>
      <c r="G1045" t="s">
        <v>40</v>
      </c>
      <c r="H1045" s="3" t="s">
        <v>22</v>
      </c>
      <c r="I1045" s="3" t="s">
        <v>41</v>
      </c>
      <c r="J1045" s="3" t="s">
        <v>25</v>
      </c>
      <c r="K1045" s="3">
        <f>_xlfn.XLOOKUP(tbl_main[[#This Row],[Service]],tbl_service[Service],tbl_service[Price],"")</f>
        <v>150</v>
      </c>
      <c r="L1045" s="3">
        <v>2</v>
      </c>
      <c r="M1045" s="3">
        <f>IF(AND(tbl_main[[#This Row],[Price]]="",tbl_main[[#This Row],[Qty]]=""),"",tbl_main[[#This Row],[Price]]*tbl_main[[#This Row],[Qty]])</f>
        <v>300</v>
      </c>
      <c r="N1045" s="3">
        <f>_xlfn.LET(_xlpm.x,_xlfn.XLOOKUP(tbl_main[[#This Row],[Service]],tbl_service[Service],tbl_service[Profit],""),
               IF(tbl_main[[#This Row],[Qty]]="","",_xlpm.x*tbl_main[[#This Row],[Qty]]))</f>
        <v>134</v>
      </c>
    </row>
    <row r="1046" spans="1:14" x14ac:dyDescent="0.25">
      <c r="A1046" t="s">
        <v>1088</v>
      </c>
      <c r="B1046" s="1">
        <v>46008</v>
      </c>
      <c r="C1046">
        <f>IF(tbl_main[[#This Row],[Date]]="","",YEAR(B1046))</f>
        <v>2025</v>
      </c>
      <c r="D1046" t="str">
        <f>IF(tbl_main[[#This Row],[Date]]="","",TEXT(B1046,"mmm"))</f>
        <v>Dec</v>
      </c>
      <c r="E1046" t="str">
        <f>IF(tbl_main[[#This Row],[Date]]="","",TEXT(B1046,"DDD"))</f>
        <v>Wed</v>
      </c>
      <c r="F1046" t="s">
        <v>13</v>
      </c>
      <c r="G1046" t="s">
        <v>14</v>
      </c>
      <c r="H1046" s="3" t="s">
        <v>34</v>
      </c>
      <c r="I1046" s="3" t="s">
        <v>41</v>
      </c>
      <c r="J1046" s="3" t="s">
        <v>17</v>
      </c>
      <c r="K1046" s="3">
        <f>_xlfn.XLOOKUP(tbl_main[[#This Row],[Service]],tbl_service[Service],tbl_service[Price],"")</f>
        <v>100</v>
      </c>
      <c r="L1046" s="3">
        <v>1</v>
      </c>
      <c r="M1046" s="3">
        <f>IF(AND(tbl_main[[#This Row],[Price]]="",tbl_main[[#This Row],[Qty]]=""),"",tbl_main[[#This Row],[Price]]*tbl_main[[#This Row],[Qty]])</f>
        <v>100</v>
      </c>
      <c r="N1046" s="3">
        <f>_xlfn.LET(_xlpm.x,_xlfn.XLOOKUP(tbl_main[[#This Row],[Service]],tbl_service[Service],tbl_service[Profit],""),
               IF(tbl_main[[#This Row],[Qty]]="","",_xlpm.x*tbl_main[[#This Row],[Qty]]))</f>
        <v>45</v>
      </c>
    </row>
    <row r="1047" spans="1:14" x14ac:dyDescent="0.25">
      <c r="A1047" t="s">
        <v>1089</v>
      </c>
      <c r="B1047" s="1">
        <v>46009</v>
      </c>
      <c r="C1047">
        <f>IF(tbl_main[[#This Row],[Date]]="","",YEAR(B1047))</f>
        <v>2025</v>
      </c>
      <c r="D1047" t="str">
        <f>IF(tbl_main[[#This Row],[Date]]="","",TEXT(B1047,"mmm"))</f>
        <v>Dec</v>
      </c>
      <c r="E1047" t="str">
        <f>IF(tbl_main[[#This Row],[Date]]="","",TEXT(B1047,"DDD"))</f>
        <v>Thu</v>
      </c>
      <c r="F1047" t="s">
        <v>30</v>
      </c>
      <c r="G1047" t="s">
        <v>31</v>
      </c>
      <c r="H1047" s="3" t="s">
        <v>26</v>
      </c>
      <c r="I1047" s="3" t="s">
        <v>35</v>
      </c>
      <c r="J1047" s="3" t="s">
        <v>25</v>
      </c>
      <c r="K1047" s="3">
        <f>_xlfn.XLOOKUP(tbl_main[[#This Row],[Service]],tbl_service[Service],tbl_service[Price],"")</f>
        <v>200</v>
      </c>
      <c r="L1047" s="3">
        <v>1</v>
      </c>
      <c r="M1047" s="3">
        <f>IF(AND(tbl_main[[#This Row],[Price]]="",tbl_main[[#This Row],[Qty]]=""),"",tbl_main[[#This Row],[Price]]*tbl_main[[#This Row],[Qty]])</f>
        <v>200</v>
      </c>
      <c r="N1047" s="3">
        <f>_xlfn.LET(_xlpm.x,_xlfn.XLOOKUP(tbl_main[[#This Row],[Service]],tbl_service[Service],tbl_service[Profit],""),
               IF(tbl_main[[#This Row],[Qty]]="","",_xlpm.x*tbl_main[[#This Row],[Qty]]))</f>
        <v>90</v>
      </c>
    </row>
    <row r="1048" spans="1:14" x14ac:dyDescent="0.25">
      <c r="A1048" t="s">
        <v>1090</v>
      </c>
      <c r="B1048" s="1">
        <v>46009</v>
      </c>
      <c r="C1048">
        <f>IF(tbl_main[[#This Row],[Date]]="","",YEAR(B1048))</f>
        <v>2025</v>
      </c>
      <c r="D1048" t="str">
        <f>IF(tbl_main[[#This Row],[Date]]="","",TEXT(B1048,"mmm"))</f>
        <v>Dec</v>
      </c>
      <c r="E1048" t="str">
        <f>IF(tbl_main[[#This Row],[Date]]="","",TEXT(B1048,"DDD"))</f>
        <v>Thu</v>
      </c>
      <c r="F1048" t="s">
        <v>27</v>
      </c>
      <c r="G1048" t="s">
        <v>40</v>
      </c>
      <c r="H1048" s="3" t="s">
        <v>24</v>
      </c>
      <c r="I1048" s="3" t="s">
        <v>35</v>
      </c>
      <c r="J1048" s="3" t="s">
        <v>25</v>
      </c>
      <c r="K1048" s="3">
        <f>_xlfn.XLOOKUP(tbl_main[[#This Row],[Service]],tbl_service[Service],tbl_service[Price],"")</f>
        <v>80</v>
      </c>
      <c r="L1048" s="3">
        <v>2</v>
      </c>
      <c r="M1048" s="3">
        <f>IF(AND(tbl_main[[#This Row],[Price]]="",tbl_main[[#This Row],[Qty]]=""),"",tbl_main[[#This Row],[Price]]*tbl_main[[#This Row],[Qty]])</f>
        <v>160</v>
      </c>
      <c r="N1048" s="3">
        <f>_xlfn.LET(_xlpm.x,_xlfn.XLOOKUP(tbl_main[[#This Row],[Service]],tbl_service[Service],tbl_service[Profit],""),
               IF(tbl_main[[#This Row],[Qty]]="","",_xlpm.x*tbl_main[[#This Row],[Qty]]))</f>
        <v>72</v>
      </c>
    </row>
    <row r="1049" spans="1:14" x14ac:dyDescent="0.25">
      <c r="A1049" t="s">
        <v>1091</v>
      </c>
      <c r="B1049" s="1">
        <v>46009</v>
      </c>
      <c r="C1049">
        <f>IF(tbl_main[[#This Row],[Date]]="","",YEAR(B1049))</f>
        <v>2025</v>
      </c>
      <c r="D1049" t="str">
        <f>IF(tbl_main[[#This Row],[Date]]="","",TEXT(B1049,"mmm"))</f>
        <v>Dec</v>
      </c>
      <c r="E1049" t="str">
        <f>IF(tbl_main[[#This Row],[Date]]="","",TEXT(B1049,"DDD"))</f>
        <v>Thu</v>
      </c>
      <c r="F1049" t="s">
        <v>13</v>
      </c>
      <c r="G1049" t="s">
        <v>14</v>
      </c>
      <c r="H1049" s="3" t="s">
        <v>15</v>
      </c>
      <c r="I1049" s="3" t="s">
        <v>23</v>
      </c>
      <c r="J1049" s="3" t="s">
        <v>32</v>
      </c>
      <c r="K1049" s="3">
        <f>_xlfn.XLOOKUP(tbl_main[[#This Row],[Service]],tbl_service[Service],tbl_service[Price],"")</f>
        <v>500</v>
      </c>
      <c r="L1049" s="3">
        <v>1</v>
      </c>
      <c r="M1049" s="3">
        <f>IF(AND(tbl_main[[#This Row],[Price]]="",tbl_main[[#This Row],[Qty]]=""),"",tbl_main[[#This Row],[Price]]*tbl_main[[#This Row],[Qty]])</f>
        <v>500</v>
      </c>
      <c r="N1049" s="3">
        <f>_xlfn.LET(_xlpm.x,_xlfn.XLOOKUP(tbl_main[[#This Row],[Service]],tbl_service[Service],tbl_service[Profit],""),
               IF(tbl_main[[#This Row],[Qty]]="","",_xlpm.x*tbl_main[[#This Row],[Qty]]))</f>
        <v>225</v>
      </c>
    </row>
    <row r="1050" spans="1:14" x14ac:dyDescent="0.25">
      <c r="A1050" t="s">
        <v>1092</v>
      </c>
      <c r="B1050" s="1">
        <v>46010</v>
      </c>
      <c r="C1050">
        <f>IF(tbl_main[[#This Row],[Date]]="","",YEAR(B1050))</f>
        <v>2025</v>
      </c>
      <c r="D1050" t="str">
        <f>IF(tbl_main[[#This Row],[Date]]="","",TEXT(B1050,"mmm"))</f>
        <v>Dec</v>
      </c>
      <c r="E1050" t="str">
        <f>IF(tbl_main[[#This Row],[Date]]="","",TEXT(B1050,"DDD"))</f>
        <v>Fri</v>
      </c>
      <c r="F1050" t="s">
        <v>30</v>
      </c>
      <c r="G1050" t="s">
        <v>36</v>
      </c>
      <c r="H1050" s="3" t="s">
        <v>24</v>
      </c>
      <c r="I1050" s="3" t="s">
        <v>37</v>
      </c>
      <c r="J1050" s="3" t="s">
        <v>17</v>
      </c>
      <c r="K1050" s="3">
        <f>_xlfn.XLOOKUP(tbl_main[[#This Row],[Service]],tbl_service[Service],tbl_service[Price],"")</f>
        <v>80</v>
      </c>
      <c r="L1050" s="3">
        <v>2</v>
      </c>
      <c r="M1050" s="3">
        <f>IF(AND(tbl_main[[#This Row],[Price]]="",tbl_main[[#This Row],[Qty]]=""),"",tbl_main[[#This Row],[Price]]*tbl_main[[#This Row],[Qty]])</f>
        <v>160</v>
      </c>
      <c r="N1050" s="3">
        <f>_xlfn.LET(_xlpm.x,_xlfn.XLOOKUP(tbl_main[[#This Row],[Service]],tbl_service[Service],tbl_service[Profit],""),
               IF(tbl_main[[#This Row],[Qty]]="","",_xlpm.x*tbl_main[[#This Row],[Qty]]))</f>
        <v>72</v>
      </c>
    </row>
    <row r="1051" spans="1:14" x14ac:dyDescent="0.25">
      <c r="A1051" t="s">
        <v>1093</v>
      </c>
      <c r="B1051" s="1">
        <v>46010</v>
      </c>
      <c r="C1051">
        <f>IF(tbl_main[[#This Row],[Date]]="","",YEAR(B1051))</f>
        <v>2025</v>
      </c>
      <c r="D1051" t="str">
        <f>IF(tbl_main[[#This Row],[Date]]="","",TEXT(B1051,"mmm"))</f>
        <v>Dec</v>
      </c>
      <c r="E1051" t="str">
        <f>IF(tbl_main[[#This Row],[Date]]="","",TEXT(B1051,"DDD"))</f>
        <v>Fri</v>
      </c>
      <c r="F1051" t="s">
        <v>30</v>
      </c>
      <c r="G1051" t="s">
        <v>36</v>
      </c>
      <c r="H1051" s="3" t="s">
        <v>15</v>
      </c>
      <c r="I1051" s="3" t="s">
        <v>38</v>
      </c>
      <c r="J1051" s="3" t="s">
        <v>17</v>
      </c>
      <c r="K1051" s="3">
        <f>_xlfn.XLOOKUP(tbl_main[[#This Row],[Service]],tbl_service[Service],tbl_service[Price],"")</f>
        <v>500</v>
      </c>
      <c r="L1051" s="3">
        <v>2</v>
      </c>
      <c r="M1051" s="3">
        <f>IF(AND(tbl_main[[#This Row],[Price]]="",tbl_main[[#This Row],[Qty]]=""),"",tbl_main[[#This Row],[Price]]*tbl_main[[#This Row],[Qty]])</f>
        <v>1000</v>
      </c>
      <c r="N1051" s="3">
        <f>_xlfn.LET(_xlpm.x,_xlfn.XLOOKUP(tbl_main[[#This Row],[Service]],tbl_service[Service],tbl_service[Profit],""),
               IF(tbl_main[[#This Row],[Qty]]="","",_xlpm.x*tbl_main[[#This Row],[Qty]]))</f>
        <v>450</v>
      </c>
    </row>
    <row r="1052" spans="1:14" x14ac:dyDescent="0.25">
      <c r="A1052" t="s">
        <v>1094</v>
      </c>
      <c r="B1052" s="1">
        <v>46010</v>
      </c>
      <c r="C1052">
        <f>IF(tbl_main[[#This Row],[Date]]="","",YEAR(B1052))</f>
        <v>2025</v>
      </c>
      <c r="D1052" t="str">
        <f>IF(tbl_main[[#This Row],[Date]]="","",TEXT(B1052,"mmm"))</f>
        <v>Dec</v>
      </c>
      <c r="E1052" t="str">
        <f>IF(tbl_main[[#This Row],[Date]]="","",TEXT(B1052,"DDD"))</f>
        <v>Fri</v>
      </c>
      <c r="F1052" t="s">
        <v>20</v>
      </c>
      <c r="G1052" t="s">
        <v>29</v>
      </c>
      <c r="H1052" s="3" t="s">
        <v>26</v>
      </c>
      <c r="I1052" s="3" t="s">
        <v>16</v>
      </c>
      <c r="J1052" s="3" t="s">
        <v>17</v>
      </c>
      <c r="K1052" s="3">
        <f>_xlfn.XLOOKUP(tbl_main[[#This Row],[Service]],tbl_service[Service],tbl_service[Price],"")</f>
        <v>200</v>
      </c>
      <c r="L1052" s="3">
        <v>1</v>
      </c>
      <c r="M1052" s="3">
        <f>IF(AND(tbl_main[[#This Row],[Price]]="",tbl_main[[#This Row],[Qty]]=""),"",tbl_main[[#This Row],[Price]]*tbl_main[[#This Row],[Qty]])</f>
        <v>200</v>
      </c>
      <c r="N1052" s="3">
        <f>_xlfn.LET(_xlpm.x,_xlfn.XLOOKUP(tbl_main[[#This Row],[Service]],tbl_service[Service],tbl_service[Profit],""),
               IF(tbl_main[[#This Row],[Qty]]="","",_xlpm.x*tbl_main[[#This Row],[Qty]]))</f>
        <v>90</v>
      </c>
    </row>
    <row r="1053" spans="1:14" x14ac:dyDescent="0.25">
      <c r="A1053" t="s">
        <v>1095</v>
      </c>
      <c r="B1053" s="1">
        <v>46010</v>
      </c>
      <c r="C1053">
        <f>IF(tbl_main[[#This Row],[Date]]="","",YEAR(B1053))</f>
        <v>2025</v>
      </c>
      <c r="D1053" t="str">
        <f>IF(tbl_main[[#This Row],[Date]]="","",TEXT(B1053,"mmm"))</f>
        <v>Dec</v>
      </c>
      <c r="E1053" t="str">
        <f>IF(tbl_main[[#This Row],[Date]]="","",TEXT(B1053,"DDD"))</f>
        <v>Fri</v>
      </c>
      <c r="F1053" t="s">
        <v>27</v>
      </c>
      <c r="G1053" t="s">
        <v>40</v>
      </c>
      <c r="H1053" s="3" t="s">
        <v>26</v>
      </c>
      <c r="I1053" s="3" t="s">
        <v>19</v>
      </c>
      <c r="J1053" s="3" t="s">
        <v>17</v>
      </c>
      <c r="K1053" s="3">
        <f>_xlfn.XLOOKUP(tbl_main[[#This Row],[Service]],tbl_service[Service],tbl_service[Price],"")</f>
        <v>200</v>
      </c>
      <c r="L1053" s="3">
        <v>2</v>
      </c>
      <c r="M1053" s="3">
        <f>IF(AND(tbl_main[[#This Row],[Price]]="",tbl_main[[#This Row],[Qty]]=""),"",tbl_main[[#This Row],[Price]]*tbl_main[[#This Row],[Qty]])</f>
        <v>400</v>
      </c>
      <c r="N1053" s="3">
        <f>_xlfn.LET(_xlpm.x,_xlfn.XLOOKUP(tbl_main[[#This Row],[Service]],tbl_service[Service],tbl_service[Profit],""),
               IF(tbl_main[[#This Row],[Qty]]="","",_xlpm.x*tbl_main[[#This Row],[Qty]]))</f>
        <v>180</v>
      </c>
    </row>
    <row r="1054" spans="1:14" x14ac:dyDescent="0.25">
      <c r="A1054" t="s">
        <v>1096</v>
      </c>
      <c r="B1054" s="1">
        <v>46011</v>
      </c>
      <c r="C1054">
        <f>IF(tbl_main[[#This Row],[Date]]="","",YEAR(B1054))</f>
        <v>2025</v>
      </c>
      <c r="D1054" t="str">
        <f>IF(tbl_main[[#This Row],[Date]]="","",TEXT(B1054,"mmm"))</f>
        <v>Dec</v>
      </c>
      <c r="E1054" t="str">
        <f>IF(tbl_main[[#This Row],[Date]]="","",TEXT(B1054,"DDD"))</f>
        <v>Sat</v>
      </c>
      <c r="F1054" t="s">
        <v>27</v>
      </c>
      <c r="G1054" t="s">
        <v>40</v>
      </c>
      <c r="H1054" s="3" t="s">
        <v>22</v>
      </c>
      <c r="I1054" s="3" t="s">
        <v>43</v>
      </c>
      <c r="J1054" s="3" t="s">
        <v>32</v>
      </c>
      <c r="K1054" s="3">
        <f>_xlfn.XLOOKUP(tbl_main[[#This Row],[Service]],tbl_service[Service],tbl_service[Price],"")</f>
        <v>150</v>
      </c>
      <c r="L1054" s="3">
        <v>1</v>
      </c>
      <c r="M1054" s="3">
        <f>IF(AND(tbl_main[[#This Row],[Price]]="",tbl_main[[#This Row],[Qty]]=""),"",tbl_main[[#This Row],[Price]]*tbl_main[[#This Row],[Qty]])</f>
        <v>150</v>
      </c>
      <c r="N1054" s="3">
        <f>_xlfn.LET(_xlpm.x,_xlfn.XLOOKUP(tbl_main[[#This Row],[Service]],tbl_service[Service],tbl_service[Profit],""),
               IF(tbl_main[[#This Row],[Qty]]="","",_xlpm.x*tbl_main[[#This Row],[Qty]]))</f>
        <v>67</v>
      </c>
    </row>
    <row r="1055" spans="1:14" x14ac:dyDescent="0.25">
      <c r="A1055" t="s">
        <v>1097</v>
      </c>
      <c r="B1055" s="1">
        <v>46011</v>
      </c>
      <c r="C1055">
        <f>IF(tbl_main[[#This Row],[Date]]="","",YEAR(B1055))</f>
        <v>2025</v>
      </c>
      <c r="D1055" t="str">
        <f>IF(tbl_main[[#This Row],[Date]]="","",TEXT(B1055,"mmm"))</f>
        <v>Dec</v>
      </c>
      <c r="E1055" t="str">
        <f>IF(tbl_main[[#This Row],[Date]]="","",TEXT(B1055,"DDD"))</f>
        <v>Sat</v>
      </c>
      <c r="F1055" t="s">
        <v>27</v>
      </c>
      <c r="G1055" t="s">
        <v>40</v>
      </c>
      <c r="H1055" s="3" t="s">
        <v>24</v>
      </c>
      <c r="I1055" s="3" t="s">
        <v>41</v>
      </c>
      <c r="J1055" s="3" t="s">
        <v>25</v>
      </c>
      <c r="K1055" s="3">
        <f>_xlfn.XLOOKUP(tbl_main[[#This Row],[Service]],tbl_service[Service],tbl_service[Price],"")</f>
        <v>80</v>
      </c>
      <c r="L1055" s="3">
        <v>2</v>
      </c>
      <c r="M1055" s="3">
        <f>IF(AND(tbl_main[[#This Row],[Price]]="",tbl_main[[#This Row],[Qty]]=""),"",tbl_main[[#This Row],[Price]]*tbl_main[[#This Row],[Qty]])</f>
        <v>160</v>
      </c>
      <c r="N1055" s="3">
        <f>_xlfn.LET(_xlpm.x,_xlfn.XLOOKUP(tbl_main[[#This Row],[Service]],tbl_service[Service],tbl_service[Profit],""),
               IF(tbl_main[[#This Row],[Qty]]="","",_xlpm.x*tbl_main[[#This Row],[Qty]]))</f>
        <v>72</v>
      </c>
    </row>
    <row r="1056" spans="1:14" x14ac:dyDescent="0.25">
      <c r="A1056" t="s">
        <v>1098</v>
      </c>
      <c r="B1056" s="1">
        <v>46011</v>
      </c>
      <c r="C1056">
        <f>IF(tbl_main[[#This Row],[Date]]="","",YEAR(B1056))</f>
        <v>2025</v>
      </c>
      <c r="D1056" t="str">
        <f>IF(tbl_main[[#This Row],[Date]]="","",TEXT(B1056,"mmm"))</f>
        <v>Dec</v>
      </c>
      <c r="E1056" t="str">
        <f>IF(tbl_main[[#This Row],[Date]]="","",TEXT(B1056,"DDD"))</f>
        <v>Sat</v>
      </c>
      <c r="F1056" t="s">
        <v>30</v>
      </c>
      <c r="G1056" t="s">
        <v>36</v>
      </c>
      <c r="H1056" s="3" t="s">
        <v>34</v>
      </c>
      <c r="I1056" s="3" t="s">
        <v>41</v>
      </c>
      <c r="J1056" s="3" t="s">
        <v>17</v>
      </c>
      <c r="K1056" s="3">
        <f>_xlfn.XLOOKUP(tbl_main[[#This Row],[Service]],tbl_service[Service],tbl_service[Price],"")</f>
        <v>100</v>
      </c>
      <c r="L1056" s="3">
        <v>1</v>
      </c>
      <c r="M1056" s="3">
        <f>IF(AND(tbl_main[[#This Row],[Price]]="",tbl_main[[#This Row],[Qty]]=""),"",tbl_main[[#This Row],[Price]]*tbl_main[[#This Row],[Qty]])</f>
        <v>100</v>
      </c>
      <c r="N1056" s="3">
        <f>_xlfn.LET(_xlpm.x,_xlfn.XLOOKUP(tbl_main[[#This Row],[Service]],tbl_service[Service],tbl_service[Profit],""),
               IF(tbl_main[[#This Row],[Qty]]="","",_xlpm.x*tbl_main[[#This Row],[Qty]]))</f>
        <v>45</v>
      </c>
    </row>
    <row r="1057" spans="1:14" x14ac:dyDescent="0.25">
      <c r="A1057" t="s">
        <v>1099</v>
      </c>
      <c r="B1057" s="1">
        <v>46011</v>
      </c>
      <c r="C1057">
        <f>IF(tbl_main[[#This Row],[Date]]="","",YEAR(B1057))</f>
        <v>2025</v>
      </c>
      <c r="D1057" t="str">
        <f>IF(tbl_main[[#This Row],[Date]]="","",TEXT(B1057,"mmm"))</f>
        <v>Dec</v>
      </c>
      <c r="E1057" t="str">
        <f>IF(tbl_main[[#This Row],[Date]]="","",TEXT(B1057,"DDD"))</f>
        <v>Sat</v>
      </c>
      <c r="F1057" t="s">
        <v>13</v>
      </c>
      <c r="G1057" t="s">
        <v>14</v>
      </c>
      <c r="H1057" s="3" t="s">
        <v>34</v>
      </c>
      <c r="I1057" s="3" t="s">
        <v>35</v>
      </c>
      <c r="J1057" s="3" t="s">
        <v>32</v>
      </c>
      <c r="K1057" s="3">
        <f>_xlfn.XLOOKUP(tbl_main[[#This Row],[Service]],tbl_service[Service],tbl_service[Price],"")</f>
        <v>100</v>
      </c>
      <c r="L1057" s="3">
        <v>2</v>
      </c>
      <c r="M1057" s="3">
        <f>IF(AND(tbl_main[[#This Row],[Price]]="",tbl_main[[#This Row],[Qty]]=""),"",tbl_main[[#This Row],[Price]]*tbl_main[[#This Row],[Qty]])</f>
        <v>200</v>
      </c>
      <c r="N1057" s="3">
        <f>_xlfn.LET(_xlpm.x,_xlfn.XLOOKUP(tbl_main[[#This Row],[Service]],tbl_service[Service],tbl_service[Profit],""),
               IF(tbl_main[[#This Row],[Qty]]="","",_xlpm.x*tbl_main[[#This Row],[Qty]]))</f>
        <v>90</v>
      </c>
    </row>
    <row r="1058" spans="1:14" x14ac:dyDescent="0.25">
      <c r="A1058" t="s">
        <v>1100</v>
      </c>
      <c r="B1058" s="1">
        <v>46012</v>
      </c>
      <c r="C1058">
        <f>IF(tbl_main[[#This Row],[Date]]="","",YEAR(B1058))</f>
        <v>2025</v>
      </c>
      <c r="D1058" t="str">
        <f>IF(tbl_main[[#This Row],[Date]]="","",TEXT(B1058,"mmm"))</f>
        <v>Dec</v>
      </c>
      <c r="E1058" t="str">
        <f>IF(tbl_main[[#This Row],[Date]]="","",TEXT(B1058,"DDD"))</f>
        <v>Sun</v>
      </c>
      <c r="F1058" t="s">
        <v>30</v>
      </c>
      <c r="G1058" t="s">
        <v>36</v>
      </c>
      <c r="H1058" s="3" t="s">
        <v>15</v>
      </c>
      <c r="I1058" s="3" t="s">
        <v>35</v>
      </c>
      <c r="J1058" s="3" t="s">
        <v>25</v>
      </c>
      <c r="K1058" s="3">
        <f>_xlfn.XLOOKUP(tbl_main[[#This Row],[Service]],tbl_service[Service],tbl_service[Price],"")</f>
        <v>500</v>
      </c>
      <c r="L1058" s="3">
        <v>1</v>
      </c>
      <c r="M1058" s="3">
        <f>IF(AND(tbl_main[[#This Row],[Price]]="",tbl_main[[#This Row],[Qty]]=""),"",tbl_main[[#This Row],[Price]]*tbl_main[[#This Row],[Qty]])</f>
        <v>500</v>
      </c>
      <c r="N1058" s="3">
        <f>_xlfn.LET(_xlpm.x,_xlfn.XLOOKUP(tbl_main[[#This Row],[Service]],tbl_service[Service],tbl_service[Profit],""),
               IF(tbl_main[[#This Row],[Qty]]="","",_xlpm.x*tbl_main[[#This Row],[Qty]]))</f>
        <v>225</v>
      </c>
    </row>
    <row r="1059" spans="1:14" x14ac:dyDescent="0.25">
      <c r="A1059" t="s">
        <v>1101</v>
      </c>
      <c r="B1059" s="1">
        <v>46012</v>
      </c>
      <c r="C1059">
        <f>IF(tbl_main[[#This Row],[Date]]="","",YEAR(B1059))</f>
        <v>2025</v>
      </c>
      <c r="D1059" t="str">
        <f>IF(tbl_main[[#This Row],[Date]]="","",TEXT(B1059,"mmm"))</f>
        <v>Dec</v>
      </c>
      <c r="E1059" t="str">
        <f>IF(tbl_main[[#This Row],[Date]]="","",TEXT(B1059,"DDD"))</f>
        <v>Sun</v>
      </c>
      <c r="F1059" t="s">
        <v>27</v>
      </c>
      <c r="G1059" t="s">
        <v>28</v>
      </c>
      <c r="H1059" s="3" t="s">
        <v>22</v>
      </c>
      <c r="I1059" s="3" t="s">
        <v>23</v>
      </c>
      <c r="J1059" s="3" t="s">
        <v>17</v>
      </c>
      <c r="K1059" s="3">
        <f>_xlfn.XLOOKUP(tbl_main[[#This Row],[Service]],tbl_service[Service],tbl_service[Price],"")</f>
        <v>150</v>
      </c>
      <c r="L1059" s="3">
        <v>1</v>
      </c>
      <c r="M1059" s="3">
        <f>IF(AND(tbl_main[[#This Row],[Price]]="",tbl_main[[#This Row],[Qty]]=""),"",tbl_main[[#This Row],[Price]]*tbl_main[[#This Row],[Qty]])</f>
        <v>150</v>
      </c>
      <c r="N1059" s="3">
        <f>_xlfn.LET(_xlpm.x,_xlfn.XLOOKUP(tbl_main[[#This Row],[Service]],tbl_service[Service],tbl_service[Profit],""),
               IF(tbl_main[[#This Row],[Qty]]="","",_xlpm.x*tbl_main[[#This Row],[Qty]]))</f>
        <v>67</v>
      </c>
    </row>
    <row r="1060" spans="1:14" x14ac:dyDescent="0.25">
      <c r="A1060" t="s">
        <v>1102</v>
      </c>
      <c r="B1060" s="1">
        <v>46012</v>
      </c>
      <c r="C1060">
        <f>IF(tbl_main[[#This Row],[Date]]="","",YEAR(B1060))</f>
        <v>2025</v>
      </c>
      <c r="D1060" t="str">
        <f>IF(tbl_main[[#This Row],[Date]]="","",TEXT(B1060,"mmm"))</f>
        <v>Dec</v>
      </c>
      <c r="E1060" t="str">
        <f>IF(tbl_main[[#This Row],[Date]]="","",TEXT(B1060,"DDD"))</f>
        <v>Sun</v>
      </c>
      <c r="F1060" t="s">
        <v>30</v>
      </c>
      <c r="G1060" t="s">
        <v>31</v>
      </c>
      <c r="H1060" s="3" t="s">
        <v>22</v>
      </c>
      <c r="I1060" s="3" t="s">
        <v>37</v>
      </c>
      <c r="J1060" s="3" t="s">
        <v>32</v>
      </c>
      <c r="K1060" s="3">
        <f>_xlfn.XLOOKUP(tbl_main[[#This Row],[Service]],tbl_service[Service],tbl_service[Price],"")</f>
        <v>150</v>
      </c>
      <c r="L1060" s="3">
        <v>1</v>
      </c>
      <c r="M1060" s="3">
        <f>IF(AND(tbl_main[[#This Row],[Price]]="",tbl_main[[#This Row],[Qty]]=""),"",tbl_main[[#This Row],[Price]]*tbl_main[[#This Row],[Qty]])</f>
        <v>150</v>
      </c>
      <c r="N1060" s="3">
        <f>_xlfn.LET(_xlpm.x,_xlfn.XLOOKUP(tbl_main[[#This Row],[Service]],tbl_service[Service],tbl_service[Profit],""),
               IF(tbl_main[[#This Row],[Qty]]="","",_xlpm.x*tbl_main[[#This Row],[Qty]]))</f>
        <v>67</v>
      </c>
    </row>
    <row r="1061" spans="1:14" x14ac:dyDescent="0.25">
      <c r="A1061" t="s">
        <v>1103</v>
      </c>
      <c r="B1061" s="1">
        <v>46013</v>
      </c>
      <c r="C1061">
        <f>IF(tbl_main[[#This Row],[Date]]="","",YEAR(B1061))</f>
        <v>2025</v>
      </c>
      <c r="D1061" t="str">
        <f>IF(tbl_main[[#This Row],[Date]]="","",TEXT(B1061,"mmm"))</f>
        <v>Dec</v>
      </c>
      <c r="E1061" t="str">
        <f>IF(tbl_main[[#This Row],[Date]]="","",TEXT(B1061,"DDD"))</f>
        <v>Mon</v>
      </c>
      <c r="F1061" t="s">
        <v>30</v>
      </c>
      <c r="G1061" t="s">
        <v>36</v>
      </c>
      <c r="H1061" s="3" t="s">
        <v>26</v>
      </c>
      <c r="I1061" s="3" t="s">
        <v>38</v>
      </c>
      <c r="J1061" s="3" t="s">
        <v>32</v>
      </c>
      <c r="K1061" s="3">
        <f>_xlfn.XLOOKUP(tbl_main[[#This Row],[Service]],tbl_service[Service],tbl_service[Price],"")</f>
        <v>200</v>
      </c>
      <c r="L1061" s="3">
        <v>2</v>
      </c>
      <c r="M1061" s="3">
        <f>IF(AND(tbl_main[[#This Row],[Price]]="",tbl_main[[#This Row],[Qty]]=""),"",tbl_main[[#This Row],[Price]]*tbl_main[[#This Row],[Qty]])</f>
        <v>400</v>
      </c>
      <c r="N1061" s="3">
        <f>_xlfn.LET(_xlpm.x,_xlfn.XLOOKUP(tbl_main[[#This Row],[Service]],tbl_service[Service],tbl_service[Profit],""),
               IF(tbl_main[[#This Row],[Qty]]="","",_xlpm.x*tbl_main[[#This Row],[Qty]]))</f>
        <v>180</v>
      </c>
    </row>
    <row r="1062" spans="1:14" x14ac:dyDescent="0.25">
      <c r="A1062" t="s">
        <v>1104</v>
      </c>
      <c r="B1062" s="1">
        <v>46013</v>
      </c>
      <c r="C1062">
        <f>IF(tbl_main[[#This Row],[Date]]="","",YEAR(B1062))</f>
        <v>2025</v>
      </c>
      <c r="D1062" t="str">
        <f>IF(tbl_main[[#This Row],[Date]]="","",TEXT(B1062,"mmm"))</f>
        <v>Dec</v>
      </c>
      <c r="E1062" t="str">
        <f>IF(tbl_main[[#This Row],[Date]]="","",TEXT(B1062,"DDD"))</f>
        <v>Mon</v>
      </c>
      <c r="F1062" t="s">
        <v>20</v>
      </c>
      <c r="G1062" t="s">
        <v>39</v>
      </c>
      <c r="H1062" s="3" t="s">
        <v>15</v>
      </c>
      <c r="I1062" s="3" t="s">
        <v>16</v>
      </c>
      <c r="J1062" s="3" t="s">
        <v>25</v>
      </c>
      <c r="K1062" s="3">
        <f>_xlfn.XLOOKUP(tbl_main[[#This Row],[Service]],tbl_service[Service],tbl_service[Price],"")</f>
        <v>500</v>
      </c>
      <c r="L1062" s="3">
        <v>1</v>
      </c>
      <c r="M1062" s="3">
        <f>IF(AND(tbl_main[[#This Row],[Price]]="",tbl_main[[#This Row],[Qty]]=""),"",tbl_main[[#This Row],[Price]]*tbl_main[[#This Row],[Qty]])</f>
        <v>500</v>
      </c>
      <c r="N1062" s="3">
        <f>_xlfn.LET(_xlpm.x,_xlfn.XLOOKUP(tbl_main[[#This Row],[Service]],tbl_service[Service],tbl_service[Profit],""),
               IF(tbl_main[[#This Row],[Qty]]="","",_xlpm.x*tbl_main[[#This Row],[Qty]]))</f>
        <v>225</v>
      </c>
    </row>
    <row r="1063" spans="1:14" x14ac:dyDescent="0.25">
      <c r="A1063" t="s">
        <v>1105</v>
      </c>
      <c r="B1063" s="1">
        <v>46013</v>
      </c>
      <c r="C1063">
        <f>IF(tbl_main[[#This Row],[Date]]="","",YEAR(B1063))</f>
        <v>2025</v>
      </c>
      <c r="D1063" t="str">
        <f>IF(tbl_main[[#This Row],[Date]]="","",TEXT(B1063,"mmm"))</f>
        <v>Dec</v>
      </c>
      <c r="E1063" t="str">
        <f>IF(tbl_main[[#This Row],[Date]]="","",TEXT(B1063,"DDD"))</f>
        <v>Mon</v>
      </c>
      <c r="F1063" t="s">
        <v>13</v>
      </c>
      <c r="G1063" t="s">
        <v>14</v>
      </c>
      <c r="H1063" s="3" t="s">
        <v>15</v>
      </c>
      <c r="I1063" s="3" t="s">
        <v>19</v>
      </c>
      <c r="J1063" s="3" t="s">
        <v>32</v>
      </c>
      <c r="K1063" s="3">
        <f>_xlfn.XLOOKUP(tbl_main[[#This Row],[Service]],tbl_service[Service],tbl_service[Price],"")</f>
        <v>500</v>
      </c>
      <c r="L1063" s="3">
        <v>2</v>
      </c>
      <c r="M1063" s="3">
        <f>IF(AND(tbl_main[[#This Row],[Price]]="",tbl_main[[#This Row],[Qty]]=""),"",tbl_main[[#This Row],[Price]]*tbl_main[[#This Row],[Qty]])</f>
        <v>1000</v>
      </c>
      <c r="N1063" s="3">
        <f>_xlfn.LET(_xlpm.x,_xlfn.XLOOKUP(tbl_main[[#This Row],[Service]],tbl_service[Service],tbl_service[Profit],""),
               IF(tbl_main[[#This Row],[Qty]]="","",_xlpm.x*tbl_main[[#This Row],[Qty]]))</f>
        <v>450</v>
      </c>
    </row>
    <row r="1064" spans="1:14" x14ac:dyDescent="0.25">
      <c r="A1064" t="s">
        <v>1106</v>
      </c>
      <c r="B1064" s="1">
        <v>46014</v>
      </c>
      <c r="C1064">
        <f>IF(tbl_main[[#This Row],[Date]]="","",YEAR(B1064))</f>
        <v>2025</v>
      </c>
      <c r="D1064" t="str">
        <f>IF(tbl_main[[#This Row],[Date]]="","",TEXT(B1064,"mmm"))</f>
        <v>Dec</v>
      </c>
      <c r="E1064" t="str">
        <f>IF(tbl_main[[#This Row],[Date]]="","",TEXT(B1064,"DDD"))</f>
        <v>Tue</v>
      </c>
      <c r="F1064" t="s">
        <v>27</v>
      </c>
      <c r="G1064" t="s">
        <v>28</v>
      </c>
      <c r="H1064" s="3" t="s">
        <v>18</v>
      </c>
      <c r="I1064" s="3" t="s">
        <v>43</v>
      </c>
      <c r="J1064" s="3" t="s">
        <v>25</v>
      </c>
      <c r="K1064" s="3">
        <f>_xlfn.XLOOKUP(tbl_main[[#This Row],[Service]],tbl_service[Service],tbl_service[Price],"")</f>
        <v>500</v>
      </c>
      <c r="L1064" s="3">
        <v>1</v>
      </c>
      <c r="M1064" s="3">
        <f>IF(AND(tbl_main[[#This Row],[Price]]="",tbl_main[[#This Row],[Qty]]=""),"",tbl_main[[#This Row],[Price]]*tbl_main[[#This Row],[Qty]])</f>
        <v>500</v>
      </c>
      <c r="N1064" s="3">
        <f>_xlfn.LET(_xlpm.x,_xlfn.XLOOKUP(tbl_main[[#This Row],[Service]],tbl_service[Service],tbl_service[Profit],""),
               IF(tbl_main[[#This Row],[Qty]]="","",_xlpm.x*tbl_main[[#This Row],[Qty]]))</f>
        <v>157</v>
      </c>
    </row>
    <row r="1065" spans="1:14" x14ac:dyDescent="0.25">
      <c r="A1065" t="s">
        <v>1107</v>
      </c>
      <c r="B1065" s="1">
        <v>46014</v>
      </c>
      <c r="C1065">
        <f>IF(tbl_main[[#This Row],[Date]]="","",YEAR(B1065))</f>
        <v>2025</v>
      </c>
      <c r="D1065" t="str">
        <f>IF(tbl_main[[#This Row],[Date]]="","",TEXT(B1065,"mmm"))</f>
        <v>Dec</v>
      </c>
      <c r="E1065" t="str">
        <f>IF(tbl_main[[#This Row],[Date]]="","",TEXT(B1065,"DDD"))</f>
        <v>Tue</v>
      </c>
      <c r="F1065" t="s">
        <v>27</v>
      </c>
      <c r="G1065" t="s">
        <v>28</v>
      </c>
      <c r="H1065" s="3" t="s">
        <v>24</v>
      </c>
      <c r="I1065" s="3" t="s">
        <v>41</v>
      </c>
      <c r="J1065" s="3" t="s">
        <v>32</v>
      </c>
      <c r="K1065" s="3">
        <f>_xlfn.XLOOKUP(tbl_main[[#This Row],[Service]],tbl_service[Service],tbl_service[Price],"")</f>
        <v>80</v>
      </c>
      <c r="L1065" s="3">
        <v>1</v>
      </c>
      <c r="M1065" s="3">
        <f>IF(AND(tbl_main[[#This Row],[Price]]="",tbl_main[[#This Row],[Qty]]=""),"",tbl_main[[#This Row],[Price]]*tbl_main[[#This Row],[Qty]])</f>
        <v>80</v>
      </c>
      <c r="N1065" s="3">
        <f>_xlfn.LET(_xlpm.x,_xlfn.XLOOKUP(tbl_main[[#This Row],[Service]],tbl_service[Service],tbl_service[Profit],""),
               IF(tbl_main[[#This Row],[Qty]]="","",_xlpm.x*tbl_main[[#This Row],[Qty]]))</f>
        <v>36</v>
      </c>
    </row>
    <row r="1066" spans="1:14" x14ac:dyDescent="0.25">
      <c r="A1066" t="s">
        <v>1108</v>
      </c>
      <c r="B1066" s="1">
        <v>46014</v>
      </c>
      <c r="C1066">
        <f>IF(tbl_main[[#This Row],[Date]]="","",YEAR(B1066))</f>
        <v>2025</v>
      </c>
      <c r="D1066" t="str">
        <f>IF(tbl_main[[#This Row],[Date]]="","",TEXT(B1066,"mmm"))</f>
        <v>Dec</v>
      </c>
      <c r="E1066" t="str">
        <f>IF(tbl_main[[#This Row],[Date]]="","",TEXT(B1066,"DDD"))</f>
        <v>Tue</v>
      </c>
      <c r="F1066" t="s">
        <v>13</v>
      </c>
      <c r="G1066" t="s">
        <v>33</v>
      </c>
      <c r="H1066" s="3" t="s">
        <v>24</v>
      </c>
      <c r="I1066" s="3" t="s">
        <v>41</v>
      </c>
      <c r="J1066" s="3" t="s">
        <v>25</v>
      </c>
      <c r="K1066" s="3">
        <f>_xlfn.XLOOKUP(tbl_main[[#This Row],[Service]],tbl_service[Service],tbl_service[Price],"")</f>
        <v>80</v>
      </c>
      <c r="L1066" s="3">
        <v>2</v>
      </c>
      <c r="M1066" s="3">
        <f>IF(AND(tbl_main[[#This Row],[Price]]="",tbl_main[[#This Row],[Qty]]=""),"",tbl_main[[#This Row],[Price]]*tbl_main[[#This Row],[Qty]])</f>
        <v>160</v>
      </c>
      <c r="N1066" s="3">
        <f>_xlfn.LET(_xlpm.x,_xlfn.XLOOKUP(tbl_main[[#This Row],[Service]],tbl_service[Service],tbl_service[Profit],""),
               IF(tbl_main[[#This Row],[Qty]]="","",_xlpm.x*tbl_main[[#This Row],[Qty]]))</f>
        <v>72</v>
      </c>
    </row>
    <row r="1067" spans="1:14" x14ac:dyDescent="0.25">
      <c r="A1067" t="s">
        <v>1109</v>
      </c>
      <c r="B1067" s="1">
        <v>46014</v>
      </c>
      <c r="C1067">
        <f>IF(tbl_main[[#This Row],[Date]]="","",YEAR(B1067))</f>
        <v>2025</v>
      </c>
      <c r="D1067" t="str">
        <f>IF(tbl_main[[#This Row],[Date]]="","",TEXT(B1067,"mmm"))</f>
        <v>Dec</v>
      </c>
      <c r="E1067" t="str">
        <f>IF(tbl_main[[#This Row],[Date]]="","",TEXT(B1067,"DDD"))</f>
        <v>Tue</v>
      </c>
      <c r="F1067" t="s">
        <v>13</v>
      </c>
      <c r="G1067" t="s">
        <v>33</v>
      </c>
      <c r="H1067" s="3" t="s">
        <v>18</v>
      </c>
      <c r="I1067" s="3" t="s">
        <v>35</v>
      </c>
      <c r="J1067" s="3" t="s">
        <v>17</v>
      </c>
      <c r="K1067" s="3">
        <f>_xlfn.XLOOKUP(tbl_main[[#This Row],[Service]],tbl_service[Service],tbl_service[Price],"")</f>
        <v>500</v>
      </c>
      <c r="L1067" s="3">
        <v>2</v>
      </c>
      <c r="M1067" s="3">
        <f>IF(AND(tbl_main[[#This Row],[Price]]="",tbl_main[[#This Row],[Qty]]=""),"",tbl_main[[#This Row],[Price]]*tbl_main[[#This Row],[Qty]])</f>
        <v>1000</v>
      </c>
      <c r="N1067" s="3">
        <f>_xlfn.LET(_xlpm.x,_xlfn.XLOOKUP(tbl_main[[#This Row],[Service]],tbl_service[Service],tbl_service[Profit],""),
               IF(tbl_main[[#This Row],[Qty]]="","",_xlpm.x*tbl_main[[#This Row],[Qty]]))</f>
        <v>314</v>
      </c>
    </row>
    <row r="1068" spans="1:14" x14ac:dyDescent="0.25">
      <c r="A1068" t="s">
        <v>1110</v>
      </c>
      <c r="B1068" s="1">
        <v>46015</v>
      </c>
      <c r="C1068">
        <f>IF(tbl_main[[#This Row],[Date]]="","",YEAR(B1068))</f>
        <v>2025</v>
      </c>
      <c r="D1068" t="str">
        <f>IF(tbl_main[[#This Row],[Date]]="","",TEXT(B1068,"mmm"))</f>
        <v>Dec</v>
      </c>
      <c r="E1068" t="str">
        <f>IF(tbl_main[[#This Row],[Date]]="","",TEXT(B1068,"DDD"))</f>
        <v>Wed</v>
      </c>
      <c r="F1068" t="s">
        <v>30</v>
      </c>
      <c r="G1068" t="s">
        <v>31</v>
      </c>
      <c r="H1068" s="3" t="s">
        <v>15</v>
      </c>
      <c r="I1068" s="3" t="s">
        <v>35</v>
      </c>
      <c r="J1068" s="3" t="s">
        <v>17</v>
      </c>
      <c r="K1068" s="3">
        <f>_xlfn.XLOOKUP(tbl_main[[#This Row],[Service]],tbl_service[Service],tbl_service[Price],"")</f>
        <v>500</v>
      </c>
      <c r="L1068" s="3">
        <v>1</v>
      </c>
      <c r="M1068" s="3">
        <f>IF(AND(tbl_main[[#This Row],[Price]]="",tbl_main[[#This Row],[Qty]]=""),"",tbl_main[[#This Row],[Price]]*tbl_main[[#This Row],[Qty]])</f>
        <v>500</v>
      </c>
      <c r="N1068" s="3">
        <f>_xlfn.LET(_xlpm.x,_xlfn.XLOOKUP(tbl_main[[#This Row],[Service]],tbl_service[Service],tbl_service[Profit],""),
               IF(tbl_main[[#This Row],[Qty]]="","",_xlpm.x*tbl_main[[#This Row],[Qty]]))</f>
        <v>225</v>
      </c>
    </row>
    <row r="1069" spans="1:14" x14ac:dyDescent="0.25">
      <c r="A1069" t="s">
        <v>1111</v>
      </c>
      <c r="B1069" s="1">
        <v>46015</v>
      </c>
      <c r="C1069">
        <f>IF(tbl_main[[#This Row],[Date]]="","",YEAR(B1069))</f>
        <v>2025</v>
      </c>
      <c r="D1069" t="str">
        <f>IF(tbl_main[[#This Row],[Date]]="","",TEXT(B1069,"mmm"))</f>
        <v>Dec</v>
      </c>
      <c r="E1069" t="str">
        <f>IF(tbl_main[[#This Row],[Date]]="","",TEXT(B1069,"DDD"))</f>
        <v>Wed</v>
      </c>
      <c r="F1069" t="s">
        <v>27</v>
      </c>
      <c r="G1069" t="s">
        <v>28</v>
      </c>
      <c r="H1069" s="3" t="s">
        <v>26</v>
      </c>
      <c r="I1069" s="3" t="s">
        <v>23</v>
      </c>
      <c r="J1069" s="3" t="s">
        <v>17</v>
      </c>
      <c r="K1069" s="3">
        <f>_xlfn.XLOOKUP(tbl_main[[#This Row],[Service]],tbl_service[Service],tbl_service[Price],"")</f>
        <v>200</v>
      </c>
      <c r="L1069" s="3">
        <v>1</v>
      </c>
      <c r="M1069" s="3">
        <f>IF(AND(tbl_main[[#This Row],[Price]]="",tbl_main[[#This Row],[Qty]]=""),"",tbl_main[[#This Row],[Price]]*tbl_main[[#This Row],[Qty]])</f>
        <v>200</v>
      </c>
      <c r="N1069" s="3">
        <f>_xlfn.LET(_xlpm.x,_xlfn.XLOOKUP(tbl_main[[#This Row],[Service]],tbl_service[Service],tbl_service[Profit],""),
               IF(tbl_main[[#This Row],[Qty]]="","",_xlpm.x*tbl_main[[#This Row],[Qty]]))</f>
        <v>90</v>
      </c>
    </row>
    <row r="1070" spans="1:14" x14ac:dyDescent="0.25">
      <c r="A1070" t="s">
        <v>1112</v>
      </c>
      <c r="B1070" s="1">
        <v>46015</v>
      </c>
      <c r="C1070">
        <f>IF(tbl_main[[#This Row],[Date]]="","",YEAR(B1070))</f>
        <v>2025</v>
      </c>
      <c r="D1070" t="str">
        <f>IF(tbl_main[[#This Row],[Date]]="","",TEXT(B1070,"mmm"))</f>
        <v>Dec</v>
      </c>
      <c r="E1070" t="str">
        <f>IF(tbl_main[[#This Row],[Date]]="","",TEXT(B1070,"DDD"))</f>
        <v>Wed</v>
      </c>
      <c r="F1070" t="s">
        <v>30</v>
      </c>
      <c r="G1070" t="s">
        <v>31</v>
      </c>
      <c r="H1070" s="3" t="s">
        <v>22</v>
      </c>
      <c r="I1070" s="3" t="s">
        <v>37</v>
      </c>
      <c r="J1070" s="3" t="s">
        <v>32</v>
      </c>
      <c r="K1070" s="3">
        <f>_xlfn.XLOOKUP(tbl_main[[#This Row],[Service]],tbl_service[Service],tbl_service[Price],"")</f>
        <v>150</v>
      </c>
      <c r="L1070" s="3">
        <v>2</v>
      </c>
      <c r="M1070" s="3">
        <f>IF(AND(tbl_main[[#This Row],[Price]]="",tbl_main[[#This Row],[Qty]]=""),"",tbl_main[[#This Row],[Price]]*tbl_main[[#This Row],[Qty]])</f>
        <v>300</v>
      </c>
      <c r="N1070" s="3">
        <f>_xlfn.LET(_xlpm.x,_xlfn.XLOOKUP(tbl_main[[#This Row],[Service]],tbl_service[Service],tbl_service[Profit],""),
               IF(tbl_main[[#This Row],[Qty]]="","",_xlpm.x*tbl_main[[#This Row],[Qty]]))</f>
        <v>134</v>
      </c>
    </row>
    <row r="1071" spans="1:14" x14ac:dyDescent="0.25">
      <c r="A1071" t="s">
        <v>1113</v>
      </c>
      <c r="B1071" s="1">
        <v>46016</v>
      </c>
      <c r="C1071">
        <f>IF(tbl_main[[#This Row],[Date]]="","",YEAR(B1071))</f>
        <v>2025</v>
      </c>
      <c r="D1071" t="str">
        <f>IF(tbl_main[[#This Row],[Date]]="","",TEXT(B1071,"mmm"))</f>
        <v>Dec</v>
      </c>
      <c r="E1071" t="str">
        <f>IF(tbl_main[[#This Row],[Date]]="","",TEXT(B1071,"DDD"))</f>
        <v>Thu</v>
      </c>
      <c r="F1071" t="s">
        <v>20</v>
      </c>
      <c r="G1071" t="s">
        <v>39</v>
      </c>
      <c r="H1071" s="3" t="s">
        <v>22</v>
      </c>
      <c r="I1071" s="3" t="s">
        <v>38</v>
      </c>
      <c r="J1071" s="3" t="s">
        <v>25</v>
      </c>
      <c r="K1071" s="3">
        <f>_xlfn.XLOOKUP(tbl_main[[#This Row],[Service]],tbl_service[Service],tbl_service[Price],"")</f>
        <v>150</v>
      </c>
      <c r="L1071" s="3">
        <v>2</v>
      </c>
      <c r="M1071" s="3">
        <f>IF(AND(tbl_main[[#This Row],[Price]]="",tbl_main[[#This Row],[Qty]]=""),"",tbl_main[[#This Row],[Price]]*tbl_main[[#This Row],[Qty]])</f>
        <v>300</v>
      </c>
      <c r="N1071" s="3">
        <f>_xlfn.LET(_xlpm.x,_xlfn.XLOOKUP(tbl_main[[#This Row],[Service]],tbl_service[Service],tbl_service[Profit],""),
               IF(tbl_main[[#This Row],[Qty]]="","",_xlpm.x*tbl_main[[#This Row],[Qty]]))</f>
        <v>134</v>
      </c>
    </row>
    <row r="1072" spans="1:14" x14ac:dyDescent="0.25">
      <c r="A1072" t="s">
        <v>1114</v>
      </c>
      <c r="B1072" s="1">
        <v>46016</v>
      </c>
      <c r="C1072">
        <f>IF(tbl_main[[#This Row],[Date]]="","",YEAR(B1072))</f>
        <v>2025</v>
      </c>
      <c r="D1072" t="str">
        <f>IF(tbl_main[[#This Row],[Date]]="","",TEXT(B1072,"mmm"))</f>
        <v>Dec</v>
      </c>
      <c r="E1072" t="str">
        <f>IF(tbl_main[[#This Row],[Date]]="","",TEXT(B1072,"DDD"))</f>
        <v>Thu</v>
      </c>
      <c r="F1072" t="s">
        <v>13</v>
      </c>
      <c r="G1072" t="s">
        <v>14</v>
      </c>
      <c r="H1072" s="3" t="s">
        <v>18</v>
      </c>
      <c r="I1072" s="3" t="s">
        <v>16</v>
      </c>
      <c r="J1072" s="3" t="s">
        <v>32</v>
      </c>
      <c r="K1072" s="3">
        <f>_xlfn.XLOOKUP(tbl_main[[#This Row],[Service]],tbl_service[Service],tbl_service[Price],"")</f>
        <v>500</v>
      </c>
      <c r="L1072" s="3">
        <v>1</v>
      </c>
      <c r="M1072" s="3">
        <f>IF(AND(tbl_main[[#This Row],[Price]]="",tbl_main[[#This Row],[Qty]]=""),"",tbl_main[[#This Row],[Price]]*tbl_main[[#This Row],[Qty]])</f>
        <v>500</v>
      </c>
      <c r="N1072" s="3">
        <f>_xlfn.LET(_xlpm.x,_xlfn.XLOOKUP(tbl_main[[#This Row],[Service]],tbl_service[Service],tbl_service[Profit],""),
               IF(tbl_main[[#This Row],[Qty]]="","",_xlpm.x*tbl_main[[#This Row],[Qty]]))</f>
        <v>157</v>
      </c>
    </row>
    <row r="1073" spans="1:14" x14ac:dyDescent="0.25">
      <c r="A1073" t="s">
        <v>1115</v>
      </c>
      <c r="B1073" s="1">
        <v>46016</v>
      </c>
      <c r="C1073">
        <f>IF(tbl_main[[#This Row],[Date]]="","",YEAR(B1073))</f>
        <v>2025</v>
      </c>
      <c r="D1073" t="str">
        <f>IF(tbl_main[[#This Row],[Date]]="","",TEXT(B1073,"mmm"))</f>
        <v>Dec</v>
      </c>
      <c r="E1073" t="str">
        <f>IF(tbl_main[[#This Row],[Date]]="","",TEXT(B1073,"DDD"))</f>
        <v>Thu</v>
      </c>
      <c r="F1073" t="s">
        <v>13</v>
      </c>
      <c r="G1073" t="s">
        <v>14</v>
      </c>
      <c r="H1073" s="3" t="s">
        <v>18</v>
      </c>
      <c r="I1073" s="3" t="s">
        <v>19</v>
      </c>
      <c r="J1073" s="3" t="s">
        <v>32</v>
      </c>
      <c r="K1073" s="3">
        <f>_xlfn.XLOOKUP(tbl_main[[#This Row],[Service]],tbl_service[Service],tbl_service[Price],"")</f>
        <v>500</v>
      </c>
      <c r="L1073" s="3">
        <v>2</v>
      </c>
      <c r="M1073" s="3">
        <f>IF(AND(tbl_main[[#This Row],[Price]]="",tbl_main[[#This Row],[Qty]]=""),"",tbl_main[[#This Row],[Price]]*tbl_main[[#This Row],[Qty]])</f>
        <v>1000</v>
      </c>
      <c r="N1073" s="3">
        <f>_xlfn.LET(_xlpm.x,_xlfn.XLOOKUP(tbl_main[[#This Row],[Service]],tbl_service[Service],tbl_service[Profit],""),
               IF(tbl_main[[#This Row],[Qty]]="","",_xlpm.x*tbl_main[[#This Row],[Qty]]))</f>
        <v>314</v>
      </c>
    </row>
    <row r="1074" spans="1:14" x14ac:dyDescent="0.25">
      <c r="A1074" t="s">
        <v>1116</v>
      </c>
      <c r="B1074" s="1">
        <v>46016</v>
      </c>
      <c r="C1074">
        <f>IF(tbl_main[[#This Row],[Date]]="","",YEAR(B1074))</f>
        <v>2025</v>
      </c>
      <c r="D1074" t="str">
        <f>IF(tbl_main[[#This Row],[Date]]="","",TEXT(B1074,"mmm"))</f>
        <v>Dec</v>
      </c>
      <c r="E1074" t="str">
        <f>IF(tbl_main[[#This Row],[Date]]="","",TEXT(B1074,"DDD"))</f>
        <v>Thu</v>
      </c>
      <c r="F1074" t="s">
        <v>20</v>
      </c>
      <c r="G1074" t="s">
        <v>39</v>
      </c>
      <c r="H1074" s="3" t="s">
        <v>34</v>
      </c>
      <c r="I1074" s="3" t="s">
        <v>43</v>
      </c>
      <c r="J1074" s="3" t="s">
        <v>17</v>
      </c>
      <c r="K1074" s="3">
        <f>_xlfn.XLOOKUP(tbl_main[[#This Row],[Service]],tbl_service[Service],tbl_service[Price],"")</f>
        <v>100</v>
      </c>
      <c r="L1074" s="3">
        <v>1</v>
      </c>
      <c r="M1074" s="3">
        <f>IF(AND(tbl_main[[#This Row],[Price]]="",tbl_main[[#This Row],[Qty]]=""),"",tbl_main[[#This Row],[Price]]*tbl_main[[#This Row],[Qty]])</f>
        <v>100</v>
      </c>
      <c r="N1074" s="3">
        <f>_xlfn.LET(_xlpm.x,_xlfn.XLOOKUP(tbl_main[[#This Row],[Service]],tbl_service[Service],tbl_service[Profit],""),
               IF(tbl_main[[#This Row],[Qty]]="","",_xlpm.x*tbl_main[[#This Row],[Qty]]))</f>
        <v>45</v>
      </c>
    </row>
    <row r="1075" spans="1:14" x14ac:dyDescent="0.25">
      <c r="A1075" t="s">
        <v>1117</v>
      </c>
      <c r="B1075" s="1">
        <v>46017</v>
      </c>
      <c r="C1075">
        <f>IF(tbl_main[[#This Row],[Date]]="","",YEAR(B1075))</f>
        <v>2025</v>
      </c>
      <c r="D1075" t="str">
        <f>IF(tbl_main[[#This Row],[Date]]="","",TEXT(B1075,"mmm"))</f>
        <v>Dec</v>
      </c>
      <c r="E1075" t="str">
        <f>IF(tbl_main[[#This Row],[Date]]="","",TEXT(B1075,"DDD"))</f>
        <v>Fri</v>
      </c>
      <c r="F1075" t="s">
        <v>13</v>
      </c>
      <c r="G1075" t="s">
        <v>33</v>
      </c>
      <c r="H1075" s="3" t="s">
        <v>24</v>
      </c>
      <c r="I1075" s="3" t="s">
        <v>41</v>
      </c>
      <c r="J1075" s="3" t="s">
        <v>17</v>
      </c>
      <c r="K1075" s="3">
        <f>_xlfn.XLOOKUP(tbl_main[[#This Row],[Service]],tbl_service[Service],tbl_service[Price],"")</f>
        <v>80</v>
      </c>
      <c r="L1075" s="3">
        <v>2</v>
      </c>
      <c r="M1075" s="3">
        <f>IF(AND(tbl_main[[#This Row],[Price]]="",tbl_main[[#This Row],[Qty]]=""),"",tbl_main[[#This Row],[Price]]*tbl_main[[#This Row],[Qty]])</f>
        <v>160</v>
      </c>
      <c r="N1075" s="3">
        <f>_xlfn.LET(_xlpm.x,_xlfn.XLOOKUP(tbl_main[[#This Row],[Service]],tbl_service[Service],tbl_service[Profit],""),
               IF(tbl_main[[#This Row],[Qty]]="","",_xlpm.x*tbl_main[[#This Row],[Qty]]))</f>
        <v>72</v>
      </c>
    </row>
    <row r="1076" spans="1:14" x14ac:dyDescent="0.25">
      <c r="A1076" t="s">
        <v>1118</v>
      </c>
      <c r="B1076" s="1">
        <v>46017</v>
      </c>
      <c r="C1076">
        <f>IF(tbl_main[[#This Row],[Date]]="","",YEAR(B1076))</f>
        <v>2025</v>
      </c>
      <c r="D1076" t="str">
        <f>IF(tbl_main[[#This Row],[Date]]="","",TEXT(B1076,"mmm"))</f>
        <v>Dec</v>
      </c>
      <c r="E1076" t="str">
        <f>IF(tbl_main[[#This Row],[Date]]="","",TEXT(B1076,"DDD"))</f>
        <v>Fri</v>
      </c>
      <c r="F1076" t="s">
        <v>13</v>
      </c>
      <c r="G1076" t="s">
        <v>14</v>
      </c>
      <c r="H1076" s="3" t="s">
        <v>18</v>
      </c>
      <c r="I1076" s="3" t="s">
        <v>41</v>
      </c>
      <c r="J1076" s="3" t="s">
        <v>25</v>
      </c>
      <c r="K1076" s="3">
        <f>_xlfn.XLOOKUP(tbl_main[[#This Row],[Service]],tbl_service[Service],tbl_service[Price],"")</f>
        <v>500</v>
      </c>
      <c r="L1076" s="3">
        <v>2</v>
      </c>
      <c r="M1076" s="3">
        <f>IF(AND(tbl_main[[#This Row],[Price]]="",tbl_main[[#This Row],[Qty]]=""),"",tbl_main[[#This Row],[Price]]*tbl_main[[#This Row],[Qty]])</f>
        <v>1000</v>
      </c>
      <c r="N1076" s="3">
        <f>_xlfn.LET(_xlpm.x,_xlfn.XLOOKUP(tbl_main[[#This Row],[Service]],tbl_service[Service],tbl_service[Profit],""),
               IF(tbl_main[[#This Row],[Qty]]="","",_xlpm.x*tbl_main[[#This Row],[Qty]]))</f>
        <v>314</v>
      </c>
    </row>
    <row r="1077" spans="1:14" x14ac:dyDescent="0.25">
      <c r="A1077" t="s">
        <v>1119</v>
      </c>
      <c r="B1077" s="1">
        <v>46017</v>
      </c>
      <c r="C1077">
        <f>IF(tbl_main[[#This Row],[Date]]="","",YEAR(B1077))</f>
        <v>2025</v>
      </c>
      <c r="D1077" t="str">
        <f>IF(tbl_main[[#This Row],[Date]]="","",TEXT(B1077,"mmm"))</f>
        <v>Dec</v>
      </c>
      <c r="E1077" t="str">
        <f>IF(tbl_main[[#This Row],[Date]]="","",TEXT(B1077,"DDD"))</f>
        <v>Fri</v>
      </c>
      <c r="F1077" t="s">
        <v>27</v>
      </c>
      <c r="G1077" t="s">
        <v>40</v>
      </c>
      <c r="H1077" s="3" t="s">
        <v>26</v>
      </c>
      <c r="I1077" s="3" t="s">
        <v>35</v>
      </c>
      <c r="J1077" s="3" t="s">
        <v>32</v>
      </c>
      <c r="K1077" s="3">
        <f>_xlfn.XLOOKUP(tbl_main[[#This Row],[Service]],tbl_service[Service],tbl_service[Price],"")</f>
        <v>200</v>
      </c>
      <c r="L1077" s="3">
        <v>1</v>
      </c>
      <c r="M1077" s="3">
        <f>IF(AND(tbl_main[[#This Row],[Price]]="",tbl_main[[#This Row],[Qty]]=""),"",tbl_main[[#This Row],[Price]]*tbl_main[[#This Row],[Qty]])</f>
        <v>200</v>
      </c>
      <c r="N1077" s="3">
        <f>_xlfn.LET(_xlpm.x,_xlfn.XLOOKUP(tbl_main[[#This Row],[Service]],tbl_service[Service],tbl_service[Profit],""),
               IF(tbl_main[[#This Row],[Qty]]="","",_xlpm.x*tbl_main[[#This Row],[Qty]]))</f>
        <v>90</v>
      </c>
    </row>
    <row r="1078" spans="1:14" x14ac:dyDescent="0.25">
      <c r="A1078" t="s">
        <v>1120</v>
      </c>
      <c r="B1078" s="1">
        <v>46017</v>
      </c>
      <c r="C1078">
        <f>IF(tbl_main[[#This Row],[Date]]="","",YEAR(B1078))</f>
        <v>2025</v>
      </c>
      <c r="D1078" t="str">
        <f>IF(tbl_main[[#This Row],[Date]]="","",TEXT(B1078,"mmm"))</f>
        <v>Dec</v>
      </c>
      <c r="E1078" t="str">
        <f>IF(tbl_main[[#This Row],[Date]]="","",TEXT(B1078,"DDD"))</f>
        <v>Fri</v>
      </c>
      <c r="F1078" t="s">
        <v>30</v>
      </c>
      <c r="G1078" t="s">
        <v>36</v>
      </c>
      <c r="H1078" s="3" t="s">
        <v>24</v>
      </c>
      <c r="I1078" s="3" t="s">
        <v>35</v>
      </c>
      <c r="J1078" s="3" t="s">
        <v>17</v>
      </c>
      <c r="K1078" s="3">
        <f>_xlfn.XLOOKUP(tbl_main[[#This Row],[Service]],tbl_service[Service],tbl_service[Price],"")</f>
        <v>80</v>
      </c>
      <c r="L1078" s="3">
        <v>2</v>
      </c>
      <c r="M1078" s="3">
        <f>IF(AND(tbl_main[[#This Row],[Price]]="",tbl_main[[#This Row],[Qty]]=""),"",tbl_main[[#This Row],[Price]]*tbl_main[[#This Row],[Qty]])</f>
        <v>160</v>
      </c>
      <c r="N1078" s="3">
        <f>_xlfn.LET(_xlpm.x,_xlfn.XLOOKUP(tbl_main[[#This Row],[Service]],tbl_service[Service],tbl_service[Profit],""),
               IF(tbl_main[[#This Row],[Qty]]="","",_xlpm.x*tbl_main[[#This Row],[Qty]]))</f>
        <v>72</v>
      </c>
    </row>
    <row r="1079" spans="1:14" x14ac:dyDescent="0.25">
      <c r="A1079" t="s">
        <v>1121</v>
      </c>
      <c r="B1079" s="1">
        <v>46018</v>
      </c>
      <c r="C1079">
        <f>IF(tbl_main[[#This Row],[Date]]="","",YEAR(B1079))</f>
        <v>2025</v>
      </c>
      <c r="D1079" t="str">
        <f>IF(tbl_main[[#This Row],[Date]]="","",TEXT(B1079,"mmm"))</f>
        <v>Dec</v>
      </c>
      <c r="E1079" t="str">
        <f>IF(tbl_main[[#This Row],[Date]]="","",TEXT(B1079,"DDD"))</f>
        <v>Sat</v>
      </c>
      <c r="F1079" t="s">
        <v>20</v>
      </c>
      <c r="G1079" t="s">
        <v>39</v>
      </c>
      <c r="H1079" s="3" t="s">
        <v>22</v>
      </c>
      <c r="I1079" s="3" t="s">
        <v>23</v>
      </c>
      <c r="J1079" s="3" t="s">
        <v>25</v>
      </c>
      <c r="K1079" s="3">
        <f>_xlfn.XLOOKUP(tbl_main[[#This Row],[Service]],tbl_service[Service],tbl_service[Price],"")</f>
        <v>150</v>
      </c>
      <c r="L1079" s="3">
        <v>1</v>
      </c>
      <c r="M1079" s="3">
        <f>IF(AND(tbl_main[[#This Row],[Price]]="",tbl_main[[#This Row],[Qty]]=""),"",tbl_main[[#This Row],[Price]]*tbl_main[[#This Row],[Qty]])</f>
        <v>150</v>
      </c>
      <c r="N1079" s="3">
        <f>_xlfn.LET(_xlpm.x,_xlfn.XLOOKUP(tbl_main[[#This Row],[Service]],tbl_service[Service],tbl_service[Profit],""),
               IF(tbl_main[[#This Row],[Qty]]="","",_xlpm.x*tbl_main[[#This Row],[Qty]]))</f>
        <v>67</v>
      </c>
    </row>
    <row r="1080" spans="1:14" x14ac:dyDescent="0.25">
      <c r="A1080" t="s">
        <v>1122</v>
      </c>
      <c r="B1080" s="1">
        <v>46018</v>
      </c>
      <c r="C1080">
        <f>IF(tbl_main[[#This Row],[Date]]="","",YEAR(B1080))</f>
        <v>2025</v>
      </c>
      <c r="D1080" t="str">
        <f>IF(tbl_main[[#This Row],[Date]]="","",TEXT(B1080,"mmm"))</f>
        <v>Dec</v>
      </c>
      <c r="E1080" t="str">
        <f>IF(tbl_main[[#This Row],[Date]]="","",TEXT(B1080,"DDD"))</f>
        <v>Sat</v>
      </c>
      <c r="F1080" t="s">
        <v>27</v>
      </c>
      <c r="G1080" t="s">
        <v>28</v>
      </c>
      <c r="H1080" s="3" t="s">
        <v>26</v>
      </c>
      <c r="I1080" s="3" t="s">
        <v>37</v>
      </c>
      <c r="J1080" s="3" t="s">
        <v>25</v>
      </c>
      <c r="K1080" s="3">
        <f>_xlfn.XLOOKUP(tbl_main[[#This Row],[Service]],tbl_service[Service],tbl_service[Price],"")</f>
        <v>200</v>
      </c>
      <c r="L1080" s="3">
        <v>1</v>
      </c>
      <c r="M1080" s="3">
        <f>IF(AND(tbl_main[[#This Row],[Price]]="",tbl_main[[#This Row],[Qty]]=""),"",tbl_main[[#This Row],[Price]]*tbl_main[[#This Row],[Qty]])</f>
        <v>200</v>
      </c>
      <c r="N1080" s="3">
        <f>_xlfn.LET(_xlpm.x,_xlfn.XLOOKUP(tbl_main[[#This Row],[Service]],tbl_service[Service],tbl_service[Profit],""),
               IF(tbl_main[[#This Row],[Qty]]="","",_xlpm.x*tbl_main[[#This Row],[Qty]]))</f>
        <v>90</v>
      </c>
    </row>
    <row r="1081" spans="1:14" x14ac:dyDescent="0.25">
      <c r="A1081" t="s">
        <v>1123</v>
      </c>
      <c r="B1081" s="1">
        <v>46018</v>
      </c>
      <c r="C1081">
        <f>IF(tbl_main[[#This Row],[Date]]="","",YEAR(B1081))</f>
        <v>2025</v>
      </c>
      <c r="D1081" t="str">
        <f>IF(tbl_main[[#This Row],[Date]]="","",TEXT(B1081,"mmm"))</f>
        <v>Dec</v>
      </c>
      <c r="E1081" t="str">
        <f>IF(tbl_main[[#This Row],[Date]]="","",TEXT(B1081,"DDD"))</f>
        <v>Sat</v>
      </c>
      <c r="F1081" t="s">
        <v>30</v>
      </c>
      <c r="G1081" t="s">
        <v>36</v>
      </c>
      <c r="H1081" s="3" t="s">
        <v>18</v>
      </c>
      <c r="I1081" s="3" t="s">
        <v>38</v>
      </c>
      <c r="J1081" s="3" t="s">
        <v>32</v>
      </c>
      <c r="K1081" s="3">
        <f>_xlfn.XLOOKUP(tbl_main[[#This Row],[Service]],tbl_service[Service],tbl_service[Price],"")</f>
        <v>500</v>
      </c>
      <c r="L1081" s="3">
        <v>1</v>
      </c>
      <c r="M1081" s="3">
        <f>IF(AND(tbl_main[[#This Row],[Price]]="",tbl_main[[#This Row],[Qty]]=""),"",tbl_main[[#This Row],[Price]]*tbl_main[[#This Row],[Qty]])</f>
        <v>500</v>
      </c>
      <c r="N1081" s="3">
        <f>_xlfn.LET(_xlpm.x,_xlfn.XLOOKUP(tbl_main[[#This Row],[Service]],tbl_service[Service],tbl_service[Profit],""),
               IF(tbl_main[[#This Row],[Qty]]="","",_xlpm.x*tbl_main[[#This Row],[Qty]]))</f>
        <v>157</v>
      </c>
    </row>
    <row r="1082" spans="1:14" x14ac:dyDescent="0.25">
      <c r="A1082" t="s">
        <v>1124</v>
      </c>
      <c r="B1082" s="1">
        <v>46018</v>
      </c>
      <c r="C1082">
        <f>IF(tbl_main[[#This Row],[Date]]="","",YEAR(B1082))</f>
        <v>2025</v>
      </c>
      <c r="D1082" t="str">
        <f>IF(tbl_main[[#This Row],[Date]]="","",TEXT(B1082,"mmm"))</f>
        <v>Dec</v>
      </c>
      <c r="E1082" t="str">
        <f>IF(tbl_main[[#This Row],[Date]]="","",TEXT(B1082,"DDD"))</f>
        <v>Sat</v>
      </c>
      <c r="F1082" t="s">
        <v>27</v>
      </c>
      <c r="G1082" t="s">
        <v>40</v>
      </c>
      <c r="H1082" s="3" t="s">
        <v>18</v>
      </c>
      <c r="I1082" s="3" t="s">
        <v>16</v>
      </c>
      <c r="J1082" s="3" t="s">
        <v>17</v>
      </c>
      <c r="K1082" s="3">
        <f>_xlfn.XLOOKUP(tbl_main[[#This Row],[Service]],tbl_service[Service],tbl_service[Price],"")</f>
        <v>500</v>
      </c>
      <c r="L1082" s="3">
        <v>2</v>
      </c>
      <c r="M1082" s="3">
        <f>IF(AND(tbl_main[[#This Row],[Price]]="",tbl_main[[#This Row],[Qty]]=""),"",tbl_main[[#This Row],[Price]]*tbl_main[[#This Row],[Qty]])</f>
        <v>1000</v>
      </c>
      <c r="N1082" s="3">
        <f>_xlfn.LET(_xlpm.x,_xlfn.XLOOKUP(tbl_main[[#This Row],[Service]],tbl_service[Service],tbl_service[Profit],""),
               IF(tbl_main[[#This Row],[Qty]]="","",_xlpm.x*tbl_main[[#This Row],[Qty]]))</f>
        <v>314</v>
      </c>
    </row>
    <row r="1083" spans="1:14" x14ac:dyDescent="0.25">
      <c r="A1083" t="s">
        <v>1125</v>
      </c>
      <c r="B1083" s="1">
        <v>46019</v>
      </c>
      <c r="C1083">
        <f>IF(tbl_main[[#This Row],[Date]]="","",YEAR(B1083))</f>
        <v>2025</v>
      </c>
      <c r="D1083" t="str">
        <f>IF(tbl_main[[#This Row],[Date]]="","",TEXT(B1083,"mmm"))</f>
        <v>Dec</v>
      </c>
      <c r="E1083" t="str">
        <f>IF(tbl_main[[#This Row],[Date]]="","",TEXT(B1083,"DDD"))</f>
        <v>Sun</v>
      </c>
      <c r="F1083" t="s">
        <v>27</v>
      </c>
      <c r="G1083" t="s">
        <v>28</v>
      </c>
      <c r="H1083" s="3" t="s">
        <v>22</v>
      </c>
      <c r="I1083" s="3" t="s">
        <v>19</v>
      </c>
      <c r="J1083" s="3" t="s">
        <v>32</v>
      </c>
      <c r="K1083" s="3">
        <f>_xlfn.XLOOKUP(tbl_main[[#This Row],[Service]],tbl_service[Service],tbl_service[Price],"")</f>
        <v>150</v>
      </c>
      <c r="L1083" s="3">
        <v>2</v>
      </c>
      <c r="M1083" s="3">
        <f>IF(AND(tbl_main[[#This Row],[Price]]="",tbl_main[[#This Row],[Qty]]=""),"",tbl_main[[#This Row],[Price]]*tbl_main[[#This Row],[Qty]])</f>
        <v>300</v>
      </c>
      <c r="N1083" s="3">
        <f>_xlfn.LET(_xlpm.x,_xlfn.XLOOKUP(tbl_main[[#This Row],[Service]],tbl_service[Service],tbl_service[Profit],""),
               IF(tbl_main[[#This Row],[Qty]]="","",_xlpm.x*tbl_main[[#This Row],[Qty]]))</f>
        <v>134</v>
      </c>
    </row>
    <row r="1084" spans="1:14" x14ac:dyDescent="0.25">
      <c r="A1084" t="s">
        <v>1126</v>
      </c>
      <c r="B1084" s="1">
        <v>46019</v>
      </c>
      <c r="C1084">
        <f>IF(tbl_main[[#This Row],[Date]]="","",YEAR(B1084))</f>
        <v>2025</v>
      </c>
      <c r="D1084" t="str">
        <f>IF(tbl_main[[#This Row],[Date]]="","",TEXT(B1084,"mmm"))</f>
        <v>Dec</v>
      </c>
      <c r="E1084" t="str">
        <f>IF(tbl_main[[#This Row],[Date]]="","",TEXT(B1084,"DDD"))</f>
        <v>Sun</v>
      </c>
      <c r="F1084" t="s">
        <v>30</v>
      </c>
      <c r="G1084" t="s">
        <v>31</v>
      </c>
      <c r="H1084" s="3" t="s">
        <v>22</v>
      </c>
      <c r="I1084" s="3" t="s">
        <v>43</v>
      </c>
      <c r="J1084" s="3" t="s">
        <v>32</v>
      </c>
      <c r="K1084" s="3">
        <f>_xlfn.XLOOKUP(tbl_main[[#This Row],[Service]],tbl_service[Service],tbl_service[Price],"")</f>
        <v>150</v>
      </c>
      <c r="L1084" s="3">
        <v>1</v>
      </c>
      <c r="M1084" s="3">
        <f>IF(AND(tbl_main[[#This Row],[Price]]="",tbl_main[[#This Row],[Qty]]=""),"",tbl_main[[#This Row],[Price]]*tbl_main[[#This Row],[Qty]])</f>
        <v>150</v>
      </c>
      <c r="N1084" s="3">
        <f>_xlfn.LET(_xlpm.x,_xlfn.XLOOKUP(tbl_main[[#This Row],[Service]],tbl_service[Service],tbl_service[Profit],""),
               IF(tbl_main[[#This Row],[Qty]]="","",_xlpm.x*tbl_main[[#This Row],[Qty]]))</f>
        <v>67</v>
      </c>
    </row>
    <row r="1085" spans="1:14" x14ac:dyDescent="0.25">
      <c r="A1085" t="s">
        <v>1127</v>
      </c>
      <c r="B1085" s="1">
        <v>46019</v>
      </c>
      <c r="C1085">
        <f>IF(tbl_main[[#This Row],[Date]]="","",YEAR(B1085))</f>
        <v>2025</v>
      </c>
      <c r="D1085" t="str">
        <f>IF(tbl_main[[#This Row],[Date]]="","",TEXT(B1085,"mmm"))</f>
        <v>Dec</v>
      </c>
      <c r="E1085" t="str">
        <f>IF(tbl_main[[#This Row],[Date]]="","",TEXT(B1085,"DDD"))</f>
        <v>Sun</v>
      </c>
      <c r="F1085" t="s">
        <v>27</v>
      </c>
      <c r="G1085" t="s">
        <v>40</v>
      </c>
      <c r="H1085" s="3" t="s">
        <v>24</v>
      </c>
      <c r="I1085" s="3" t="s">
        <v>41</v>
      </c>
      <c r="J1085" s="3" t="s">
        <v>25</v>
      </c>
      <c r="K1085" s="3">
        <f>_xlfn.XLOOKUP(tbl_main[[#This Row],[Service]],tbl_service[Service],tbl_service[Price],"")</f>
        <v>80</v>
      </c>
      <c r="L1085" s="3">
        <v>2</v>
      </c>
      <c r="M1085" s="3">
        <f>IF(AND(tbl_main[[#This Row],[Price]]="",tbl_main[[#This Row],[Qty]]=""),"",tbl_main[[#This Row],[Price]]*tbl_main[[#This Row],[Qty]])</f>
        <v>160</v>
      </c>
      <c r="N1085" s="3">
        <f>_xlfn.LET(_xlpm.x,_xlfn.XLOOKUP(tbl_main[[#This Row],[Service]],tbl_service[Service],tbl_service[Profit],""),
               IF(tbl_main[[#This Row],[Qty]]="","",_xlpm.x*tbl_main[[#This Row],[Qty]]))</f>
        <v>72</v>
      </c>
    </row>
    <row r="1086" spans="1:14" x14ac:dyDescent="0.25">
      <c r="A1086" t="s">
        <v>1128</v>
      </c>
      <c r="B1086" s="1">
        <v>46020</v>
      </c>
      <c r="C1086">
        <f>IF(tbl_main[[#This Row],[Date]]="","",YEAR(B1086))</f>
        <v>2025</v>
      </c>
      <c r="D1086" t="str">
        <f>IF(tbl_main[[#This Row],[Date]]="","",TEXT(B1086,"mmm"))</f>
        <v>Dec</v>
      </c>
      <c r="E1086" t="str">
        <f>IF(tbl_main[[#This Row],[Date]]="","",TEXT(B1086,"DDD"))</f>
        <v>Mon</v>
      </c>
      <c r="F1086" t="s">
        <v>30</v>
      </c>
      <c r="G1086" t="s">
        <v>31</v>
      </c>
      <c r="H1086" s="3" t="s">
        <v>26</v>
      </c>
      <c r="I1086" s="3" t="s">
        <v>41</v>
      </c>
      <c r="J1086" s="3" t="s">
        <v>17</v>
      </c>
      <c r="K1086" s="3">
        <f>_xlfn.XLOOKUP(tbl_main[[#This Row],[Service]],tbl_service[Service],tbl_service[Price],"")</f>
        <v>200</v>
      </c>
      <c r="L1086" s="3">
        <v>1</v>
      </c>
      <c r="M1086" s="3">
        <f>IF(AND(tbl_main[[#This Row],[Price]]="",tbl_main[[#This Row],[Qty]]=""),"",tbl_main[[#This Row],[Price]]*tbl_main[[#This Row],[Qty]])</f>
        <v>200</v>
      </c>
      <c r="N1086" s="3">
        <f>_xlfn.LET(_xlpm.x,_xlfn.XLOOKUP(tbl_main[[#This Row],[Service]],tbl_service[Service],tbl_service[Profit],""),
               IF(tbl_main[[#This Row],[Qty]]="","",_xlpm.x*tbl_main[[#This Row],[Qty]]))</f>
        <v>90</v>
      </c>
    </row>
    <row r="1087" spans="1:14" x14ac:dyDescent="0.25">
      <c r="A1087" t="s">
        <v>1129</v>
      </c>
      <c r="B1087" s="1">
        <v>46020</v>
      </c>
      <c r="C1087">
        <f>IF(tbl_main[[#This Row],[Date]]="","",YEAR(B1087))</f>
        <v>2025</v>
      </c>
      <c r="D1087" t="str">
        <f>IF(tbl_main[[#This Row],[Date]]="","",TEXT(B1087,"mmm"))</f>
        <v>Dec</v>
      </c>
      <c r="E1087" t="str">
        <f>IF(tbl_main[[#This Row],[Date]]="","",TEXT(B1087,"DDD"))</f>
        <v>Mon</v>
      </c>
      <c r="F1087" t="s">
        <v>13</v>
      </c>
      <c r="G1087" t="s">
        <v>33</v>
      </c>
      <c r="H1087" s="3" t="s">
        <v>24</v>
      </c>
      <c r="I1087" s="3" t="s">
        <v>35</v>
      </c>
      <c r="J1087" s="3" t="s">
        <v>25</v>
      </c>
      <c r="K1087" s="3">
        <f>_xlfn.XLOOKUP(tbl_main[[#This Row],[Service]],tbl_service[Service],tbl_service[Price],"")</f>
        <v>80</v>
      </c>
      <c r="L1087" s="3">
        <v>1</v>
      </c>
      <c r="M1087" s="3">
        <f>IF(AND(tbl_main[[#This Row],[Price]]="",tbl_main[[#This Row],[Qty]]=""),"",tbl_main[[#This Row],[Price]]*tbl_main[[#This Row],[Qty]])</f>
        <v>80</v>
      </c>
      <c r="N1087" s="3">
        <f>_xlfn.LET(_xlpm.x,_xlfn.XLOOKUP(tbl_main[[#This Row],[Service]],tbl_service[Service],tbl_service[Profit],""),
               IF(tbl_main[[#This Row],[Qty]]="","",_xlpm.x*tbl_main[[#This Row],[Qty]]))</f>
        <v>36</v>
      </c>
    </row>
    <row r="1088" spans="1:14" x14ac:dyDescent="0.25">
      <c r="A1088" t="s">
        <v>1130</v>
      </c>
      <c r="B1088" s="1">
        <v>46021</v>
      </c>
      <c r="C1088">
        <f>IF(tbl_main[[#This Row],[Date]]="","",YEAR(B1088))</f>
        <v>2025</v>
      </c>
      <c r="D1088" t="str">
        <f>IF(tbl_main[[#This Row],[Date]]="","",TEXT(B1088,"mmm"))</f>
        <v>Dec</v>
      </c>
      <c r="E1088" t="str">
        <f>IF(tbl_main[[#This Row],[Date]]="","",TEXT(B1088,"DDD"))</f>
        <v>Tue</v>
      </c>
      <c r="F1088" t="s">
        <v>20</v>
      </c>
      <c r="G1088" t="s">
        <v>39</v>
      </c>
      <c r="H1088" s="3" t="s">
        <v>34</v>
      </c>
      <c r="I1088" s="3" t="s">
        <v>35</v>
      </c>
      <c r="J1088" s="3" t="s">
        <v>25</v>
      </c>
      <c r="K1088" s="3">
        <f>_xlfn.XLOOKUP(tbl_main[[#This Row],[Service]],tbl_service[Service],tbl_service[Price],"")</f>
        <v>100</v>
      </c>
      <c r="L1088" s="3">
        <v>1</v>
      </c>
      <c r="M1088" s="3">
        <f>IF(AND(tbl_main[[#This Row],[Price]]="",tbl_main[[#This Row],[Qty]]=""),"",tbl_main[[#This Row],[Price]]*tbl_main[[#This Row],[Qty]])</f>
        <v>100</v>
      </c>
      <c r="N1088" s="3">
        <f>_xlfn.LET(_xlpm.x,_xlfn.XLOOKUP(tbl_main[[#This Row],[Service]],tbl_service[Service],tbl_service[Profit],""),
               IF(tbl_main[[#This Row],[Qty]]="","",_xlpm.x*tbl_main[[#This Row],[Qty]]))</f>
        <v>45</v>
      </c>
    </row>
    <row r="1089" spans="1:14" x14ac:dyDescent="0.25">
      <c r="A1089" t="s">
        <v>1131</v>
      </c>
      <c r="B1089" s="1">
        <v>46021</v>
      </c>
      <c r="C1089">
        <f>IF(tbl_main[[#This Row],[Date]]="","",YEAR(B1089))</f>
        <v>2025</v>
      </c>
      <c r="D1089" t="str">
        <f>IF(tbl_main[[#This Row],[Date]]="","",TEXT(B1089,"mmm"))</f>
        <v>Dec</v>
      </c>
      <c r="E1089" t="str">
        <f>IF(tbl_main[[#This Row],[Date]]="","",TEXT(B1089,"DDD"))</f>
        <v>Tue</v>
      </c>
      <c r="F1089" t="s">
        <v>13</v>
      </c>
      <c r="G1089" t="s">
        <v>14</v>
      </c>
      <c r="H1089" s="3" t="s">
        <v>24</v>
      </c>
      <c r="I1089" s="3" t="s">
        <v>23</v>
      </c>
      <c r="J1089" s="3" t="s">
        <v>32</v>
      </c>
      <c r="K1089" s="3">
        <f>_xlfn.XLOOKUP(tbl_main[[#This Row],[Service]],tbl_service[Service],tbl_service[Price],"")</f>
        <v>80</v>
      </c>
      <c r="L1089" s="3">
        <v>1</v>
      </c>
      <c r="M1089" s="3">
        <f>IF(AND(tbl_main[[#This Row],[Price]]="",tbl_main[[#This Row],[Qty]]=""),"",tbl_main[[#This Row],[Price]]*tbl_main[[#This Row],[Qty]])</f>
        <v>80</v>
      </c>
      <c r="N1089" s="3">
        <f>_xlfn.LET(_xlpm.x,_xlfn.XLOOKUP(tbl_main[[#This Row],[Service]],tbl_service[Service],tbl_service[Profit],""),
               IF(tbl_main[[#This Row],[Qty]]="","",_xlpm.x*tbl_main[[#This Row],[Qty]]))</f>
        <v>36</v>
      </c>
    </row>
    <row r="1090" spans="1:14" x14ac:dyDescent="0.25">
      <c r="A1090" t="s">
        <v>1132</v>
      </c>
      <c r="B1090" s="1">
        <v>46022</v>
      </c>
      <c r="C1090">
        <f>IF(tbl_main[[#This Row],[Date]]="","",YEAR(B1090))</f>
        <v>2025</v>
      </c>
      <c r="D1090" t="str">
        <f>IF(tbl_main[[#This Row],[Date]]="","",TEXT(B1090,"mmm"))</f>
        <v>Dec</v>
      </c>
      <c r="E1090" t="str">
        <f>IF(tbl_main[[#This Row],[Date]]="","",TEXT(B1090,"DDD"))</f>
        <v>Wed</v>
      </c>
      <c r="F1090" t="s">
        <v>30</v>
      </c>
      <c r="G1090" t="s">
        <v>31</v>
      </c>
      <c r="H1090" s="3" t="s">
        <v>26</v>
      </c>
      <c r="I1090" s="3" t="s">
        <v>37</v>
      </c>
      <c r="J1090" s="3" t="s">
        <v>17</v>
      </c>
      <c r="K1090" s="3">
        <f>_xlfn.XLOOKUP(tbl_main[[#This Row],[Service]],tbl_service[Service],tbl_service[Price],"")</f>
        <v>200</v>
      </c>
      <c r="L1090" s="3">
        <v>1</v>
      </c>
      <c r="M1090" s="3">
        <f>IF(AND(tbl_main[[#This Row],[Price]]="",tbl_main[[#This Row],[Qty]]=""),"",tbl_main[[#This Row],[Price]]*tbl_main[[#This Row],[Qty]])</f>
        <v>200</v>
      </c>
      <c r="N1090" s="3">
        <f>_xlfn.LET(_xlpm.x,_xlfn.XLOOKUP(tbl_main[[#This Row],[Service]],tbl_service[Service],tbl_service[Profit],""),
               IF(tbl_main[[#This Row],[Qty]]="","",_xlpm.x*tbl_main[[#This Row],[Qty]]))</f>
        <v>90</v>
      </c>
    </row>
    <row r="1091" spans="1:14" x14ac:dyDescent="0.25">
      <c r="A1091" t="s">
        <v>1133</v>
      </c>
      <c r="B1091" s="1">
        <v>46022</v>
      </c>
      <c r="C1091">
        <f>IF(tbl_main[[#This Row],[Date]]="","",YEAR(B1091))</f>
        <v>2025</v>
      </c>
      <c r="D1091" t="str">
        <f>IF(tbl_main[[#This Row],[Date]]="","",TEXT(B1091,"mmm"))</f>
        <v>Dec</v>
      </c>
      <c r="E1091" t="str">
        <f>IF(tbl_main[[#This Row],[Date]]="","",TEXT(B1091,"DDD"))</f>
        <v>Wed</v>
      </c>
      <c r="F1091" t="s">
        <v>30</v>
      </c>
      <c r="G1091" t="s">
        <v>31</v>
      </c>
      <c r="H1091" s="3" t="s">
        <v>34</v>
      </c>
      <c r="I1091" s="3" t="s">
        <v>38</v>
      </c>
      <c r="J1091" s="3" t="s">
        <v>17</v>
      </c>
      <c r="K1091" s="3">
        <f>_xlfn.XLOOKUP(tbl_main[[#This Row],[Service]],tbl_service[Service],tbl_service[Price],"")</f>
        <v>100</v>
      </c>
      <c r="L1091" s="3">
        <v>2</v>
      </c>
      <c r="M1091" s="3">
        <f>IF(AND(tbl_main[[#This Row],[Price]]="",tbl_main[[#This Row],[Qty]]=""),"",tbl_main[[#This Row],[Price]]*tbl_main[[#This Row],[Qty]])</f>
        <v>200</v>
      </c>
      <c r="N1091" s="3">
        <f>_xlfn.LET(_xlpm.x,_xlfn.XLOOKUP(tbl_main[[#This Row],[Service]],tbl_service[Service],tbl_service[Profit],""),
               IF(tbl_main[[#This Row],[Qty]]="","",_xlpm.x*tbl_main[[#This Row],[Qty]]))</f>
        <v>90</v>
      </c>
    </row>
    <row r="1092" spans="1:14" x14ac:dyDescent="0.25">
      <c r="A1092" t="s">
        <v>1134</v>
      </c>
      <c r="B1092" s="1">
        <v>46022</v>
      </c>
      <c r="C1092">
        <f>IF(tbl_main[[#This Row],[Date]]="","",YEAR(B1092))</f>
        <v>2025</v>
      </c>
      <c r="D1092" t="str">
        <f>IF(tbl_main[[#This Row],[Date]]="","",TEXT(B1092,"mmm"))</f>
        <v>Dec</v>
      </c>
      <c r="E1092" t="str">
        <f>IF(tbl_main[[#This Row],[Date]]="","",TEXT(B1092,"DDD"))</f>
        <v>Wed</v>
      </c>
      <c r="F1092" t="s">
        <v>30</v>
      </c>
      <c r="G1092" t="s">
        <v>36</v>
      </c>
      <c r="H1092" s="3" t="s">
        <v>26</v>
      </c>
      <c r="I1092" s="3" t="s">
        <v>16</v>
      </c>
      <c r="J1092" s="3" t="s">
        <v>25</v>
      </c>
      <c r="K1092" s="3">
        <f>_xlfn.XLOOKUP(tbl_main[[#This Row],[Service]],tbl_service[Service],tbl_service[Price],"")</f>
        <v>200</v>
      </c>
      <c r="L1092" s="3">
        <v>1</v>
      </c>
      <c r="M1092" s="3">
        <f>IF(AND(tbl_main[[#This Row],[Price]]="",tbl_main[[#This Row],[Qty]]=""),"",tbl_main[[#This Row],[Price]]*tbl_main[[#This Row],[Qty]])</f>
        <v>200</v>
      </c>
      <c r="N1092" s="3">
        <f>_xlfn.LET(_xlpm.x,_xlfn.XLOOKUP(tbl_main[[#This Row],[Service]],tbl_service[Service],tbl_service[Profit],""),
               IF(tbl_main[[#This Row],[Qty]]="","",_xlpm.x*tbl_main[[#This Row],[Qty]]))</f>
        <v>90</v>
      </c>
    </row>
    <row r="1093" spans="1:14" x14ac:dyDescent="0.25">
      <c r="A1093" t="s">
        <v>1135</v>
      </c>
      <c r="B1093" s="1">
        <v>46022</v>
      </c>
      <c r="C1093">
        <f>IF(tbl_main[[#This Row],[Date]]="","",YEAR(B1093))</f>
        <v>2025</v>
      </c>
      <c r="D1093" t="str">
        <f>IF(tbl_main[[#This Row],[Date]]="","",TEXT(B1093,"mmm"))</f>
        <v>Dec</v>
      </c>
      <c r="E1093" t="str">
        <f>IF(tbl_main[[#This Row],[Date]]="","",TEXT(B1093,"DDD"))</f>
        <v>Wed</v>
      </c>
      <c r="F1093" t="s">
        <v>30</v>
      </c>
      <c r="G1093" t="s">
        <v>31</v>
      </c>
      <c r="H1093" s="3" t="s">
        <v>24</v>
      </c>
      <c r="I1093" s="3" t="s">
        <v>19</v>
      </c>
      <c r="J1093" s="3" t="s">
        <v>25</v>
      </c>
      <c r="K1093" s="3">
        <f>_xlfn.XLOOKUP(tbl_main[[#This Row],[Service]],tbl_service[Service],tbl_service[Price],"")</f>
        <v>80</v>
      </c>
      <c r="L1093" s="3">
        <v>2</v>
      </c>
      <c r="M1093" s="3">
        <f>IF(AND(tbl_main[[#This Row],[Price]]="",tbl_main[[#This Row],[Qty]]=""),"",tbl_main[[#This Row],[Price]]*tbl_main[[#This Row],[Qty]])</f>
        <v>160</v>
      </c>
      <c r="N1093" s="3">
        <f>_xlfn.LET(_xlpm.x,_xlfn.XLOOKUP(tbl_main[[#This Row],[Service]],tbl_service[Service],tbl_service[Profit],""),
               IF(tbl_main[[#This Row],[Qty]]="","",_xlpm.x*tbl_main[[#This Row],[Qty]]))</f>
        <v>72</v>
      </c>
    </row>
    <row r="1094" spans="1:14" x14ac:dyDescent="0.25">
      <c r="A1094" t="s">
        <v>1136</v>
      </c>
      <c r="B1094" s="1">
        <v>46023</v>
      </c>
      <c r="C1094">
        <f>IF(tbl_main[[#This Row],[Date]]="","",YEAR(B1094))</f>
        <v>2026</v>
      </c>
      <c r="D1094" t="str">
        <f>IF(tbl_main[[#This Row],[Date]]="","",TEXT(B1094,"mmm"))</f>
        <v>Jan</v>
      </c>
      <c r="E1094" t="str">
        <f>IF(tbl_main[[#This Row],[Date]]="","",TEXT(B1094,"DDD"))</f>
        <v>Thu</v>
      </c>
      <c r="F1094" t="s">
        <v>27</v>
      </c>
      <c r="G1094" t="s">
        <v>28</v>
      </c>
      <c r="H1094" s="3" t="s">
        <v>34</v>
      </c>
      <c r="I1094" s="3" t="s">
        <v>43</v>
      </c>
      <c r="J1094" s="3" t="s">
        <v>17</v>
      </c>
      <c r="K1094" s="3">
        <f>_xlfn.XLOOKUP(tbl_main[[#This Row],[Service]],tbl_service[Service],tbl_service[Price],"")</f>
        <v>100</v>
      </c>
      <c r="L1094" s="3">
        <v>2</v>
      </c>
      <c r="M1094" s="3">
        <f>IF(AND(tbl_main[[#This Row],[Price]]="",tbl_main[[#This Row],[Qty]]=""),"",tbl_main[[#This Row],[Price]]*tbl_main[[#This Row],[Qty]])</f>
        <v>200</v>
      </c>
      <c r="N1094" s="3">
        <f>_xlfn.LET(_xlpm.x,_xlfn.XLOOKUP(tbl_main[[#This Row],[Service]],tbl_service[Service],tbl_service[Profit],""),
               IF(tbl_main[[#This Row],[Qty]]="","",_xlpm.x*tbl_main[[#This Row],[Qty]]))</f>
        <v>90</v>
      </c>
    </row>
    <row r="1095" spans="1:14" x14ac:dyDescent="0.25">
      <c r="A1095" t="s">
        <v>1137</v>
      </c>
      <c r="B1095" s="1">
        <v>46023</v>
      </c>
      <c r="C1095">
        <f>IF(tbl_main[[#This Row],[Date]]="","",YEAR(B1095))</f>
        <v>2026</v>
      </c>
      <c r="D1095" t="str">
        <f>IF(tbl_main[[#This Row],[Date]]="","",TEXT(B1095,"mmm"))</f>
        <v>Jan</v>
      </c>
      <c r="E1095" t="str">
        <f>IF(tbl_main[[#This Row],[Date]]="","",TEXT(B1095,"DDD"))</f>
        <v>Thu</v>
      </c>
      <c r="F1095" t="s">
        <v>30</v>
      </c>
      <c r="G1095" t="s">
        <v>31</v>
      </c>
      <c r="H1095" s="3" t="s">
        <v>18</v>
      </c>
      <c r="I1095" s="3" t="s">
        <v>41</v>
      </c>
      <c r="J1095" s="3" t="s">
        <v>32</v>
      </c>
      <c r="K1095" s="3">
        <f>_xlfn.XLOOKUP(tbl_main[[#This Row],[Service]],tbl_service[Service],tbl_service[Price],"")</f>
        <v>500</v>
      </c>
      <c r="L1095" s="3">
        <v>2</v>
      </c>
      <c r="M1095" s="3">
        <f>IF(AND(tbl_main[[#This Row],[Price]]="",tbl_main[[#This Row],[Qty]]=""),"",tbl_main[[#This Row],[Price]]*tbl_main[[#This Row],[Qty]])</f>
        <v>1000</v>
      </c>
      <c r="N1095" s="3">
        <f>_xlfn.LET(_xlpm.x,_xlfn.XLOOKUP(tbl_main[[#This Row],[Service]],tbl_service[Service],tbl_service[Profit],""),
               IF(tbl_main[[#This Row],[Qty]]="","",_xlpm.x*tbl_main[[#This Row],[Qty]]))</f>
        <v>314</v>
      </c>
    </row>
    <row r="1096" spans="1:14" x14ac:dyDescent="0.25">
      <c r="A1096" t="s">
        <v>1138</v>
      </c>
      <c r="B1096" s="1">
        <v>46023</v>
      </c>
      <c r="C1096">
        <f>IF(tbl_main[[#This Row],[Date]]="","",YEAR(B1096))</f>
        <v>2026</v>
      </c>
      <c r="D1096" t="str">
        <f>IF(tbl_main[[#This Row],[Date]]="","",TEXT(B1096,"mmm"))</f>
        <v>Jan</v>
      </c>
      <c r="E1096" t="str">
        <f>IF(tbl_main[[#This Row],[Date]]="","",TEXT(B1096,"DDD"))</f>
        <v>Thu</v>
      </c>
      <c r="F1096" t="s">
        <v>30</v>
      </c>
      <c r="G1096" t="s">
        <v>36</v>
      </c>
      <c r="H1096" s="3" t="s">
        <v>18</v>
      </c>
      <c r="I1096" s="3" t="s">
        <v>41</v>
      </c>
      <c r="J1096" s="3" t="s">
        <v>17</v>
      </c>
      <c r="K1096" s="3">
        <f>_xlfn.XLOOKUP(tbl_main[[#This Row],[Service]],tbl_service[Service],tbl_service[Price],"")</f>
        <v>500</v>
      </c>
      <c r="L1096" s="3">
        <v>1</v>
      </c>
      <c r="M1096" s="3">
        <f>IF(AND(tbl_main[[#This Row],[Price]]="",tbl_main[[#This Row],[Qty]]=""),"",tbl_main[[#This Row],[Price]]*tbl_main[[#This Row],[Qty]])</f>
        <v>500</v>
      </c>
      <c r="N1096" s="3">
        <f>_xlfn.LET(_xlpm.x,_xlfn.XLOOKUP(tbl_main[[#This Row],[Service]],tbl_service[Service],tbl_service[Profit],""),
               IF(tbl_main[[#This Row],[Qty]]="","",_xlpm.x*tbl_main[[#This Row],[Qty]]))</f>
        <v>157</v>
      </c>
    </row>
    <row r="1097" spans="1:14" x14ac:dyDescent="0.25">
      <c r="A1097" t="s">
        <v>1139</v>
      </c>
      <c r="B1097" s="1">
        <v>46023</v>
      </c>
      <c r="C1097">
        <f>IF(tbl_main[[#This Row],[Date]]="","",YEAR(B1097))</f>
        <v>2026</v>
      </c>
      <c r="D1097" t="str">
        <f>IF(tbl_main[[#This Row],[Date]]="","",TEXT(B1097,"mmm"))</f>
        <v>Jan</v>
      </c>
      <c r="E1097" t="str">
        <f>IF(tbl_main[[#This Row],[Date]]="","",TEXT(B1097,"DDD"))</f>
        <v>Thu</v>
      </c>
      <c r="F1097" t="s">
        <v>20</v>
      </c>
      <c r="G1097" t="s">
        <v>29</v>
      </c>
      <c r="H1097" s="3" t="s">
        <v>22</v>
      </c>
      <c r="I1097" s="3" t="s">
        <v>35</v>
      </c>
      <c r="J1097" s="3" t="s">
        <v>17</v>
      </c>
      <c r="K1097" s="3">
        <f>_xlfn.XLOOKUP(tbl_main[[#This Row],[Service]],tbl_service[Service],tbl_service[Price],"")</f>
        <v>150</v>
      </c>
      <c r="L1097" s="3">
        <v>2</v>
      </c>
      <c r="M1097" s="3">
        <f>IF(AND(tbl_main[[#This Row],[Price]]="",tbl_main[[#This Row],[Qty]]=""),"",tbl_main[[#This Row],[Price]]*tbl_main[[#This Row],[Qty]])</f>
        <v>300</v>
      </c>
      <c r="N1097" s="3">
        <f>_xlfn.LET(_xlpm.x,_xlfn.XLOOKUP(tbl_main[[#This Row],[Service]],tbl_service[Service],tbl_service[Profit],""),
               IF(tbl_main[[#This Row],[Qty]]="","",_xlpm.x*tbl_main[[#This Row],[Qty]]))</f>
        <v>134</v>
      </c>
    </row>
    <row r="1098" spans="1:14" x14ac:dyDescent="0.25">
      <c r="A1098" t="s">
        <v>1140</v>
      </c>
      <c r="B1098" s="1">
        <v>46024</v>
      </c>
      <c r="C1098">
        <f>IF(tbl_main[[#This Row],[Date]]="","",YEAR(B1098))</f>
        <v>2026</v>
      </c>
      <c r="D1098" t="str">
        <f>IF(tbl_main[[#This Row],[Date]]="","",TEXT(B1098,"mmm"))</f>
        <v>Jan</v>
      </c>
      <c r="E1098" t="str">
        <f>IF(tbl_main[[#This Row],[Date]]="","",TEXT(B1098,"DDD"))</f>
        <v>Fri</v>
      </c>
      <c r="F1098" t="s">
        <v>13</v>
      </c>
      <c r="G1098" t="s">
        <v>14</v>
      </c>
      <c r="H1098" s="3" t="s">
        <v>22</v>
      </c>
      <c r="I1098" s="3" t="s">
        <v>35</v>
      </c>
      <c r="J1098" s="3" t="s">
        <v>32</v>
      </c>
      <c r="K1098" s="3">
        <f>_xlfn.XLOOKUP(tbl_main[[#This Row],[Service]],tbl_service[Service],tbl_service[Price],"")</f>
        <v>150</v>
      </c>
      <c r="L1098" s="3">
        <v>1</v>
      </c>
      <c r="M1098" s="3">
        <f>IF(AND(tbl_main[[#This Row],[Price]]="",tbl_main[[#This Row],[Qty]]=""),"",tbl_main[[#This Row],[Price]]*tbl_main[[#This Row],[Qty]])</f>
        <v>150</v>
      </c>
      <c r="N1098" s="3">
        <f>_xlfn.LET(_xlpm.x,_xlfn.XLOOKUP(tbl_main[[#This Row],[Service]],tbl_service[Service],tbl_service[Profit],""),
               IF(tbl_main[[#This Row],[Qty]]="","",_xlpm.x*tbl_main[[#This Row],[Qty]]))</f>
        <v>67</v>
      </c>
    </row>
    <row r="1099" spans="1:14" x14ac:dyDescent="0.25">
      <c r="A1099" t="s">
        <v>1141</v>
      </c>
      <c r="B1099" s="1">
        <v>46024</v>
      </c>
      <c r="C1099">
        <f>IF(tbl_main[[#This Row],[Date]]="","",YEAR(B1099))</f>
        <v>2026</v>
      </c>
      <c r="D1099" t="str">
        <f>IF(tbl_main[[#This Row],[Date]]="","",TEXT(B1099,"mmm"))</f>
        <v>Jan</v>
      </c>
      <c r="E1099" t="str">
        <f>IF(tbl_main[[#This Row],[Date]]="","",TEXT(B1099,"DDD"))</f>
        <v>Fri</v>
      </c>
      <c r="F1099" t="s">
        <v>13</v>
      </c>
      <c r="G1099" t="s">
        <v>33</v>
      </c>
      <c r="H1099" s="3" t="s">
        <v>18</v>
      </c>
      <c r="I1099" s="3" t="s">
        <v>23</v>
      </c>
      <c r="J1099" s="3" t="s">
        <v>17</v>
      </c>
      <c r="K1099" s="3">
        <f>_xlfn.XLOOKUP(tbl_main[[#This Row],[Service]],tbl_service[Service],tbl_service[Price],"")</f>
        <v>500</v>
      </c>
      <c r="L1099" s="3">
        <v>1</v>
      </c>
      <c r="M1099" s="3">
        <f>IF(AND(tbl_main[[#This Row],[Price]]="",tbl_main[[#This Row],[Qty]]=""),"",tbl_main[[#This Row],[Price]]*tbl_main[[#This Row],[Qty]])</f>
        <v>500</v>
      </c>
      <c r="N1099" s="3">
        <f>_xlfn.LET(_xlpm.x,_xlfn.XLOOKUP(tbl_main[[#This Row],[Service]],tbl_service[Service],tbl_service[Profit],""),
               IF(tbl_main[[#This Row],[Qty]]="","",_xlpm.x*tbl_main[[#This Row],[Qty]]))</f>
        <v>157</v>
      </c>
    </row>
    <row r="1100" spans="1:14" x14ac:dyDescent="0.25">
      <c r="A1100" t="s">
        <v>1142</v>
      </c>
      <c r="B1100" s="1">
        <v>46024</v>
      </c>
      <c r="C1100">
        <f>IF(tbl_main[[#This Row],[Date]]="","",YEAR(B1100))</f>
        <v>2026</v>
      </c>
      <c r="D1100" t="str">
        <f>IF(tbl_main[[#This Row],[Date]]="","",TEXT(B1100,"mmm"))</f>
        <v>Jan</v>
      </c>
      <c r="E1100" t="str">
        <f>IF(tbl_main[[#This Row],[Date]]="","",TEXT(B1100,"DDD"))</f>
        <v>Fri</v>
      </c>
      <c r="F1100" t="s">
        <v>13</v>
      </c>
      <c r="G1100" t="s">
        <v>14</v>
      </c>
      <c r="H1100" s="3" t="s">
        <v>26</v>
      </c>
      <c r="I1100" s="3" t="s">
        <v>37</v>
      </c>
      <c r="J1100" s="3" t="s">
        <v>17</v>
      </c>
      <c r="K1100" s="3">
        <f>_xlfn.XLOOKUP(tbl_main[[#This Row],[Service]],tbl_service[Service],tbl_service[Price],"")</f>
        <v>200</v>
      </c>
      <c r="L1100" s="3">
        <v>1</v>
      </c>
      <c r="M1100" s="3">
        <f>IF(AND(tbl_main[[#This Row],[Price]]="",tbl_main[[#This Row],[Qty]]=""),"",tbl_main[[#This Row],[Price]]*tbl_main[[#This Row],[Qty]])</f>
        <v>200</v>
      </c>
      <c r="N1100" s="3">
        <f>_xlfn.LET(_xlpm.x,_xlfn.XLOOKUP(tbl_main[[#This Row],[Service]],tbl_service[Service],tbl_service[Profit],""),
               IF(tbl_main[[#This Row],[Qty]]="","",_xlpm.x*tbl_main[[#This Row],[Qty]]))</f>
        <v>90</v>
      </c>
    </row>
    <row r="1101" spans="1:14" x14ac:dyDescent="0.25">
      <c r="A1101" t="s">
        <v>1143</v>
      </c>
      <c r="B1101" s="1">
        <v>46024</v>
      </c>
      <c r="C1101">
        <f>IF(tbl_main[[#This Row],[Date]]="","",YEAR(B1101))</f>
        <v>2026</v>
      </c>
      <c r="D1101" t="str">
        <f>IF(tbl_main[[#This Row],[Date]]="","",TEXT(B1101,"mmm"))</f>
        <v>Jan</v>
      </c>
      <c r="E1101" t="str">
        <f>IF(tbl_main[[#This Row],[Date]]="","",TEXT(B1101,"DDD"))</f>
        <v>Fri</v>
      </c>
      <c r="F1101" t="s">
        <v>27</v>
      </c>
      <c r="G1101" t="s">
        <v>40</v>
      </c>
      <c r="H1101" s="3" t="s">
        <v>34</v>
      </c>
      <c r="I1101" s="3" t="s">
        <v>38</v>
      </c>
      <c r="J1101" s="3" t="s">
        <v>17</v>
      </c>
      <c r="K1101" s="3">
        <f>_xlfn.XLOOKUP(tbl_main[[#This Row],[Service]],tbl_service[Service],tbl_service[Price],"")</f>
        <v>100</v>
      </c>
      <c r="L1101" s="3">
        <v>1</v>
      </c>
      <c r="M1101" s="3">
        <f>IF(AND(tbl_main[[#This Row],[Price]]="",tbl_main[[#This Row],[Qty]]=""),"",tbl_main[[#This Row],[Price]]*tbl_main[[#This Row],[Qty]])</f>
        <v>100</v>
      </c>
      <c r="N1101" s="3">
        <f>_xlfn.LET(_xlpm.x,_xlfn.XLOOKUP(tbl_main[[#This Row],[Service]],tbl_service[Service],tbl_service[Profit],""),
               IF(tbl_main[[#This Row],[Qty]]="","",_xlpm.x*tbl_main[[#This Row],[Qty]]))</f>
        <v>45</v>
      </c>
    </row>
    <row r="1102" spans="1:14" x14ac:dyDescent="0.25">
      <c r="A1102" t="s">
        <v>1144</v>
      </c>
      <c r="B1102" s="1">
        <v>46025</v>
      </c>
      <c r="C1102">
        <f>IF(tbl_main[[#This Row],[Date]]="","",YEAR(B1102))</f>
        <v>2026</v>
      </c>
      <c r="D1102" t="str">
        <f>IF(tbl_main[[#This Row],[Date]]="","",TEXT(B1102,"mmm"))</f>
        <v>Jan</v>
      </c>
      <c r="E1102" t="str">
        <f>IF(tbl_main[[#This Row],[Date]]="","",TEXT(B1102,"DDD"))</f>
        <v>Sat</v>
      </c>
      <c r="F1102" t="s">
        <v>30</v>
      </c>
      <c r="G1102" t="s">
        <v>36</v>
      </c>
      <c r="H1102" s="3" t="s">
        <v>22</v>
      </c>
      <c r="I1102" s="3" t="s">
        <v>16</v>
      </c>
      <c r="J1102" s="3" t="s">
        <v>32</v>
      </c>
      <c r="K1102" s="3">
        <f>_xlfn.XLOOKUP(tbl_main[[#This Row],[Service]],tbl_service[Service],tbl_service[Price],"")</f>
        <v>150</v>
      </c>
      <c r="L1102" s="3">
        <v>1</v>
      </c>
      <c r="M1102" s="3">
        <f>IF(AND(tbl_main[[#This Row],[Price]]="",tbl_main[[#This Row],[Qty]]=""),"",tbl_main[[#This Row],[Price]]*tbl_main[[#This Row],[Qty]])</f>
        <v>150</v>
      </c>
      <c r="N1102" s="3">
        <f>_xlfn.LET(_xlpm.x,_xlfn.XLOOKUP(tbl_main[[#This Row],[Service]],tbl_service[Service],tbl_service[Profit],""),
               IF(tbl_main[[#This Row],[Qty]]="","",_xlpm.x*tbl_main[[#This Row],[Qty]]))</f>
        <v>67</v>
      </c>
    </row>
    <row r="1103" spans="1:14" x14ac:dyDescent="0.25">
      <c r="A1103" t="s">
        <v>1145</v>
      </c>
      <c r="B1103" s="1">
        <v>46025</v>
      </c>
      <c r="C1103">
        <f>IF(tbl_main[[#This Row],[Date]]="","",YEAR(B1103))</f>
        <v>2026</v>
      </c>
      <c r="D1103" t="str">
        <f>IF(tbl_main[[#This Row],[Date]]="","",TEXT(B1103,"mmm"))</f>
        <v>Jan</v>
      </c>
      <c r="E1103" t="str">
        <f>IF(tbl_main[[#This Row],[Date]]="","",TEXT(B1103,"DDD"))</f>
        <v>Sat</v>
      </c>
      <c r="F1103" t="s">
        <v>27</v>
      </c>
      <c r="G1103" t="s">
        <v>40</v>
      </c>
      <c r="H1103" s="3" t="s">
        <v>26</v>
      </c>
      <c r="I1103" s="3" t="s">
        <v>19</v>
      </c>
      <c r="J1103" s="3" t="s">
        <v>17</v>
      </c>
      <c r="K1103" s="3">
        <f>_xlfn.XLOOKUP(tbl_main[[#This Row],[Service]],tbl_service[Service],tbl_service[Price],"")</f>
        <v>200</v>
      </c>
      <c r="L1103" s="3">
        <v>1</v>
      </c>
      <c r="M1103" s="3">
        <f>IF(AND(tbl_main[[#This Row],[Price]]="",tbl_main[[#This Row],[Qty]]=""),"",tbl_main[[#This Row],[Price]]*tbl_main[[#This Row],[Qty]])</f>
        <v>200</v>
      </c>
      <c r="N1103" s="3">
        <f>_xlfn.LET(_xlpm.x,_xlfn.XLOOKUP(tbl_main[[#This Row],[Service]],tbl_service[Service],tbl_service[Profit],""),
               IF(tbl_main[[#This Row],[Qty]]="","",_xlpm.x*tbl_main[[#This Row],[Qty]]))</f>
        <v>90</v>
      </c>
    </row>
    <row r="1104" spans="1:14" x14ac:dyDescent="0.25">
      <c r="A1104" t="s">
        <v>1146</v>
      </c>
      <c r="B1104" s="1">
        <v>46025</v>
      </c>
      <c r="C1104">
        <f>IF(tbl_main[[#This Row],[Date]]="","",YEAR(B1104))</f>
        <v>2026</v>
      </c>
      <c r="D1104" t="str">
        <f>IF(tbl_main[[#This Row],[Date]]="","",TEXT(B1104,"mmm"))</f>
        <v>Jan</v>
      </c>
      <c r="E1104" t="str">
        <f>IF(tbl_main[[#This Row],[Date]]="","",TEXT(B1104,"DDD"))</f>
        <v>Sat</v>
      </c>
      <c r="F1104" t="s">
        <v>27</v>
      </c>
      <c r="G1104" t="s">
        <v>28</v>
      </c>
      <c r="H1104" s="3" t="s">
        <v>15</v>
      </c>
      <c r="I1104" s="3" t="s">
        <v>43</v>
      </c>
      <c r="J1104" s="3" t="s">
        <v>17</v>
      </c>
      <c r="K1104" s="3">
        <f>_xlfn.XLOOKUP(tbl_main[[#This Row],[Service]],tbl_service[Service],tbl_service[Price],"")</f>
        <v>500</v>
      </c>
      <c r="L1104" s="3">
        <v>2</v>
      </c>
      <c r="M1104" s="3">
        <f>IF(AND(tbl_main[[#This Row],[Price]]="",tbl_main[[#This Row],[Qty]]=""),"",tbl_main[[#This Row],[Price]]*tbl_main[[#This Row],[Qty]])</f>
        <v>1000</v>
      </c>
      <c r="N1104" s="3">
        <f>_xlfn.LET(_xlpm.x,_xlfn.XLOOKUP(tbl_main[[#This Row],[Service]],tbl_service[Service],tbl_service[Profit],""),
               IF(tbl_main[[#This Row],[Qty]]="","",_xlpm.x*tbl_main[[#This Row],[Qty]]))</f>
        <v>450</v>
      </c>
    </row>
    <row r="1105" spans="1:14" x14ac:dyDescent="0.25">
      <c r="A1105" t="s">
        <v>1147</v>
      </c>
      <c r="B1105" s="1">
        <v>46025</v>
      </c>
      <c r="C1105">
        <f>IF(tbl_main[[#This Row],[Date]]="","",YEAR(B1105))</f>
        <v>2026</v>
      </c>
      <c r="D1105" t="str">
        <f>IF(tbl_main[[#This Row],[Date]]="","",TEXT(B1105,"mmm"))</f>
        <v>Jan</v>
      </c>
      <c r="E1105" t="str">
        <f>IF(tbl_main[[#This Row],[Date]]="","",TEXT(B1105,"DDD"))</f>
        <v>Sat</v>
      </c>
      <c r="F1105" t="s">
        <v>13</v>
      </c>
      <c r="G1105" t="s">
        <v>14</v>
      </c>
      <c r="H1105" s="3" t="s">
        <v>24</v>
      </c>
      <c r="I1105" s="3" t="s">
        <v>41</v>
      </c>
      <c r="J1105" s="3" t="s">
        <v>17</v>
      </c>
      <c r="K1105" s="3">
        <f>_xlfn.XLOOKUP(tbl_main[[#This Row],[Service]],tbl_service[Service],tbl_service[Price],"")</f>
        <v>80</v>
      </c>
      <c r="L1105" s="3">
        <v>1</v>
      </c>
      <c r="M1105" s="3">
        <f>IF(AND(tbl_main[[#This Row],[Price]]="",tbl_main[[#This Row],[Qty]]=""),"",tbl_main[[#This Row],[Price]]*tbl_main[[#This Row],[Qty]])</f>
        <v>80</v>
      </c>
      <c r="N1105" s="3">
        <f>_xlfn.LET(_xlpm.x,_xlfn.XLOOKUP(tbl_main[[#This Row],[Service]],tbl_service[Service],tbl_service[Profit],""),
               IF(tbl_main[[#This Row],[Qty]]="","",_xlpm.x*tbl_main[[#This Row],[Qty]]))</f>
        <v>36</v>
      </c>
    </row>
    <row r="1106" spans="1:14" x14ac:dyDescent="0.25">
      <c r="A1106" t="s">
        <v>1148</v>
      </c>
      <c r="B1106" s="1">
        <v>46026</v>
      </c>
      <c r="C1106">
        <f>IF(tbl_main[[#This Row],[Date]]="","",YEAR(B1106))</f>
        <v>2026</v>
      </c>
      <c r="D1106" t="str">
        <f>IF(tbl_main[[#This Row],[Date]]="","",TEXT(B1106,"mmm"))</f>
        <v>Jan</v>
      </c>
      <c r="E1106" t="str">
        <f>IF(tbl_main[[#This Row],[Date]]="","",TEXT(B1106,"DDD"))</f>
        <v>Sun</v>
      </c>
      <c r="F1106" t="s">
        <v>30</v>
      </c>
      <c r="G1106" t="s">
        <v>36</v>
      </c>
      <c r="H1106" s="3" t="s">
        <v>34</v>
      </c>
      <c r="I1106" s="3" t="s">
        <v>41</v>
      </c>
      <c r="J1106" s="3" t="s">
        <v>25</v>
      </c>
      <c r="K1106" s="3">
        <f>_xlfn.XLOOKUP(tbl_main[[#This Row],[Service]],tbl_service[Service],tbl_service[Price],"")</f>
        <v>100</v>
      </c>
      <c r="L1106" s="3">
        <v>2</v>
      </c>
      <c r="M1106" s="3">
        <f>IF(AND(tbl_main[[#This Row],[Price]]="",tbl_main[[#This Row],[Qty]]=""),"",tbl_main[[#This Row],[Price]]*tbl_main[[#This Row],[Qty]])</f>
        <v>200</v>
      </c>
      <c r="N1106" s="3">
        <f>_xlfn.LET(_xlpm.x,_xlfn.XLOOKUP(tbl_main[[#This Row],[Service]],tbl_service[Service],tbl_service[Profit],""),
               IF(tbl_main[[#This Row],[Qty]]="","",_xlpm.x*tbl_main[[#This Row],[Qty]]))</f>
        <v>90</v>
      </c>
    </row>
    <row r="1107" spans="1:14" x14ac:dyDescent="0.25">
      <c r="A1107" t="s">
        <v>1149</v>
      </c>
      <c r="B1107" s="1">
        <v>46026</v>
      </c>
      <c r="C1107">
        <f>IF(tbl_main[[#This Row],[Date]]="","",YEAR(B1107))</f>
        <v>2026</v>
      </c>
      <c r="D1107" t="str">
        <f>IF(tbl_main[[#This Row],[Date]]="","",TEXT(B1107,"mmm"))</f>
        <v>Jan</v>
      </c>
      <c r="E1107" t="str">
        <f>IF(tbl_main[[#This Row],[Date]]="","",TEXT(B1107,"DDD"))</f>
        <v>Sun</v>
      </c>
      <c r="F1107" t="s">
        <v>13</v>
      </c>
      <c r="G1107" t="s">
        <v>14</v>
      </c>
      <c r="H1107" s="3" t="s">
        <v>26</v>
      </c>
      <c r="I1107" s="3" t="s">
        <v>35</v>
      </c>
      <c r="J1107" s="3" t="s">
        <v>17</v>
      </c>
      <c r="K1107" s="3">
        <f>_xlfn.XLOOKUP(tbl_main[[#This Row],[Service]],tbl_service[Service],tbl_service[Price],"")</f>
        <v>200</v>
      </c>
      <c r="L1107" s="3">
        <v>2</v>
      </c>
      <c r="M1107" s="3">
        <f>IF(AND(tbl_main[[#This Row],[Price]]="",tbl_main[[#This Row],[Qty]]=""),"",tbl_main[[#This Row],[Price]]*tbl_main[[#This Row],[Qty]])</f>
        <v>400</v>
      </c>
      <c r="N1107" s="3">
        <f>_xlfn.LET(_xlpm.x,_xlfn.XLOOKUP(tbl_main[[#This Row],[Service]],tbl_service[Service],tbl_service[Profit],""),
               IF(tbl_main[[#This Row],[Qty]]="","",_xlpm.x*tbl_main[[#This Row],[Qty]]))</f>
        <v>180</v>
      </c>
    </row>
    <row r="1108" spans="1:14" x14ac:dyDescent="0.25">
      <c r="A1108" t="s">
        <v>1150</v>
      </c>
      <c r="B1108" s="1">
        <v>46027</v>
      </c>
      <c r="C1108">
        <f>IF(tbl_main[[#This Row],[Date]]="","",YEAR(B1108))</f>
        <v>2026</v>
      </c>
      <c r="D1108" t="str">
        <f>IF(tbl_main[[#This Row],[Date]]="","",TEXT(B1108,"mmm"))</f>
        <v>Jan</v>
      </c>
      <c r="E1108" t="str">
        <f>IF(tbl_main[[#This Row],[Date]]="","",TEXT(B1108,"DDD"))</f>
        <v>Mon</v>
      </c>
      <c r="F1108" t="s">
        <v>27</v>
      </c>
      <c r="G1108" t="s">
        <v>40</v>
      </c>
      <c r="H1108" s="3" t="s">
        <v>24</v>
      </c>
      <c r="I1108" s="3" t="s">
        <v>35</v>
      </c>
      <c r="J1108" s="3" t="s">
        <v>17</v>
      </c>
      <c r="K1108" s="3">
        <f>_xlfn.XLOOKUP(tbl_main[[#This Row],[Service]],tbl_service[Service],tbl_service[Price],"")</f>
        <v>80</v>
      </c>
      <c r="L1108" s="3">
        <v>2</v>
      </c>
      <c r="M1108" s="3">
        <f>IF(AND(tbl_main[[#This Row],[Price]]="",tbl_main[[#This Row],[Qty]]=""),"",tbl_main[[#This Row],[Price]]*tbl_main[[#This Row],[Qty]])</f>
        <v>160</v>
      </c>
      <c r="N1108" s="3">
        <f>_xlfn.LET(_xlpm.x,_xlfn.XLOOKUP(tbl_main[[#This Row],[Service]],tbl_service[Service],tbl_service[Profit],""),
               IF(tbl_main[[#This Row],[Qty]]="","",_xlpm.x*tbl_main[[#This Row],[Qty]]))</f>
        <v>72</v>
      </c>
    </row>
    <row r="1109" spans="1:14" x14ac:dyDescent="0.25">
      <c r="A1109" t="s">
        <v>1151</v>
      </c>
      <c r="B1109" s="1">
        <v>46027</v>
      </c>
      <c r="C1109">
        <f>IF(tbl_main[[#This Row],[Date]]="","",YEAR(B1109))</f>
        <v>2026</v>
      </c>
      <c r="D1109" t="str">
        <f>IF(tbl_main[[#This Row],[Date]]="","",TEXT(B1109,"mmm"))</f>
        <v>Jan</v>
      </c>
      <c r="E1109" t="str">
        <f>IF(tbl_main[[#This Row],[Date]]="","",TEXT(B1109,"DDD"))</f>
        <v>Mon</v>
      </c>
      <c r="F1109" t="s">
        <v>27</v>
      </c>
      <c r="G1109" t="s">
        <v>28</v>
      </c>
      <c r="H1109" s="3" t="s">
        <v>18</v>
      </c>
      <c r="I1109" s="3" t="s">
        <v>23</v>
      </c>
      <c r="J1109" s="3" t="s">
        <v>25</v>
      </c>
      <c r="K1109" s="3">
        <f>_xlfn.XLOOKUP(tbl_main[[#This Row],[Service]],tbl_service[Service],tbl_service[Price],"")</f>
        <v>500</v>
      </c>
      <c r="L1109" s="3">
        <v>1</v>
      </c>
      <c r="M1109" s="3">
        <f>IF(AND(tbl_main[[#This Row],[Price]]="",tbl_main[[#This Row],[Qty]]=""),"",tbl_main[[#This Row],[Price]]*tbl_main[[#This Row],[Qty]])</f>
        <v>500</v>
      </c>
      <c r="N1109" s="3">
        <f>_xlfn.LET(_xlpm.x,_xlfn.XLOOKUP(tbl_main[[#This Row],[Service]],tbl_service[Service],tbl_service[Profit],""),
               IF(tbl_main[[#This Row],[Qty]]="","",_xlpm.x*tbl_main[[#This Row],[Qty]]))</f>
        <v>157</v>
      </c>
    </row>
    <row r="1110" spans="1:14" x14ac:dyDescent="0.25">
      <c r="A1110" t="s">
        <v>1152</v>
      </c>
      <c r="B1110" s="1">
        <v>46027</v>
      </c>
      <c r="C1110">
        <f>IF(tbl_main[[#This Row],[Date]]="","",YEAR(B1110))</f>
        <v>2026</v>
      </c>
      <c r="D1110" t="str">
        <f>IF(tbl_main[[#This Row],[Date]]="","",TEXT(B1110,"mmm"))</f>
        <v>Jan</v>
      </c>
      <c r="E1110" t="str">
        <f>IF(tbl_main[[#This Row],[Date]]="","",TEXT(B1110,"DDD"))</f>
        <v>Mon</v>
      </c>
      <c r="F1110" t="s">
        <v>20</v>
      </c>
      <c r="G1110" t="s">
        <v>29</v>
      </c>
      <c r="H1110" s="3" t="s">
        <v>26</v>
      </c>
      <c r="I1110" s="3" t="s">
        <v>37</v>
      </c>
      <c r="J1110" s="3" t="s">
        <v>32</v>
      </c>
      <c r="K1110" s="3">
        <f>_xlfn.XLOOKUP(tbl_main[[#This Row],[Service]],tbl_service[Service],tbl_service[Price],"")</f>
        <v>200</v>
      </c>
      <c r="L1110" s="3">
        <v>1</v>
      </c>
      <c r="M1110" s="3">
        <f>IF(AND(tbl_main[[#This Row],[Price]]="",tbl_main[[#This Row],[Qty]]=""),"",tbl_main[[#This Row],[Price]]*tbl_main[[#This Row],[Qty]])</f>
        <v>200</v>
      </c>
      <c r="N1110" s="3">
        <f>_xlfn.LET(_xlpm.x,_xlfn.XLOOKUP(tbl_main[[#This Row],[Service]],tbl_service[Service],tbl_service[Profit],""),
               IF(tbl_main[[#This Row],[Qty]]="","",_xlpm.x*tbl_main[[#This Row],[Qty]]))</f>
        <v>90</v>
      </c>
    </row>
    <row r="1111" spans="1:14" x14ac:dyDescent="0.25">
      <c r="A1111" t="s">
        <v>1153</v>
      </c>
      <c r="B1111" s="1">
        <v>46027</v>
      </c>
      <c r="C1111">
        <f>IF(tbl_main[[#This Row],[Date]]="","",YEAR(B1111))</f>
        <v>2026</v>
      </c>
      <c r="D1111" t="str">
        <f>IF(tbl_main[[#This Row],[Date]]="","",TEXT(B1111,"mmm"))</f>
        <v>Jan</v>
      </c>
      <c r="E1111" t="str">
        <f>IF(tbl_main[[#This Row],[Date]]="","",TEXT(B1111,"DDD"))</f>
        <v>Mon</v>
      </c>
      <c r="F1111" t="s">
        <v>27</v>
      </c>
      <c r="G1111" t="s">
        <v>28</v>
      </c>
      <c r="H1111" s="3" t="s">
        <v>26</v>
      </c>
      <c r="I1111" s="3" t="s">
        <v>38</v>
      </c>
      <c r="J1111" s="3" t="s">
        <v>17</v>
      </c>
      <c r="K1111" s="3">
        <f>_xlfn.XLOOKUP(tbl_main[[#This Row],[Service]],tbl_service[Service],tbl_service[Price],"")</f>
        <v>200</v>
      </c>
      <c r="L1111" s="3">
        <v>2</v>
      </c>
      <c r="M1111" s="3">
        <f>IF(AND(tbl_main[[#This Row],[Price]]="",tbl_main[[#This Row],[Qty]]=""),"",tbl_main[[#This Row],[Price]]*tbl_main[[#This Row],[Qty]])</f>
        <v>400</v>
      </c>
      <c r="N1111" s="3">
        <f>_xlfn.LET(_xlpm.x,_xlfn.XLOOKUP(tbl_main[[#This Row],[Service]],tbl_service[Service],tbl_service[Profit],""),
               IF(tbl_main[[#This Row],[Qty]]="","",_xlpm.x*tbl_main[[#This Row],[Qty]]))</f>
        <v>180</v>
      </c>
    </row>
    <row r="1112" spans="1:14" x14ac:dyDescent="0.25">
      <c r="A1112" t="s">
        <v>1154</v>
      </c>
      <c r="B1112" s="1">
        <v>46028</v>
      </c>
      <c r="C1112">
        <f>IF(tbl_main[[#This Row],[Date]]="","",YEAR(B1112))</f>
        <v>2026</v>
      </c>
      <c r="D1112" t="str">
        <f>IF(tbl_main[[#This Row],[Date]]="","",TEXT(B1112,"mmm"))</f>
        <v>Jan</v>
      </c>
      <c r="E1112" t="str">
        <f>IF(tbl_main[[#This Row],[Date]]="","",TEXT(B1112,"DDD"))</f>
        <v>Tue</v>
      </c>
      <c r="F1112" t="s">
        <v>20</v>
      </c>
      <c r="G1112" t="s">
        <v>21</v>
      </c>
      <c r="H1112" s="3" t="s">
        <v>34</v>
      </c>
      <c r="I1112" s="3" t="s">
        <v>16</v>
      </c>
      <c r="J1112" s="3" t="s">
        <v>17</v>
      </c>
      <c r="K1112" s="3">
        <f>_xlfn.XLOOKUP(tbl_main[[#This Row],[Service]],tbl_service[Service],tbl_service[Price],"")</f>
        <v>100</v>
      </c>
      <c r="L1112" s="3">
        <v>1</v>
      </c>
      <c r="M1112" s="3">
        <f>IF(AND(tbl_main[[#This Row],[Price]]="",tbl_main[[#This Row],[Qty]]=""),"",tbl_main[[#This Row],[Price]]*tbl_main[[#This Row],[Qty]])</f>
        <v>100</v>
      </c>
      <c r="N1112" s="3">
        <f>_xlfn.LET(_xlpm.x,_xlfn.XLOOKUP(tbl_main[[#This Row],[Service]],tbl_service[Service],tbl_service[Profit],""),
               IF(tbl_main[[#This Row],[Qty]]="","",_xlpm.x*tbl_main[[#This Row],[Qty]]))</f>
        <v>45</v>
      </c>
    </row>
    <row r="1113" spans="1:14" x14ac:dyDescent="0.25">
      <c r="A1113" t="s">
        <v>1155</v>
      </c>
      <c r="B1113" s="1">
        <v>46028</v>
      </c>
      <c r="C1113">
        <f>IF(tbl_main[[#This Row],[Date]]="","",YEAR(B1113))</f>
        <v>2026</v>
      </c>
      <c r="D1113" t="str">
        <f>IF(tbl_main[[#This Row],[Date]]="","",TEXT(B1113,"mmm"))</f>
        <v>Jan</v>
      </c>
      <c r="E1113" t="str">
        <f>IF(tbl_main[[#This Row],[Date]]="","",TEXT(B1113,"DDD"))</f>
        <v>Tue</v>
      </c>
      <c r="F1113" t="s">
        <v>20</v>
      </c>
      <c r="G1113" t="s">
        <v>39</v>
      </c>
      <c r="H1113" s="3" t="s">
        <v>15</v>
      </c>
      <c r="I1113" s="3" t="s">
        <v>19</v>
      </c>
      <c r="J1113" s="3" t="s">
        <v>17</v>
      </c>
      <c r="K1113" s="3">
        <f>_xlfn.XLOOKUP(tbl_main[[#This Row],[Service]],tbl_service[Service],tbl_service[Price],"")</f>
        <v>500</v>
      </c>
      <c r="L1113" s="3">
        <v>1</v>
      </c>
      <c r="M1113" s="3">
        <f>IF(AND(tbl_main[[#This Row],[Price]]="",tbl_main[[#This Row],[Qty]]=""),"",tbl_main[[#This Row],[Price]]*tbl_main[[#This Row],[Qty]])</f>
        <v>500</v>
      </c>
      <c r="N1113" s="3">
        <f>_xlfn.LET(_xlpm.x,_xlfn.XLOOKUP(tbl_main[[#This Row],[Service]],tbl_service[Service],tbl_service[Profit],""),
               IF(tbl_main[[#This Row],[Qty]]="","",_xlpm.x*tbl_main[[#This Row],[Qty]]))</f>
        <v>225</v>
      </c>
    </row>
    <row r="1114" spans="1:14" x14ac:dyDescent="0.25">
      <c r="A1114" t="s">
        <v>1156</v>
      </c>
      <c r="B1114" s="1">
        <v>46028</v>
      </c>
      <c r="C1114">
        <f>IF(tbl_main[[#This Row],[Date]]="","",YEAR(B1114))</f>
        <v>2026</v>
      </c>
      <c r="D1114" t="str">
        <f>IF(tbl_main[[#This Row],[Date]]="","",TEXT(B1114,"mmm"))</f>
        <v>Jan</v>
      </c>
      <c r="E1114" t="str">
        <f>IF(tbl_main[[#This Row],[Date]]="","",TEXT(B1114,"DDD"))</f>
        <v>Tue</v>
      </c>
      <c r="F1114" t="s">
        <v>20</v>
      </c>
      <c r="G1114" t="s">
        <v>29</v>
      </c>
      <c r="H1114" s="3" t="s">
        <v>26</v>
      </c>
      <c r="I1114" s="3" t="s">
        <v>43</v>
      </c>
      <c r="J1114" s="3" t="s">
        <v>32</v>
      </c>
      <c r="K1114" s="3">
        <f>_xlfn.XLOOKUP(tbl_main[[#This Row],[Service]],tbl_service[Service],tbl_service[Price],"")</f>
        <v>200</v>
      </c>
      <c r="L1114" s="3">
        <v>2</v>
      </c>
      <c r="M1114" s="3">
        <f>IF(AND(tbl_main[[#This Row],[Price]]="",tbl_main[[#This Row],[Qty]]=""),"",tbl_main[[#This Row],[Price]]*tbl_main[[#This Row],[Qty]])</f>
        <v>400</v>
      </c>
      <c r="N1114" s="3">
        <f>_xlfn.LET(_xlpm.x,_xlfn.XLOOKUP(tbl_main[[#This Row],[Service]],tbl_service[Service],tbl_service[Profit],""),
               IF(tbl_main[[#This Row],[Qty]]="","",_xlpm.x*tbl_main[[#This Row],[Qty]]))</f>
        <v>180</v>
      </c>
    </row>
    <row r="1115" spans="1:14" x14ac:dyDescent="0.25">
      <c r="A1115" t="s">
        <v>1157</v>
      </c>
      <c r="B1115" s="1">
        <v>46029</v>
      </c>
      <c r="C1115">
        <f>IF(tbl_main[[#This Row],[Date]]="","",YEAR(B1115))</f>
        <v>2026</v>
      </c>
      <c r="D1115" t="str">
        <f>IF(tbl_main[[#This Row],[Date]]="","",TEXT(B1115,"mmm"))</f>
        <v>Jan</v>
      </c>
      <c r="E1115" t="str">
        <f>IF(tbl_main[[#This Row],[Date]]="","",TEXT(B1115,"DDD"))</f>
        <v>Wed</v>
      </c>
      <c r="F1115" t="s">
        <v>30</v>
      </c>
      <c r="G1115" t="s">
        <v>31</v>
      </c>
      <c r="H1115" s="3" t="s">
        <v>22</v>
      </c>
      <c r="I1115" s="3" t="s">
        <v>41</v>
      </c>
      <c r="J1115" s="3" t="s">
        <v>25</v>
      </c>
      <c r="K1115" s="3">
        <f>_xlfn.XLOOKUP(tbl_main[[#This Row],[Service]],tbl_service[Service],tbl_service[Price],"")</f>
        <v>150</v>
      </c>
      <c r="L1115" s="3">
        <v>2</v>
      </c>
      <c r="M1115" s="3">
        <f>IF(AND(tbl_main[[#This Row],[Price]]="",tbl_main[[#This Row],[Qty]]=""),"",tbl_main[[#This Row],[Price]]*tbl_main[[#This Row],[Qty]])</f>
        <v>300</v>
      </c>
      <c r="N1115" s="3">
        <f>_xlfn.LET(_xlpm.x,_xlfn.XLOOKUP(tbl_main[[#This Row],[Service]],tbl_service[Service],tbl_service[Profit],""),
               IF(tbl_main[[#This Row],[Qty]]="","",_xlpm.x*tbl_main[[#This Row],[Qty]]))</f>
        <v>134</v>
      </c>
    </row>
    <row r="1116" spans="1:14" x14ac:dyDescent="0.25">
      <c r="A1116" t="s">
        <v>1158</v>
      </c>
      <c r="B1116" s="1">
        <v>46029</v>
      </c>
      <c r="C1116">
        <f>IF(tbl_main[[#This Row],[Date]]="","",YEAR(B1116))</f>
        <v>2026</v>
      </c>
      <c r="D1116" t="str">
        <f>IF(tbl_main[[#This Row],[Date]]="","",TEXT(B1116,"mmm"))</f>
        <v>Jan</v>
      </c>
      <c r="E1116" t="str">
        <f>IF(tbl_main[[#This Row],[Date]]="","",TEXT(B1116,"DDD"))</f>
        <v>Wed</v>
      </c>
      <c r="F1116" t="s">
        <v>30</v>
      </c>
      <c r="G1116" t="s">
        <v>31</v>
      </c>
      <c r="H1116" s="3" t="s">
        <v>15</v>
      </c>
      <c r="I1116" s="3" t="s">
        <v>41</v>
      </c>
      <c r="J1116" s="3" t="s">
        <v>32</v>
      </c>
      <c r="K1116" s="3">
        <f>_xlfn.XLOOKUP(tbl_main[[#This Row],[Service]],tbl_service[Service],tbl_service[Price],"")</f>
        <v>500</v>
      </c>
      <c r="L1116" s="3">
        <v>1</v>
      </c>
      <c r="M1116" s="3">
        <f>IF(AND(tbl_main[[#This Row],[Price]]="",tbl_main[[#This Row],[Qty]]=""),"",tbl_main[[#This Row],[Price]]*tbl_main[[#This Row],[Qty]])</f>
        <v>500</v>
      </c>
      <c r="N1116" s="3">
        <f>_xlfn.LET(_xlpm.x,_xlfn.XLOOKUP(tbl_main[[#This Row],[Service]],tbl_service[Service],tbl_service[Profit],""),
               IF(tbl_main[[#This Row],[Qty]]="","",_xlpm.x*tbl_main[[#This Row],[Qty]]))</f>
        <v>225</v>
      </c>
    </row>
    <row r="1117" spans="1:14" x14ac:dyDescent="0.25">
      <c r="A1117" t="s">
        <v>1159</v>
      </c>
      <c r="B1117" s="1">
        <v>46030</v>
      </c>
      <c r="C1117">
        <f>IF(tbl_main[[#This Row],[Date]]="","",YEAR(B1117))</f>
        <v>2026</v>
      </c>
      <c r="D1117" t="str">
        <f>IF(tbl_main[[#This Row],[Date]]="","",TEXT(B1117,"mmm"))</f>
        <v>Jan</v>
      </c>
      <c r="E1117" t="str">
        <f>IF(tbl_main[[#This Row],[Date]]="","",TEXT(B1117,"DDD"))</f>
        <v>Thu</v>
      </c>
      <c r="F1117" t="s">
        <v>27</v>
      </c>
      <c r="G1117" t="s">
        <v>28</v>
      </c>
      <c r="H1117" s="3" t="s">
        <v>18</v>
      </c>
      <c r="I1117" s="3" t="s">
        <v>35</v>
      </c>
      <c r="J1117" s="3" t="s">
        <v>32</v>
      </c>
      <c r="K1117" s="3">
        <f>_xlfn.XLOOKUP(tbl_main[[#This Row],[Service]],tbl_service[Service],tbl_service[Price],"")</f>
        <v>500</v>
      </c>
      <c r="L1117" s="3">
        <v>2</v>
      </c>
      <c r="M1117" s="3">
        <f>IF(AND(tbl_main[[#This Row],[Price]]="",tbl_main[[#This Row],[Qty]]=""),"",tbl_main[[#This Row],[Price]]*tbl_main[[#This Row],[Qty]])</f>
        <v>1000</v>
      </c>
      <c r="N1117" s="3">
        <f>_xlfn.LET(_xlpm.x,_xlfn.XLOOKUP(tbl_main[[#This Row],[Service]],tbl_service[Service],tbl_service[Profit],""),
               IF(tbl_main[[#This Row],[Qty]]="","",_xlpm.x*tbl_main[[#This Row],[Qty]]))</f>
        <v>314</v>
      </c>
    </row>
    <row r="1118" spans="1:14" x14ac:dyDescent="0.25">
      <c r="A1118" t="s">
        <v>1160</v>
      </c>
      <c r="B1118" s="1">
        <v>46030</v>
      </c>
      <c r="C1118">
        <f>IF(tbl_main[[#This Row],[Date]]="","",YEAR(B1118))</f>
        <v>2026</v>
      </c>
      <c r="D1118" t="str">
        <f>IF(tbl_main[[#This Row],[Date]]="","",TEXT(B1118,"mmm"))</f>
        <v>Jan</v>
      </c>
      <c r="E1118" t="str">
        <f>IF(tbl_main[[#This Row],[Date]]="","",TEXT(B1118,"DDD"))</f>
        <v>Thu</v>
      </c>
      <c r="F1118" t="s">
        <v>13</v>
      </c>
      <c r="G1118" t="s">
        <v>14</v>
      </c>
      <c r="H1118" s="3" t="s">
        <v>24</v>
      </c>
      <c r="I1118" s="3" t="s">
        <v>35</v>
      </c>
      <c r="J1118" s="3" t="s">
        <v>25</v>
      </c>
      <c r="K1118" s="3">
        <f>_xlfn.XLOOKUP(tbl_main[[#This Row],[Service]],tbl_service[Service],tbl_service[Price],"")</f>
        <v>80</v>
      </c>
      <c r="L1118" s="3">
        <v>1</v>
      </c>
      <c r="M1118" s="3">
        <f>IF(AND(tbl_main[[#This Row],[Price]]="",tbl_main[[#This Row],[Qty]]=""),"",tbl_main[[#This Row],[Price]]*tbl_main[[#This Row],[Qty]])</f>
        <v>80</v>
      </c>
      <c r="N1118" s="3">
        <f>_xlfn.LET(_xlpm.x,_xlfn.XLOOKUP(tbl_main[[#This Row],[Service]],tbl_service[Service],tbl_service[Profit],""),
               IF(tbl_main[[#This Row],[Qty]]="","",_xlpm.x*tbl_main[[#This Row],[Qty]]))</f>
        <v>36</v>
      </c>
    </row>
    <row r="1119" spans="1:14" x14ac:dyDescent="0.25">
      <c r="A1119" t="s">
        <v>1161</v>
      </c>
      <c r="B1119" s="1">
        <v>46031</v>
      </c>
      <c r="C1119">
        <f>IF(tbl_main[[#This Row],[Date]]="","",YEAR(B1119))</f>
        <v>2026</v>
      </c>
      <c r="D1119" t="str">
        <f>IF(tbl_main[[#This Row],[Date]]="","",TEXT(B1119,"mmm"))</f>
        <v>Jan</v>
      </c>
      <c r="E1119" t="str">
        <f>IF(tbl_main[[#This Row],[Date]]="","",TEXT(B1119,"DDD"))</f>
        <v>Fri</v>
      </c>
      <c r="F1119" t="s">
        <v>27</v>
      </c>
      <c r="G1119" t="s">
        <v>28</v>
      </c>
      <c r="H1119" s="3" t="s">
        <v>15</v>
      </c>
      <c r="I1119" s="3" t="s">
        <v>23</v>
      </c>
      <c r="J1119" s="3" t="s">
        <v>25</v>
      </c>
      <c r="K1119" s="3">
        <f>_xlfn.XLOOKUP(tbl_main[[#This Row],[Service]],tbl_service[Service],tbl_service[Price],"")</f>
        <v>500</v>
      </c>
      <c r="L1119" s="3">
        <v>2</v>
      </c>
      <c r="M1119" s="3">
        <f>IF(AND(tbl_main[[#This Row],[Price]]="",tbl_main[[#This Row],[Qty]]=""),"",tbl_main[[#This Row],[Price]]*tbl_main[[#This Row],[Qty]])</f>
        <v>1000</v>
      </c>
      <c r="N1119" s="3">
        <f>_xlfn.LET(_xlpm.x,_xlfn.XLOOKUP(tbl_main[[#This Row],[Service]],tbl_service[Service],tbl_service[Profit],""),
               IF(tbl_main[[#This Row],[Qty]]="","",_xlpm.x*tbl_main[[#This Row],[Qty]]))</f>
        <v>450</v>
      </c>
    </row>
    <row r="1120" spans="1:14" x14ac:dyDescent="0.25">
      <c r="A1120" t="s">
        <v>1162</v>
      </c>
      <c r="B1120" s="1">
        <v>46031</v>
      </c>
      <c r="C1120">
        <f>IF(tbl_main[[#This Row],[Date]]="","",YEAR(B1120))</f>
        <v>2026</v>
      </c>
      <c r="D1120" t="str">
        <f>IF(tbl_main[[#This Row],[Date]]="","",TEXT(B1120,"mmm"))</f>
        <v>Jan</v>
      </c>
      <c r="E1120" t="str">
        <f>IF(tbl_main[[#This Row],[Date]]="","",TEXT(B1120,"DDD"))</f>
        <v>Fri</v>
      </c>
      <c r="F1120" t="s">
        <v>30</v>
      </c>
      <c r="G1120" t="s">
        <v>31</v>
      </c>
      <c r="H1120" s="3" t="s">
        <v>18</v>
      </c>
      <c r="I1120" s="3" t="s">
        <v>37</v>
      </c>
      <c r="J1120" s="3" t="s">
        <v>32</v>
      </c>
      <c r="K1120" s="3">
        <f>_xlfn.XLOOKUP(tbl_main[[#This Row],[Service]],tbl_service[Service],tbl_service[Price],"")</f>
        <v>500</v>
      </c>
      <c r="L1120" s="3">
        <v>2</v>
      </c>
      <c r="M1120" s="3">
        <f>IF(AND(tbl_main[[#This Row],[Price]]="",tbl_main[[#This Row],[Qty]]=""),"",tbl_main[[#This Row],[Price]]*tbl_main[[#This Row],[Qty]])</f>
        <v>1000</v>
      </c>
      <c r="N1120" s="3">
        <f>_xlfn.LET(_xlpm.x,_xlfn.XLOOKUP(tbl_main[[#This Row],[Service]],tbl_service[Service],tbl_service[Profit],""),
               IF(tbl_main[[#This Row],[Qty]]="","",_xlpm.x*tbl_main[[#This Row],[Qty]]))</f>
        <v>314</v>
      </c>
    </row>
    <row r="1121" spans="1:14" x14ac:dyDescent="0.25">
      <c r="A1121" t="s">
        <v>1163</v>
      </c>
      <c r="B1121" s="1">
        <v>46032</v>
      </c>
      <c r="C1121">
        <f>IF(tbl_main[[#This Row],[Date]]="","",YEAR(B1121))</f>
        <v>2026</v>
      </c>
      <c r="D1121" t="str">
        <f>IF(tbl_main[[#This Row],[Date]]="","",TEXT(B1121,"mmm"))</f>
        <v>Jan</v>
      </c>
      <c r="E1121" t="str">
        <f>IF(tbl_main[[#This Row],[Date]]="","",TEXT(B1121,"DDD"))</f>
        <v>Sat</v>
      </c>
      <c r="F1121" t="s">
        <v>30</v>
      </c>
      <c r="G1121" t="s">
        <v>36</v>
      </c>
      <c r="H1121" s="3" t="s">
        <v>34</v>
      </c>
      <c r="I1121" s="3" t="s">
        <v>38</v>
      </c>
      <c r="J1121" s="3" t="s">
        <v>25</v>
      </c>
      <c r="K1121" s="3">
        <f>_xlfn.XLOOKUP(tbl_main[[#This Row],[Service]],tbl_service[Service],tbl_service[Price],"")</f>
        <v>100</v>
      </c>
      <c r="L1121" s="3">
        <v>2</v>
      </c>
      <c r="M1121" s="3">
        <f>IF(AND(tbl_main[[#This Row],[Price]]="",tbl_main[[#This Row],[Qty]]=""),"",tbl_main[[#This Row],[Price]]*tbl_main[[#This Row],[Qty]])</f>
        <v>200</v>
      </c>
      <c r="N1121" s="3">
        <f>_xlfn.LET(_xlpm.x,_xlfn.XLOOKUP(tbl_main[[#This Row],[Service]],tbl_service[Service],tbl_service[Profit],""),
               IF(tbl_main[[#This Row],[Qty]]="","",_xlpm.x*tbl_main[[#This Row],[Qty]]))</f>
        <v>90</v>
      </c>
    </row>
    <row r="1122" spans="1:14" x14ac:dyDescent="0.25">
      <c r="A1122" t="s">
        <v>1164</v>
      </c>
      <c r="B1122" s="1">
        <v>46032</v>
      </c>
      <c r="C1122">
        <f>IF(tbl_main[[#This Row],[Date]]="","",YEAR(B1122))</f>
        <v>2026</v>
      </c>
      <c r="D1122" t="str">
        <f>IF(tbl_main[[#This Row],[Date]]="","",TEXT(B1122,"mmm"))</f>
        <v>Jan</v>
      </c>
      <c r="E1122" t="str">
        <f>IF(tbl_main[[#This Row],[Date]]="","",TEXT(B1122,"DDD"))</f>
        <v>Sat</v>
      </c>
      <c r="F1122" t="s">
        <v>20</v>
      </c>
      <c r="G1122" t="s">
        <v>39</v>
      </c>
      <c r="H1122" s="3" t="s">
        <v>26</v>
      </c>
      <c r="I1122" s="3" t="s">
        <v>16</v>
      </c>
      <c r="J1122" s="3" t="s">
        <v>17</v>
      </c>
      <c r="K1122" s="3">
        <f>_xlfn.XLOOKUP(tbl_main[[#This Row],[Service]],tbl_service[Service],tbl_service[Price],"")</f>
        <v>200</v>
      </c>
      <c r="L1122" s="3">
        <v>1</v>
      </c>
      <c r="M1122" s="3">
        <f>IF(AND(tbl_main[[#This Row],[Price]]="",tbl_main[[#This Row],[Qty]]=""),"",tbl_main[[#This Row],[Price]]*tbl_main[[#This Row],[Qty]])</f>
        <v>200</v>
      </c>
      <c r="N1122" s="3">
        <f>_xlfn.LET(_xlpm.x,_xlfn.XLOOKUP(tbl_main[[#This Row],[Service]],tbl_service[Service],tbl_service[Profit],""),
               IF(tbl_main[[#This Row],[Qty]]="","",_xlpm.x*tbl_main[[#This Row],[Qty]]))</f>
        <v>90</v>
      </c>
    </row>
    <row r="1123" spans="1:14" x14ac:dyDescent="0.25">
      <c r="A1123" t="s">
        <v>1165</v>
      </c>
      <c r="B1123" s="1">
        <v>46033</v>
      </c>
      <c r="C1123">
        <f>IF(tbl_main[[#This Row],[Date]]="","",YEAR(B1123))</f>
        <v>2026</v>
      </c>
      <c r="D1123" t="str">
        <f>IF(tbl_main[[#This Row],[Date]]="","",TEXT(B1123,"mmm"))</f>
        <v>Jan</v>
      </c>
      <c r="E1123" t="str">
        <f>IF(tbl_main[[#This Row],[Date]]="","",TEXT(B1123,"DDD"))</f>
        <v>Sun</v>
      </c>
      <c r="F1123" t="s">
        <v>30</v>
      </c>
      <c r="G1123" t="s">
        <v>31</v>
      </c>
      <c r="H1123" s="3" t="s">
        <v>24</v>
      </c>
      <c r="I1123" s="3" t="s">
        <v>19</v>
      </c>
      <c r="J1123" s="3" t="s">
        <v>17</v>
      </c>
      <c r="K1123" s="3">
        <f>_xlfn.XLOOKUP(tbl_main[[#This Row],[Service]],tbl_service[Service],tbl_service[Price],"")</f>
        <v>80</v>
      </c>
      <c r="L1123" s="3">
        <v>1</v>
      </c>
      <c r="M1123" s="3">
        <f>IF(AND(tbl_main[[#This Row],[Price]]="",tbl_main[[#This Row],[Qty]]=""),"",tbl_main[[#This Row],[Price]]*tbl_main[[#This Row],[Qty]])</f>
        <v>80</v>
      </c>
      <c r="N1123" s="3">
        <f>_xlfn.LET(_xlpm.x,_xlfn.XLOOKUP(tbl_main[[#This Row],[Service]],tbl_service[Service],tbl_service[Profit],""),
               IF(tbl_main[[#This Row],[Qty]]="","",_xlpm.x*tbl_main[[#This Row],[Qty]]))</f>
        <v>36</v>
      </c>
    </row>
    <row r="1124" spans="1:14" x14ac:dyDescent="0.25">
      <c r="A1124" t="s">
        <v>1166</v>
      </c>
      <c r="B1124" s="1">
        <v>46033</v>
      </c>
      <c r="C1124">
        <f>IF(tbl_main[[#This Row],[Date]]="","",YEAR(B1124))</f>
        <v>2026</v>
      </c>
      <c r="D1124" t="str">
        <f>IF(tbl_main[[#This Row],[Date]]="","",TEXT(B1124,"mmm"))</f>
        <v>Jan</v>
      </c>
      <c r="E1124" t="str">
        <f>IF(tbl_main[[#This Row],[Date]]="","",TEXT(B1124,"DDD"))</f>
        <v>Sun</v>
      </c>
      <c r="F1124" t="s">
        <v>30</v>
      </c>
      <c r="G1124" t="s">
        <v>31</v>
      </c>
      <c r="H1124" s="3" t="s">
        <v>15</v>
      </c>
      <c r="I1124" s="3" t="s">
        <v>43</v>
      </c>
      <c r="J1124" s="3" t="s">
        <v>25</v>
      </c>
      <c r="K1124" s="3">
        <f>_xlfn.XLOOKUP(tbl_main[[#This Row],[Service]],tbl_service[Service],tbl_service[Price],"")</f>
        <v>500</v>
      </c>
      <c r="L1124" s="3">
        <v>1</v>
      </c>
      <c r="M1124" s="3">
        <f>IF(AND(tbl_main[[#This Row],[Price]]="",tbl_main[[#This Row],[Qty]]=""),"",tbl_main[[#This Row],[Price]]*tbl_main[[#This Row],[Qty]])</f>
        <v>500</v>
      </c>
      <c r="N1124" s="3">
        <f>_xlfn.LET(_xlpm.x,_xlfn.XLOOKUP(tbl_main[[#This Row],[Service]],tbl_service[Service],tbl_service[Profit],""),
               IF(tbl_main[[#This Row],[Qty]]="","",_xlpm.x*tbl_main[[#This Row],[Qty]]))</f>
        <v>225</v>
      </c>
    </row>
    <row r="1125" spans="1:14" x14ac:dyDescent="0.25">
      <c r="A1125" t="s">
        <v>1167</v>
      </c>
      <c r="B1125" s="1">
        <v>46033</v>
      </c>
      <c r="C1125">
        <f>IF(tbl_main[[#This Row],[Date]]="","",YEAR(B1125))</f>
        <v>2026</v>
      </c>
      <c r="D1125" t="str">
        <f>IF(tbl_main[[#This Row],[Date]]="","",TEXT(B1125,"mmm"))</f>
        <v>Jan</v>
      </c>
      <c r="E1125" t="str">
        <f>IF(tbl_main[[#This Row],[Date]]="","",TEXT(B1125,"DDD"))</f>
        <v>Sun</v>
      </c>
      <c r="F1125" t="s">
        <v>30</v>
      </c>
      <c r="G1125" t="s">
        <v>36</v>
      </c>
      <c r="H1125" s="3" t="s">
        <v>24</v>
      </c>
      <c r="I1125" s="3" t="s">
        <v>41</v>
      </c>
      <c r="J1125" s="3" t="s">
        <v>17</v>
      </c>
      <c r="K1125" s="3">
        <f>_xlfn.XLOOKUP(tbl_main[[#This Row],[Service]],tbl_service[Service],tbl_service[Price],"")</f>
        <v>80</v>
      </c>
      <c r="L1125" s="3">
        <v>2</v>
      </c>
      <c r="M1125" s="3">
        <f>IF(AND(tbl_main[[#This Row],[Price]]="",tbl_main[[#This Row],[Qty]]=""),"",tbl_main[[#This Row],[Price]]*tbl_main[[#This Row],[Qty]])</f>
        <v>160</v>
      </c>
      <c r="N1125" s="3">
        <f>_xlfn.LET(_xlpm.x,_xlfn.XLOOKUP(tbl_main[[#This Row],[Service]],tbl_service[Service],tbl_service[Profit],""),
               IF(tbl_main[[#This Row],[Qty]]="","",_xlpm.x*tbl_main[[#This Row],[Qty]]))</f>
        <v>72</v>
      </c>
    </row>
    <row r="1126" spans="1:14" x14ac:dyDescent="0.25">
      <c r="A1126" t="s">
        <v>1168</v>
      </c>
      <c r="B1126" s="1">
        <v>46034</v>
      </c>
      <c r="C1126">
        <f>IF(tbl_main[[#This Row],[Date]]="","",YEAR(B1126))</f>
        <v>2026</v>
      </c>
      <c r="D1126" t="str">
        <f>IF(tbl_main[[#This Row],[Date]]="","",TEXT(B1126,"mmm"))</f>
        <v>Jan</v>
      </c>
      <c r="E1126" t="str">
        <f>IF(tbl_main[[#This Row],[Date]]="","",TEXT(B1126,"DDD"))</f>
        <v>Mon</v>
      </c>
      <c r="F1126" t="s">
        <v>13</v>
      </c>
      <c r="G1126" t="s">
        <v>33</v>
      </c>
      <c r="H1126" s="3" t="s">
        <v>26</v>
      </c>
      <c r="I1126" s="3" t="s">
        <v>41</v>
      </c>
      <c r="J1126" s="3" t="s">
        <v>32</v>
      </c>
      <c r="K1126" s="3">
        <f>_xlfn.XLOOKUP(tbl_main[[#This Row],[Service]],tbl_service[Service],tbl_service[Price],"")</f>
        <v>200</v>
      </c>
      <c r="L1126" s="3">
        <v>2</v>
      </c>
      <c r="M1126" s="3">
        <f>IF(AND(tbl_main[[#This Row],[Price]]="",tbl_main[[#This Row],[Qty]]=""),"",tbl_main[[#This Row],[Price]]*tbl_main[[#This Row],[Qty]])</f>
        <v>400</v>
      </c>
      <c r="N1126" s="3">
        <f>_xlfn.LET(_xlpm.x,_xlfn.XLOOKUP(tbl_main[[#This Row],[Service]],tbl_service[Service],tbl_service[Profit],""),
               IF(tbl_main[[#This Row],[Qty]]="","",_xlpm.x*tbl_main[[#This Row],[Qty]]))</f>
        <v>180</v>
      </c>
    </row>
    <row r="1127" spans="1:14" x14ac:dyDescent="0.25">
      <c r="A1127" t="s">
        <v>1169</v>
      </c>
      <c r="B1127" s="1">
        <v>46034</v>
      </c>
      <c r="C1127">
        <f>IF(tbl_main[[#This Row],[Date]]="","",YEAR(B1127))</f>
        <v>2026</v>
      </c>
      <c r="D1127" t="str">
        <f>IF(tbl_main[[#This Row],[Date]]="","",TEXT(B1127,"mmm"))</f>
        <v>Jan</v>
      </c>
      <c r="E1127" t="str">
        <f>IF(tbl_main[[#This Row],[Date]]="","",TEXT(B1127,"DDD"))</f>
        <v>Mon</v>
      </c>
      <c r="F1127" t="s">
        <v>30</v>
      </c>
      <c r="G1127" t="s">
        <v>31</v>
      </c>
      <c r="H1127" s="3" t="s">
        <v>24</v>
      </c>
      <c r="I1127" s="3" t="s">
        <v>35</v>
      </c>
      <c r="J1127" s="3" t="s">
        <v>17</v>
      </c>
      <c r="K1127" s="3">
        <f>_xlfn.XLOOKUP(tbl_main[[#This Row],[Service]],tbl_service[Service],tbl_service[Price],"")</f>
        <v>80</v>
      </c>
      <c r="L1127" s="3">
        <v>2</v>
      </c>
      <c r="M1127" s="3">
        <f>IF(AND(tbl_main[[#This Row],[Price]]="",tbl_main[[#This Row],[Qty]]=""),"",tbl_main[[#This Row],[Price]]*tbl_main[[#This Row],[Qty]])</f>
        <v>160</v>
      </c>
      <c r="N1127" s="3">
        <f>_xlfn.LET(_xlpm.x,_xlfn.XLOOKUP(tbl_main[[#This Row],[Service]],tbl_service[Service],tbl_service[Profit],""),
               IF(tbl_main[[#This Row],[Qty]]="","",_xlpm.x*tbl_main[[#This Row],[Qty]]))</f>
        <v>72</v>
      </c>
    </row>
    <row r="1128" spans="1:14" x14ac:dyDescent="0.25">
      <c r="A1128" t="s">
        <v>1170</v>
      </c>
      <c r="B1128" s="1">
        <v>46034</v>
      </c>
      <c r="C1128">
        <f>IF(tbl_main[[#This Row],[Date]]="","",YEAR(B1128))</f>
        <v>2026</v>
      </c>
      <c r="D1128" t="str">
        <f>IF(tbl_main[[#This Row],[Date]]="","",TEXT(B1128,"mmm"))</f>
        <v>Jan</v>
      </c>
      <c r="E1128" t="str">
        <f>IF(tbl_main[[#This Row],[Date]]="","",TEXT(B1128,"DDD"))</f>
        <v>Mon</v>
      </c>
      <c r="F1128" t="s">
        <v>30</v>
      </c>
      <c r="G1128" t="s">
        <v>36</v>
      </c>
      <c r="H1128" s="3" t="s">
        <v>26</v>
      </c>
      <c r="I1128" s="3" t="s">
        <v>35</v>
      </c>
      <c r="J1128" s="3" t="s">
        <v>17</v>
      </c>
      <c r="K1128" s="3">
        <f>_xlfn.XLOOKUP(tbl_main[[#This Row],[Service]],tbl_service[Service],tbl_service[Price],"")</f>
        <v>200</v>
      </c>
      <c r="L1128" s="3">
        <v>2</v>
      </c>
      <c r="M1128" s="3">
        <f>IF(AND(tbl_main[[#This Row],[Price]]="",tbl_main[[#This Row],[Qty]]=""),"",tbl_main[[#This Row],[Price]]*tbl_main[[#This Row],[Qty]])</f>
        <v>400</v>
      </c>
      <c r="N1128" s="3">
        <f>_xlfn.LET(_xlpm.x,_xlfn.XLOOKUP(tbl_main[[#This Row],[Service]],tbl_service[Service],tbl_service[Profit],""),
               IF(tbl_main[[#This Row],[Qty]]="","",_xlpm.x*tbl_main[[#This Row],[Qty]]))</f>
        <v>180</v>
      </c>
    </row>
    <row r="1129" spans="1:14" x14ac:dyDescent="0.25">
      <c r="A1129" t="s">
        <v>1171</v>
      </c>
      <c r="B1129" s="1">
        <v>46035</v>
      </c>
      <c r="C1129">
        <f>IF(tbl_main[[#This Row],[Date]]="","",YEAR(B1129))</f>
        <v>2026</v>
      </c>
      <c r="D1129" t="str">
        <f>IF(tbl_main[[#This Row],[Date]]="","",TEXT(B1129,"mmm"))</f>
        <v>Jan</v>
      </c>
      <c r="E1129" t="str">
        <f>IF(tbl_main[[#This Row],[Date]]="","",TEXT(B1129,"DDD"))</f>
        <v>Tue</v>
      </c>
      <c r="F1129" t="s">
        <v>27</v>
      </c>
      <c r="G1129" t="s">
        <v>40</v>
      </c>
      <c r="H1129" s="3" t="s">
        <v>18</v>
      </c>
      <c r="I1129" s="3" t="s">
        <v>23</v>
      </c>
      <c r="J1129" s="3" t="s">
        <v>25</v>
      </c>
      <c r="K1129" s="3">
        <f>_xlfn.XLOOKUP(tbl_main[[#This Row],[Service]],tbl_service[Service],tbl_service[Price],"")</f>
        <v>500</v>
      </c>
      <c r="L1129" s="3">
        <v>1</v>
      </c>
      <c r="M1129" s="3">
        <f>IF(AND(tbl_main[[#This Row],[Price]]="",tbl_main[[#This Row],[Qty]]=""),"",tbl_main[[#This Row],[Price]]*tbl_main[[#This Row],[Qty]])</f>
        <v>500</v>
      </c>
      <c r="N1129" s="3">
        <f>_xlfn.LET(_xlpm.x,_xlfn.XLOOKUP(tbl_main[[#This Row],[Service]],tbl_service[Service],tbl_service[Profit],""),
               IF(tbl_main[[#This Row],[Qty]]="","",_xlpm.x*tbl_main[[#This Row],[Qty]]))</f>
        <v>157</v>
      </c>
    </row>
    <row r="1130" spans="1:14" x14ac:dyDescent="0.25">
      <c r="A1130" t="s">
        <v>1172</v>
      </c>
      <c r="B1130" s="1">
        <v>46035</v>
      </c>
      <c r="C1130">
        <f>IF(tbl_main[[#This Row],[Date]]="","",YEAR(B1130))</f>
        <v>2026</v>
      </c>
      <c r="D1130" t="str">
        <f>IF(tbl_main[[#This Row],[Date]]="","",TEXT(B1130,"mmm"))</f>
        <v>Jan</v>
      </c>
      <c r="E1130" t="str">
        <f>IF(tbl_main[[#This Row],[Date]]="","",TEXT(B1130,"DDD"))</f>
        <v>Tue</v>
      </c>
      <c r="F1130" t="s">
        <v>30</v>
      </c>
      <c r="G1130" t="s">
        <v>36</v>
      </c>
      <c r="H1130" s="3" t="s">
        <v>15</v>
      </c>
      <c r="I1130" s="3" t="s">
        <v>37</v>
      </c>
      <c r="J1130" s="3" t="s">
        <v>32</v>
      </c>
      <c r="K1130" s="3">
        <f>_xlfn.XLOOKUP(tbl_main[[#This Row],[Service]],tbl_service[Service],tbl_service[Price],"")</f>
        <v>500</v>
      </c>
      <c r="L1130" s="3">
        <v>1</v>
      </c>
      <c r="M1130" s="3">
        <f>IF(AND(tbl_main[[#This Row],[Price]]="",tbl_main[[#This Row],[Qty]]=""),"",tbl_main[[#This Row],[Price]]*tbl_main[[#This Row],[Qty]])</f>
        <v>500</v>
      </c>
      <c r="N1130" s="3">
        <f>_xlfn.LET(_xlpm.x,_xlfn.XLOOKUP(tbl_main[[#This Row],[Service]],tbl_service[Service],tbl_service[Profit],""),
               IF(tbl_main[[#This Row],[Qty]]="","",_xlpm.x*tbl_main[[#This Row],[Qty]]))</f>
        <v>225</v>
      </c>
    </row>
    <row r="1131" spans="1:14" x14ac:dyDescent="0.25">
      <c r="A1131" t="s">
        <v>1173</v>
      </c>
      <c r="B1131" s="1">
        <v>46035</v>
      </c>
      <c r="C1131">
        <f>IF(tbl_main[[#This Row],[Date]]="","",YEAR(B1131))</f>
        <v>2026</v>
      </c>
      <c r="D1131" t="str">
        <f>IF(tbl_main[[#This Row],[Date]]="","",TEXT(B1131,"mmm"))</f>
        <v>Jan</v>
      </c>
      <c r="E1131" t="str">
        <f>IF(tbl_main[[#This Row],[Date]]="","",TEXT(B1131,"DDD"))</f>
        <v>Tue</v>
      </c>
      <c r="F1131" t="s">
        <v>27</v>
      </c>
      <c r="G1131" t="s">
        <v>40</v>
      </c>
      <c r="H1131" s="3" t="s">
        <v>18</v>
      </c>
      <c r="I1131" s="3" t="s">
        <v>38</v>
      </c>
      <c r="J1131" s="3" t="s">
        <v>17</v>
      </c>
      <c r="K1131" s="3">
        <f>_xlfn.XLOOKUP(tbl_main[[#This Row],[Service]],tbl_service[Service],tbl_service[Price],"")</f>
        <v>500</v>
      </c>
      <c r="L1131" s="3">
        <v>2</v>
      </c>
      <c r="M1131" s="3">
        <f>IF(AND(tbl_main[[#This Row],[Price]]="",tbl_main[[#This Row],[Qty]]=""),"",tbl_main[[#This Row],[Price]]*tbl_main[[#This Row],[Qty]])</f>
        <v>1000</v>
      </c>
      <c r="N1131" s="3">
        <f>_xlfn.LET(_xlpm.x,_xlfn.XLOOKUP(tbl_main[[#This Row],[Service]],tbl_service[Service],tbl_service[Profit],""),
               IF(tbl_main[[#This Row],[Qty]]="","",_xlpm.x*tbl_main[[#This Row],[Qty]]))</f>
        <v>314</v>
      </c>
    </row>
    <row r="1132" spans="1:14" x14ac:dyDescent="0.25">
      <c r="A1132" t="s">
        <v>1174</v>
      </c>
      <c r="B1132" s="1">
        <v>46036</v>
      </c>
      <c r="C1132">
        <f>IF(tbl_main[[#This Row],[Date]]="","",YEAR(B1132))</f>
        <v>2026</v>
      </c>
      <c r="D1132" t="str">
        <f>IF(tbl_main[[#This Row],[Date]]="","",TEXT(B1132,"mmm"))</f>
        <v>Jan</v>
      </c>
      <c r="E1132" t="str">
        <f>IF(tbl_main[[#This Row],[Date]]="","",TEXT(B1132,"DDD"))</f>
        <v>Wed</v>
      </c>
      <c r="F1132" t="s">
        <v>13</v>
      </c>
      <c r="G1132" t="s">
        <v>33</v>
      </c>
      <c r="H1132" s="3" t="s">
        <v>15</v>
      </c>
      <c r="I1132" s="3" t="s">
        <v>16</v>
      </c>
      <c r="J1132" s="3" t="s">
        <v>32</v>
      </c>
      <c r="K1132" s="3">
        <f>_xlfn.XLOOKUP(tbl_main[[#This Row],[Service]],tbl_service[Service],tbl_service[Price],"")</f>
        <v>500</v>
      </c>
      <c r="L1132" s="3">
        <v>2</v>
      </c>
      <c r="M1132" s="3">
        <f>IF(AND(tbl_main[[#This Row],[Price]]="",tbl_main[[#This Row],[Qty]]=""),"",tbl_main[[#This Row],[Price]]*tbl_main[[#This Row],[Qty]])</f>
        <v>1000</v>
      </c>
      <c r="N1132" s="3">
        <f>_xlfn.LET(_xlpm.x,_xlfn.XLOOKUP(tbl_main[[#This Row],[Service]],tbl_service[Service],tbl_service[Profit],""),
               IF(tbl_main[[#This Row],[Qty]]="","",_xlpm.x*tbl_main[[#This Row],[Qty]]))</f>
        <v>450</v>
      </c>
    </row>
    <row r="1133" spans="1:14" x14ac:dyDescent="0.25">
      <c r="A1133" t="s">
        <v>1175</v>
      </c>
      <c r="B1133" s="1">
        <v>46036</v>
      </c>
      <c r="C1133">
        <f>IF(tbl_main[[#This Row],[Date]]="","",YEAR(B1133))</f>
        <v>2026</v>
      </c>
      <c r="D1133" t="str">
        <f>IF(tbl_main[[#This Row],[Date]]="","",TEXT(B1133,"mmm"))</f>
        <v>Jan</v>
      </c>
      <c r="E1133" t="str">
        <f>IF(tbl_main[[#This Row],[Date]]="","",TEXT(B1133,"DDD"))</f>
        <v>Wed</v>
      </c>
      <c r="F1133" t="s">
        <v>20</v>
      </c>
      <c r="G1133" t="s">
        <v>21</v>
      </c>
      <c r="H1133" s="3" t="s">
        <v>15</v>
      </c>
      <c r="I1133" s="3" t="s">
        <v>19</v>
      </c>
      <c r="J1133" s="3" t="s">
        <v>17</v>
      </c>
      <c r="K1133" s="3">
        <f>_xlfn.XLOOKUP(tbl_main[[#This Row],[Service]],tbl_service[Service],tbl_service[Price],"")</f>
        <v>500</v>
      </c>
      <c r="L1133" s="3">
        <v>1</v>
      </c>
      <c r="M1133" s="3">
        <f>IF(AND(tbl_main[[#This Row],[Price]]="",tbl_main[[#This Row],[Qty]]=""),"",tbl_main[[#This Row],[Price]]*tbl_main[[#This Row],[Qty]])</f>
        <v>500</v>
      </c>
      <c r="N1133" s="3">
        <f>_xlfn.LET(_xlpm.x,_xlfn.XLOOKUP(tbl_main[[#This Row],[Service]],tbl_service[Service],tbl_service[Profit],""),
               IF(tbl_main[[#This Row],[Qty]]="","",_xlpm.x*tbl_main[[#This Row],[Qty]]))</f>
        <v>225</v>
      </c>
    </row>
    <row r="1134" spans="1:14" x14ac:dyDescent="0.25">
      <c r="A1134" t="s">
        <v>1176</v>
      </c>
      <c r="B1134" s="1">
        <v>46036</v>
      </c>
      <c r="C1134">
        <f>IF(tbl_main[[#This Row],[Date]]="","",YEAR(B1134))</f>
        <v>2026</v>
      </c>
      <c r="D1134" t="str">
        <f>IF(tbl_main[[#This Row],[Date]]="","",TEXT(B1134,"mmm"))</f>
        <v>Jan</v>
      </c>
      <c r="E1134" t="str">
        <f>IF(tbl_main[[#This Row],[Date]]="","",TEXT(B1134,"DDD"))</f>
        <v>Wed</v>
      </c>
      <c r="F1134" t="s">
        <v>13</v>
      </c>
      <c r="G1134" t="s">
        <v>33</v>
      </c>
      <c r="H1134" s="3" t="s">
        <v>18</v>
      </c>
      <c r="I1134" s="3" t="s">
        <v>43</v>
      </c>
      <c r="J1134" s="3" t="s">
        <v>25</v>
      </c>
      <c r="K1134" s="3">
        <f>_xlfn.XLOOKUP(tbl_main[[#This Row],[Service]],tbl_service[Service],tbl_service[Price],"")</f>
        <v>500</v>
      </c>
      <c r="L1134" s="3">
        <v>2</v>
      </c>
      <c r="M1134" s="3">
        <f>IF(AND(tbl_main[[#This Row],[Price]]="",tbl_main[[#This Row],[Qty]]=""),"",tbl_main[[#This Row],[Price]]*tbl_main[[#This Row],[Qty]])</f>
        <v>1000</v>
      </c>
      <c r="N1134" s="3">
        <f>_xlfn.LET(_xlpm.x,_xlfn.XLOOKUP(tbl_main[[#This Row],[Service]],tbl_service[Service],tbl_service[Profit],""),
               IF(tbl_main[[#This Row],[Qty]]="","",_xlpm.x*tbl_main[[#This Row],[Qty]]))</f>
        <v>314</v>
      </c>
    </row>
    <row r="1135" spans="1:14" x14ac:dyDescent="0.25">
      <c r="A1135" t="s">
        <v>1177</v>
      </c>
      <c r="B1135" s="1">
        <v>46036</v>
      </c>
      <c r="C1135">
        <f>IF(tbl_main[[#This Row],[Date]]="","",YEAR(B1135))</f>
        <v>2026</v>
      </c>
      <c r="D1135" t="str">
        <f>IF(tbl_main[[#This Row],[Date]]="","",TEXT(B1135,"mmm"))</f>
        <v>Jan</v>
      </c>
      <c r="E1135" t="str">
        <f>IF(tbl_main[[#This Row],[Date]]="","",TEXT(B1135,"DDD"))</f>
        <v>Wed</v>
      </c>
      <c r="F1135" t="s">
        <v>20</v>
      </c>
      <c r="G1135" t="s">
        <v>39</v>
      </c>
      <c r="H1135" s="3" t="s">
        <v>26</v>
      </c>
      <c r="I1135" s="3" t="s">
        <v>41</v>
      </c>
      <c r="J1135" s="3" t="s">
        <v>17</v>
      </c>
      <c r="K1135" s="3">
        <f>_xlfn.XLOOKUP(tbl_main[[#This Row],[Service]],tbl_service[Service],tbl_service[Price],"")</f>
        <v>200</v>
      </c>
      <c r="L1135" s="3">
        <v>2</v>
      </c>
      <c r="M1135" s="3">
        <f>IF(AND(tbl_main[[#This Row],[Price]]="",tbl_main[[#This Row],[Qty]]=""),"",tbl_main[[#This Row],[Price]]*tbl_main[[#This Row],[Qty]])</f>
        <v>400</v>
      </c>
      <c r="N1135" s="3">
        <f>_xlfn.LET(_xlpm.x,_xlfn.XLOOKUP(tbl_main[[#This Row],[Service]],tbl_service[Service],tbl_service[Profit],""),
               IF(tbl_main[[#This Row],[Qty]]="","",_xlpm.x*tbl_main[[#This Row],[Qty]]))</f>
        <v>180</v>
      </c>
    </row>
    <row r="1136" spans="1:14" x14ac:dyDescent="0.25">
      <c r="A1136" t="s">
        <v>1178</v>
      </c>
      <c r="B1136" s="1">
        <v>46037</v>
      </c>
      <c r="C1136">
        <f>IF(tbl_main[[#This Row],[Date]]="","",YEAR(B1136))</f>
        <v>2026</v>
      </c>
      <c r="D1136" t="str">
        <f>IF(tbl_main[[#This Row],[Date]]="","",TEXT(B1136,"mmm"))</f>
        <v>Jan</v>
      </c>
      <c r="E1136" t="str">
        <f>IF(tbl_main[[#This Row],[Date]]="","",TEXT(B1136,"DDD"))</f>
        <v>Thu</v>
      </c>
      <c r="F1136" t="s">
        <v>13</v>
      </c>
      <c r="G1136" t="s">
        <v>14</v>
      </c>
      <c r="H1136" s="3" t="s">
        <v>22</v>
      </c>
      <c r="I1136" s="3" t="s">
        <v>41</v>
      </c>
      <c r="J1136" s="3" t="s">
        <v>25</v>
      </c>
      <c r="K1136" s="3">
        <f>_xlfn.XLOOKUP(tbl_main[[#This Row],[Service]],tbl_service[Service],tbl_service[Price],"")</f>
        <v>150</v>
      </c>
      <c r="L1136" s="3">
        <v>1</v>
      </c>
      <c r="M1136" s="3">
        <f>IF(AND(tbl_main[[#This Row],[Price]]="",tbl_main[[#This Row],[Qty]]=""),"",tbl_main[[#This Row],[Price]]*tbl_main[[#This Row],[Qty]])</f>
        <v>150</v>
      </c>
      <c r="N1136" s="3">
        <f>_xlfn.LET(_xlpm.x,_xlfn.XLOOKUP(tbl_main[[#This Row],[Service]],tbl_service[Service],tbl_service[Profit],""),
               IF(tbl_main[[#This Row],[Qty]]="","",_xlpm.x*tbl_main[[#This Row],[Qty]]))</f>
        <v>67</v>
      </c>
    </row>
    <row r="1137" spans="1:14" x14ac:dyDescent="0.25">
      <c r="A1137" t="s">
        <v>1179</v>
      </c>
      <c r="B1137" s="1">
        <v>46037</v>
      </c>
      <c r="C1137">
        <f>IF(tbl_main[[#This Row],[Date]]="","",YEAR(B1137))</f>
        <v>2026</v>
      </c>
      <c r="D1137" t="str">
        <f>IF(tbl_main[[#This Row],[Date]]="","",TEXT(B1137,"mmm"))</f>
        <v>Jan</v>
      </c>
      <c r="E1137" t="str">
        <f>IF(tbl_main[[#This Row],[Date]]="","",TEXT(B1137,"DDD"))</f>
        <v>Thu</v>
      </c>
      <c r="F1137" t="s">
        <v>27</v>
      </c>
      <c r="G1137" t="s">
        <v>28</v>
      </c>
      <c r="H1137" s="3" t="s">
        <v>24</v>
      </c>
      <c r="I1137" s="3" t="s">
        <v>35</v>
      </c>
      <c r="J1137" s="3" t="s">
        <v>17</v>
      </c>
      <c r="K1137" s="3">
        <f>_xlfn.XLOOKUP(tbl_main[[#This Row],[Service]],tbl_service[Service],tbl_service[Price],"")</f>
        <v>80</v>
      </c>
      <c r="L1137" s="3">
        <v>1</v>
      </c>
      <c r="M1137" s="3">
        <f>IF(AND(tbl_main[[#This Row],[Price]]="",tbl_main[[#This Row],[Qty]]=""),"",tbl_main[[#This Row],[Price]]*tbl_main[[#This Row],[Qty]])</f>
        <v>80</v>
      </c>
      <c r="N1137" s="3">
        <f>_xlfn.LET(_xlpm.x,_xlfn.XLOOKUP(tbl_main[[#This Row],[Service]],tbl_service[Service],tbl_service[Profit],""),
               IF(tbl_main[[#This Row],[Qty]]="","",_xlpm.x*tbl_main[[#This Row],[Qty]]))</f>
        <v>36</v>
      </c>
    </row>
    <row r="1138" spans="1:14" x14ac:dyDescent="0.25">
      <c r="A1138" t="s">
        <v>1180</v>
      </c>
      <c r="B1138" s="1">
        <v>46037</v>
      </c>
      <c r="C1138">
        <f>IF(tbl_main[[#This Row],[Date]]="","",YEAR(B1138))</f>
        <v>2026</v>
      </c>
      <c r="D1138" t="str">
        <f>IF(tbl_main[[#This Row],[Date]]="","",TEXT(B1138,"mmm"))</f>
        <v>Jan</v>
      </c>
      <c r="E1138" t="str">
        <f>IF(tbl_main[[#This Row],[Date]]="","",TEXT(B1138,"DDD"))</f>
        <v>Thu</v>
      </c>
      <c r="F1138" t="s">
        <v>13</v>
      </c>
      <c r="G1138" t="s">
        <v>33</v>
      </c>
      <c r="H1138" s="3" t="s">
        <v>18</v>
      </c>
      <c r="I1138" s="3" t="s">
        <v>35</v>
      </c>
      <c r="J1138" s="3" t="s">
        <v>32</v>
      </c>
      <c r="K1138" s="3">
        <f>_xlfn.XLOOKUP(tbl_main[[#This Row],[Service]],tbl_service[Service],tbl_service[Price],"")</f>
        <v>500</v>
      </c>
      <c r="L1138" s="3">
        <v>1</v>
      </c>
      <c r="M1138" s="3">
        <f>IF(AND(tbl_main[[#This Row],[Price]]="",tbl_main[[#This Row],[Qty]]=""),"",tbl_main[[#This Row],[Price]]*tbl_main[[#This Row],[Qty]])</f>
        <v>500</v>
      </c>
      <c r="N1138" s="3">
        <f>_xlfn.LET(_xlpm.x,_xlfn.XLOOKUP(tbl_main[[#This Row],[Service]],tbl_service[Service],tbl_service[Profit],""),
               IF(tbl_main[[#This Row],[Qty]]="","",_xlpm.x*tbl_main[[#This Row],[Qty]]))</f>
        <v>157</v>
      </c>
    </row>
    <row r="1139" spans="1:14" x14ac:dyDescent="0.25">
      <c r="A1139" t="s">
        <v>1181</v>
      </c>
      <c r="B1139" s="1">
        <v>46038</v>
      </c>
      <c r="C1139">
        <f>IF(tbl_main[[#This Row],[Date]]="","",YEAR(B1139))</f>
        <v>2026</v>
      </c>
      <c r="D1139" t="str">
        <f>IF(tbl_main[[#This Row],[Date]]="","",TEXT(B1139,"mmm"))</f>
        <v>Jan</v>
      </c>
      <c r="E1139" t="str">
        <f>IF(tbl_main[[#This Row],[Date]]="","",TEXT(B1139,"DDD"))</f>
        <v>Fri</v>
      </c>
      <c r="F1139" t="s">
        <v>13</v>
      </c>
      <c r="G1139" t="s">
        <v>14</v>
      </c>
      <c r="H1139" s="3" t="s">
        <v>15</v>
      </c>
      <c r="I1139" s="3" t="s">
        <v>23</v>
      </c>
      <c r="J1139" s="3" t="s">
        <v>32</v>
      </c>
      <c r="K1139" s="3">
        <f>_xlfn.XLOOKUP(tbl_main[[#This Row],[Service]],tbl_service[Service],tbl_service[Price],"")</f>
        <v>500</v>
      </c>
      <c r="L1139" s="3">
        <v>2</v>
      </c>
      <c r="M1139" s="3">
        <f>IF(AND(tbl_main[[#This Row],[Price]]="",tbl_main[[#This Row],[Qty]]=""),"",tbl_main[[#This Row],[Price]]*tbl_main[[#This Row],[Qty]])</f>
        <v>1000</v>
      </c>
      <c r="N1139" s="3">
        <f>_xlfn.LET(_xlpm.x,_xlfn.XLOOKUP(tbl_main[[#This Row],[Service]],tbl_service[Service],tbl_service[Profit],""),
               IF(tbl_main[[#This Row],[Qty]]="","",_xlpm.x*tbl_main[[#This Row],[Qty]]))</f>
        <v>450</v>
      </c>
    </row>
    <row r="1140" spans="1:14" x14ac:dyDescent="0.25">
      <c r="A1140" t="s">
        <v>1182</v>
      </c>
      <c r="B1140" s="1">
        <v>46038</v>
      </c>
      <c r="C1140">
        <f>IF(tbl_main[[#This Row],[Date]]="","",YEAR(B1140))</f>
        <v>2026</v>
      </c>
      <c r="D1140" t="str">
        <f>IF(tbl_main[[#This Row],[Date]]="","",TEXT(B1140,"mmm"))</f>
        <v>Jan</v>
      </c>
      <c r="E1140" t="str">
        <f>IF(tbl_main[[#This Row],[Date]]="","",TEXT(B1140,"DDD"))</f>
        <v>Fri</v>
      </c>
      <c r="F1140" t="s">
        <v>13</v>
      </c>
      <c r="G1140" t="s">
        <v>33</v>
      </c>
      <c r="H1140" s="3" t="s">
        <v>22</v>
      </c>
      <c r="I1140" s="3" t="s">
        <v>37</v>
      </c>
      <c r="J1140" s="3" t="s">
        <v>17</v>
      </c>
      <c r="K1140" s="3">
        <f>_xlfn.XLOOKUP(tbl_main[[#This Row],[Service]],tbl_service[Service],tbl_service[Price],"")</f>
        <v>150</v>
      </c>
      <c r="L1140" s="3">
        <v>1</v>
      </c>
      <c r="M1140" s="3">
        <f>IF(AND(tbl_main[[#This Row],[Price]]="",tbl_main[[#This Row],[Qty]]=""),"",tbl_main[[#This Row],[Price]]*tbl_main[[#This Row],[Qty]])</f>
        <v>150</v>
      </c>
      <c r="N1140" s="3">
        <f>_xlfn.LET(_xlpm.x,_xlfn.XLOOKUP(tbl_main[[#This Row],[Service]],tbl_service[Service],tbl_service[Profit],""),
               IF(tbl_main[[#This Row],[Qty]]="","",_xlpm.x*tbl_main[[#This Row],[Qty]]))</f>
        <v>67</v>
      </c>
    </row>
    <row r="1141" spans="1:14" x14ac:dyDescent="0.25">
      <c r="A1141" t="s">
        <v>1183</v>
      </c>
      <c r="B1141" s="1">
        <v>46039</v>
      </c>
      <c r="C1141">
        <f>IF(tbl_main[[#This Row],[Date]]="","",YEAR(B1141))</f>
        <v>2026</v>
      </c>
      <c r="D1141" t="str">
        <f>IF(tbl_main[[#This Row],[Date]]="","",TEXT(B1141,"mmm"))</f>
        <v>Jan</v>
      </c>
      <c r="E1141" t="str">
        <f>IF(tbl_main[[#This Row],[Date]]="","",TEXT(B1141,"DDD"))</f>
        <v>Sat</v>
      </c>
      <c r="F1141" t="s">
        <v>30</v>
      </c>
      <c r="G1141" t="s">
        <v>36</v>
      </c>
      <c r="H1141" s="3" t="s">
        <v>22</v>
      </c>
      <c r="I1141" s="3" t="s">
        <v>38</v>
      </c>
      <c r="J1141" s="3" t="s">
        <v>17</v>
      </c>
      <c r="K1141" s="3">
        <f>_xlfn.XLOOKUP(tbl_main[[#This Row],[Service]],tbl_service[Service],tbl_service[Price],"")</f>
        <v>150</v>
      </c>
      <c r="L1141" s="3">
        <v>1</v>
      </c>
      <c r="M1141" s="3">
        <f>IF(AND(tbl_main[[#This Row],[Price]]="",tbl_main[[#This Row],[Qty]]=""),"",tbl_main[[#This Row],[Price]]*tbl_main[[#This Row],[Qty]])</f>
        <v>150</v>
      </c>
      <c r="N1141" s="3">
        <f>_xlfn.LET(_xlpm.x,_xlfn.XLOOKUP(tbl_main[[#This Row],[Service]],tbl_service[Service],tbl_service[Profit],""),
               IF(tbl_main[[#This Row],[Qty]]="","",_xlpm.x*tbl_main[[#This Row],[Qty]]))</f>
        <v>67</v>
      </c>
    </row>
    <row r="1142" spans="1:14" x14ac:dyDescent="0.25">
      <c r="A1142" t="s">
        <v>1184</v>
      </c>
      <c r="B1142" s="1">
        <v>46039</v>
      </c>
      <c r="C1142">
        <f>IF(tbl_main[[#This Row],[Date]]="","",YEAR(B1142))</f>
        <v>2026</v>
      </c>
      <c r="D1142" t="str">
        <f>IF(tbl_main[[#This Row],[Date]]="","",TEXT(B1142,"mmm"))</f>
        <v>Jan</v>
      </c>
      <c r="E1142" t="str">
        <f>IF(tbl_main[[#This Row],[Date]]="","",TEXT(B1142,"DDD"))</f>
        <v>Sat</v>
      </c>
      <c r="F1142" t="s">
        <v>27</v>
      </c>
      <c r="G1142" t="s">
        <v>40</v>
      </c>
      <c r="H1142" s="3" t="s">
        <v>34</v>
      </c>
      <c r="I1142" s="3" t="s">
        <v>16</v>
      </c>
      <c r="J1142" s="3" t="s">
        <v>32</v>
      </c>
      <c r="K1142" s="3">
        <f>_xlfn.XLOOKUP(tbl_main[[#This Row],[Service]],tbl_service[Service],tbl_service[Price],"")</f>
        <v>100</v>
      </c>
      <c r="L1142" s="3">
        <v>2</v>
      </c>
      <c r="M1142" s="3">
        <f>IF(AND(tbl_main[[#This Row],[Price]]="",tbl_main[[#This Row],[Qty]]=""),"",tbl_main[[#This Row],[Price]]*tbl_main[[#This Row],[Qty]])</f>
        <v>200</v>
      </c>
      <c r="N1142" s="3">
        <f>_xlfn.LET(_xlpm.x,_xlfn.XLOOKUP(tbl_main[[#This Row],[Service]],tbl_service[Service],tbl_service[Profit],""),
               IF(tbl_main[[#This Row],[Qty]]="","",_xlpm.x*tbl_main[[#This Row],[Qty]]))</f>
        <v>90</v>
      </c>
    </row>
    <row r="1143" spans="1:14" x14ac:dyDescent="0.25">
      <c r="A1143" t="s">
        <v>1185</v>
      </c>
      <c r="B1143" s="1">
        <v>46039</v>
      </c>
      <c r="C1143">
        <f>IF(tbl_main[[#This Row],[Date]]="","",YEAR(B1143))</f>
        <v>2026</v>
      </c>
      <c r="D1143" t="str">
        <f>IF(tbl_main[[#This Row],[Date]]="","",TEXT(B1143,"mmm"))</f>
        <v>Jan</v>
      </c>
      <c r="E1143" t="str">
        <f>IF(tbl_main[[#This Row],[Date]]="","",TEXT(B1143,"DDD"))</f>
        <v>Sat</v>
      </c>
      <c r="F1143" t="s">
        <v>13</v>
      </c>
      <c r="G1143" t="s">
        <v>33</v>
      </c>
      <c r="H1143" s="3" t="s">
        <v>34</v>
      </c>
      <c r="I1143" s="3" t="s">
        <v>19</v>
      </c>
      <c r="J1143" s="3" t="s">
        <v>17</v>
      </c>
      <c r="K1143" s="3">
        <f>_xlfn.XLOOKUP(tbl_main[[#This Row],[Service]],tbl_service[Service],tbl_service[Price],"")</f>
        <v>100</v>
      </c>
      <c r="L1143" s="3">
        <v>2</v>
      </c>
      <c r="M1143" s="3">
        <f>IF(AND(tbl_main[[#This Row],[Price]]="",tbl_main[[#This Row],[Qty]]=""),"",tbl_main[[#This Row],[Price]]*tbl_main[[#This Row],[Qty]])</f>
        <v>200</v>
      </c>
      <c r="N1143" s="3">
        <f>_xlfn.LET(_xlpm.x,_xlfn.XLOOKUP(tbl_main[[#This Row],[Service]],tbl_service[Service],tbl_service[Profit],""),
               IF(tbl_main[[#This Row],[Qty]]="","",_xlpm.x*tbl_main[[#This Row],[Qty]]))</f>
        <v>90</v>
      </c>
    </row>
    <row r="1144" spans="1:14" x14ac:dyDescent="0.25">
      <c r="A1144" t="s">
        <v>1186</v>
      </c>
      <c r="B1144" s="1">
        <v>46040</v>
      </c>
      <c r="C1144">
        <f>IF(tbl_main[[#This Row],[Date]]="","",YEAR(B1144))</f>
        <v>2026</v>
      </c>
      <c r="D1144" t="str">
        <f>IF(tbl_main[[#This Row],[Date]]="","",TEXT(B1144,"mmm"))</f>
        <v>Jan</v>
      </c>
      <c r="E1144" t="str">
        <f>IF(tbl_main[[#This Row],[Date]]="","",TEXT(B1144,"DDD"))</f>
        <v>Sun</v>
      </c>
      <c r="F1144" t="s">
        <v>27</v>
      </c>
      <c r="G1144" t="s">
        <v>28</v>
      </c>
      <c r="H1144" s="3" t="s">
        <v>34</v>
      </c>
      <c r="I1144" s="3" t="s">
        <v>43</v>
      </c>
      <c r="J1144" s="3" t="s">
        <v>17</v>
      </c>
      <c r="K1144" s="3">
        <f>_xlfn.XLOOKUP(tbl_main[[#This Row],[Service]],tbl_service[Service],tbl_service[Price],"")</f>
        <v>100</v>
      </c>
      <c r="L1144" s="3">
        <v>1</v>
      </c>
      <c r="M1144" s="3">
        <f>IF(AND(tbl_main[[#This Row],[Price]]="",tbl_main[[#This Row],[Qty]]=""),"",tbl_main[[#This Row],[Price]]*tbl_main[[#This Row],[Qty]])</f>
        <v>100</v>
      </c>
      <c r="N1144" s="3">
        <f>_xlfn.LET(_xlpm.x,_xlfn.XLOOKUP(tbl_main[[#This Row],[Service]],tbl_service[Service],tbl_service[Profit],""),
               IF(tbl_main[[#This Row],[Qty]]="","",_xlpm.x*tbl_main[[#This Row],[Qty]]))</f>
        <v>45</v>
      </c>
    </row>
    <row r="1145" spans="1:14" x14ac:dyDescent="0.25">
      <c r="A1145" t="s">
        <v>1187</v>
      </c>
      <c r="B1145" s="1">
        <v>46040</v>
      </c>
      <c r="C1145">
        <f>IF(tbl_main[[#This Row],[Date]]="","",YEAR(B1145))</f>
        <v>2026</v>
      </c>
      <c r="D1145" t="str">
        <f>IF(tbl_main[[#This Row],[Date]]="","",TEXT(B1145,"mmm"))</f>
        <v>Jan</v>
      </c>
      <c r="E1145" t="str">
        <f>IF(tbl_main[[#This Row],[Date]]="","",TEXT(B1145,"DDD"))</f>
        <v>Sun</v>
      </c>
      <c r="F1145" t="s">
        <v>13</v>
      </c>
      <c r="G1145" t="s">
        <v>33</v>
      </c>
      <c r="H1145" s="3" t="s">
        <v>22</v>
      </c>
      <c r="I1145" s="3" t="s">
        <v>41</v>
      </c>
      <c r="J1145" s="3" t="s">
        <v>17</v>
      </c>
      <c r="K1145" s="3">
        <f>_xlfn.XLOOKUP(tbl_main[[#This Row],[Service]],tbl_service[Service],tbl_service[Price],"")</f>
        <v>150</v>
      </c>
      <c r="L1145" s="3">
        <v>2</v>
      </c>
      <c r="M1145" s="3">
        <f>IF(AND(tbl_main[[#This Row],[Price]]="",tbl_main[[#This Row],[Qty]]=""),"",tbl_main[[#This Row],[Price]]*tbl_main[[#This Row],[Qty]])</f>
        <v>300</v>
      </c>
      <c r="N1145" s="3">
        <f>_xlfn.LET(_xlpm.x,_xlfn.XLOOKUP(tbl_main[[#This Row],[Service]],tbl_service[Service],tbl_service[Profit],""),
               IF(tbl_main[[#This Row],[Qty]]="","",_xlpm.x*tbl_main[[#This Row],[Qty]]))</f>
        <v>134</v>
      </c>
    </row>
    <row r="1146" spans="1:14" x14ac:dyDescent="0.25">
      <c r="A1146" t="s">
        <v>1188</v>
      </c>
      <c r="B1146" s="1">
        <v>46040</v>
      </c>
      <c r="C1146">
        <f>IF(tbl_main[[#This Row],[Date]]="","",YEAR(B1146))</f>
        <v>2026</v>
      </c>
      <c r="D1146" t="str">
        <f>IF(tbl_main[[#This Row],[Date]]="","",TEXT(B1146,"mmm"))</f>
        <v>Jan</v>
      </c>
      <c r="E1146" t="str">
        <f>IF(tbl_main[[#This Row],[Date]]="","",TEXT(B1146,"DDD"))</f>
        <v>Sun</v>
      </c>
      <c r="F1146" t="s">
        <v>20</v>
      </c>
      <c r="G1146" t="s">
        <v>39</v>
      </c>
      <c r="H1146" s="3" t="s">
        <v>15</v>
      </c>
      <c r="I1146" s="3" t="s">
        <v>41</v>
      </c>
      <c r="J1146" s="3" t="s">
        <v>17</v>
      </c>
      <c r="K1146" s="3">
        <f>_xlfn.XLOOKUP(tbl_main[[#This Row],[Service]],tbl_service[Service],tbl_service[Price],"")</f>
        <v>500</v>
      </c>
      <c r="L1146" s="3">
        <v>2</v>
      </c>
      <c r="M1146" s="3">
        <f>IF(AND(tbl_main[[#This Row],[Price]]="",tbl_main[[#This Row],[Qty]]=""),"",tbl_main[[#This Row],[Price]]*tbl_main[[#This Row],[Qty]])</f>
        <v>1000</v>
      </c>
      <c r="N1146" s="3">
        <f>_xlfn.LET(_xlpm.x,_xlfn.XLOOKUP(tbl_main[[#This Row],[Service]],tbl_service[Service],tbl_service[Profit],""),
               IF(tbl_main[[#This Row],[Qty]]="","",_xlpm.x*tbl_main[[#This Row],[Qty]]))</f>
        <v>450</v>
      </c>
    </row>
    <row r="1147" spans="1:14" x14ac:dyDescent="0.25">
      <c r="A1147" t="s">
        <v>1189</v>
      </c>
      <c r="B1147" s="1">
        <v>46040</v>
      </c>
      <c r="C1147">
        <f>IF(tbl_main[[#This Row],[Date]]="","",YEAR(B1147))</f>
        <v>2026</v>
      </c>
      <c r="D1147" t="str">
        <f>IF(tbl_main[[#This Row],[Date]]="","",TEXT(B1147,"mmm"))</f>
        <v>Jan</v>
      </c>
      <c r="E1147" t="str">
        <f>IF(tbl_main[[#This Row],[Date]]="","",TEXT(B1147,"DDD"))</f>
        <v>Sun</v>
      </c>
      <c r="F1147" t="s">
        <v>20</v>
      </c>
      <c r="G1147" t="s">
        <v>39</v>
      </c>
      <c r="H1147" s="3" t="s">
        <v>26</v>
      </c>
      <c r="I1147" s="3" t="s">
        <v>35</v>
      </c>
      <c r="J1147" s="3" t="s">
        <v>17</v>
      </c>
      <c r="K1147" s="3">
        <f>_xlfn.XLOOKUP(tbl_main[[#This Row],[Service]],tbl_service[Service],tbl_service[Price],"")</f>
        <v>200</v>
      </c>
      <c r="L1147" s="3">
        <v>2</v>
      </c>
      <c r="M1147" s="3">
        <f>IF(AND(tbl_main[[#This Row],[Price]]="",tbl_main[[#This Row],[Qty]]=""),"",tbl_main[[#This Row],[Price]]*tbl_main[[#This Row],[Qty]])</f>
        <v>400</v>
      </c>
      <c r="N1147" s="3">
        <f>_xlfn.LET(_xlpm.x,_xlfn.XLOOKUP(tbl_main[[#This Row],[Service]],tbl_service[Service],tbl_service[Profit],""),
               IF(tbl_main[[#This Row],[Qty]]="","",_xlpm.x*tbl_main[[#This Row],[Qty]]))</f>
        <v>180</v>
      </c>
    </row>
    <row r="1148" spans="1:14" x14ac:dyDescent="0.25">
      <c r="A1148" t="s">
        <v>1190</v>
      </c>
      <c r="B1148" s="1">
        <v>46041</v>
      </c>
      <c r="C1148">
        <f>IF(tbl_main[[#This Row],[Date]]="","",YEAR(B1148))</f>
        <v>2026</v>
      </c>
      <c r="D1148" t="str">
        <f>IF(tbl_main[[#This Row],[Date]]="","",TEXT(B1148,"mmm"))</f>
        <v>Jan</v>
      </c>
      <c r="E1148" t="str">
        <f>IF(tbl_main[[#This Row],[Date]]="","",TEXT(B1148,"DDD"))</f>
        <v>Mon</v>
      </c>
      <c r="F1148" t="s">
        <v>13</v>
      </c>
      <c r="G1148" t="s">
        <v>33</v>
      </c>
      <c r="H1148" s="3" t="s">
        <v>22</v>
      </c>
      <c r="I1148" s="3" t="s">
        <v>35</v>
      </c>
      <c r="J1148" s="3" t="s">
        <v>17</v>
      </c>
      <c r="K1148" s="3">
        <f>_xlfn.XLOOKUP(tbl_main[[#This Row],[Service]],tbl_service[Service],tbl_service[Price],"")</f>
        <v>150</v>
      </c>
      <c r="L1148" s="3">
        <v>2</v>
      </c>
      <c r="M1148" s="3">
        <f>IF(AND(tbl_main[[#This Row],[Price]]="",tbl_main[[#This Row],[Qty]]=""),"",tbl_main[[#This Row],[Price]]*tbl_main[[#This Row],[Qty]])</f>
        <v>300</v>
      </c>
      <c r="N1148" s="3">
        <f>_xlfn.LET(_xlpm.x,_xlfn.XLOOKUP(tbl_main[[#This Row],[Service]],tbl_service[Service],tbl_service[Profit],""),
               IF(tbl_main[[#This Row],[Qty]]="","",_xlpm.x*tbl_main[[#This Row],[Qty]]))</f>
        <v>134</v>
      </c>
    </row>
    <row r="1149" spans="1:14" x14ac:dyDescent="0.25">
      <c r="A1149" t="s">
        <v>1191</v>
      </c>
      <c r="B1149" s="1">
        <v>46041</v>
      </c>
      <c r="C1149">
        <f>IF(tbl_main[[#This Row],[Date]]="","",YEAR(B1149))</f>
        <v>2026</v>
      </c>
      <c r="D1149" t="str">
        <f>IF(tbl_main[[#This Row],[Date]]="","",TEXT(B1149,"mmm"))</f>
        <v>Jan</v>
      </c>
      <c r="E1149" t="str">
        <f>IF(tbl_main[[#This Row],[Date]]="","",TEXT(B1149,"DDD"))</f>
        <v>Mon</v>
      </c>
      <c r="F1149" t="s">
        <v>30</v>
      </c>
      <c r="G1149" t="s">
        <v>36</v>
      </c>
      <c r="H1149" s="3" t="s">
        <v>15</v>
      </c>
      <c r="I1149" s="3" t="s">
        <v>23</v>
      </c>
      <c r="J1149" s="3" t="s">
        <v>25</v>
      </c>
      <c r="K1149" s="3">
        <f>_xlfn.XLOOKUP(tbl_main[[#This Row],[Service]],tbl_service[Service],tbl_service[Price],"")</f>
        <v>500</v>
      </c>
      <c r="L1149" s="3">
        <v>1</v>
      </c>
      <c r="M1149" s="3">
        <f>IF(AND(tbl_main[[#This Row],[Price]]="",tbl_main[[#This Row],[Qty]]=""),"",tbl_main[[#This Row],[Price]]*tbl_main[[#This Row],[Qty]])</f>
        <v>500</v>
      </c>
      <c r="N1149" s="3">
        <f>_xlfn.LET(_xlpm.x,_xlfn.XLOOKUP(tbl_main[[#This Row],[Service]],tbl_service[Service],tbl_service[Profit],""),
               IF(tbl_main[[#This Row],[Qty]]="","",_xlpm.x*tbl_main[[#This Row],[Qty]]))</f>
        <v>225</v>
      </c>
    </row>
    <row r="1150" spans="1:14" x14ac:dyDescent="0.25">
      <c r="A1150" t="s">
        <v>1192</v>
      </c>
      <c r="B1150" s="1">
        <v>46041</v>
      </c>
      <c r="C1150">
        <f>IF(tbl_main[[#This Row],[Date]]="","",YEAR(B1150))</f>
        <v>2026</v>
      </c>
      <c r="D1150" t="str">
        <f>IF(tbl_main[[#This Row],[Date]]="","",TEXT(B1150,"mmm"))</f>
        <v>Jan</v>
      </c>
      <c r="E1150" t="str">
        <f>IF(tbl_main[[#This Row],[Date]]="","",TEXT(B1150,"DDD"))</f>
        <v>Mon</v>
      </c>
      <c r="F1150" t="s">
        <v>13</v>
      </c>
      <c r="G1150" t="s">
        <v>14</v>
      </c>
      <c r="H1150" s="3" t="s">
        <v>22</v>
      </c>
      <c r="I1150" s="3" t="s">
        <v>37</v>
      </c>
      <c r="J1150" s="3" t="s">
        <v>32</v>
      </c>
      <c r="K1150" s="3">
        <f>_xlfn.XLOOKUP(tbl_main[[#This Row],[Service]],tbl_service[Service],tbl_service[Price],"")</f>
        <v>150</v>
      </c>
      <c r="L1150" s="3">
        <v>2</v>
      </c>
      <c r="M1150" s="3">
        <f>IF(AND(tbl_main[[#This Row],[Price]]="",tbl_main[[#This Row],[Qty]]=""),"",tbl_main[[#This Row],[Price]]*tbl_main[[#This Row],[Qty]])</f>
        <v>300</v>
      </c>
      <c r="N1150" s="3">
        <f>_xlfn.LET(_xlpm.x,_xlfn.XLOOKUP(tbl_main[[#This Row],[Service]],tbl_service[Service],tbl_service[Profit],""),
               IF(tbl_main[[#This Row],[Qty]]="","",_xlpm.x*tbl_main[[#This Row],[Qty]]))</f>
        <v>134</v>
      </c>
    </row>
    <row r="1151" spans="1:14" x14ac:dyDescent="0.25">
      <c r="A1151" t="s">
        <v>1193</v>
      </c>
      <c r="B1151" s="1">
        <v>46042</v>
      </c>
      <c r="C1151">
        <f>IF(tbl_main[[#This Row],[Date]]="","",YEAR(B1151))</f>
        <v>2026</v>
      </c>
      <c r="D1151" t="str">
        <f>IF(tbl_main[[#This Row],[Date]]="","",TEXT(B1151,"mmm"))</f>
        <v>Jan</v>
      </c>
      <c r="E1151" t="str">
        <f>IF(tbl_main[[#This Row],[Date]]="","",TEXT(B1151,"DDD"))</f>
        <v>Tue</v>
      </c>
      <c r="F1151" t="s">
        <v>13</v>
      </c>
      <c r="G1151" t="s">
        <v>33</v>
      </c>
      <c r="H1151" s="3" t="s">
        <v>18</v>
      </c>
      <c r="I1151" s="3" t="s">
        <v>38</v>
      </c>
      <c r="J1151" s="3" t="s">
        <v>17</v>
      </c>
      <c r="K1151" s="3">
        <f>_xlfn.XLOOKUP(tbl_main[[#This Row],[Service]],tbl_service[Service],tbl_service[Price],"")</f>
        <v>500</v>
      </c>
      <c r="L1151" s="3">
        <v>2</v>
      </c>
      <c r="M1151" s="3">
        <f>IF(AND(tbl_main[[#This Row],[Price]]="",tbl_main[[#This Row],[Qty]]=""),"",tbl_main[[#This Row],[Price]]*tbl_main[[#This Row],[Qty]])</f>
        <v>1000</v>
      </c>
      <c r="N1151" s="3">
        <f>_xlfn.LET(_xlpm.x,_xlfn.XLOOKUP(tbl_main[[#This Row],[Service]],tbl_service[Service],tbl_service[Profit],""),
               IF(tbl_main[[#This Row],[Qty]]="","",_xlpm.x*tbl_main[[#This Row],[Qty]]))</f>
        <v>314</v>
      </c>
    </row>
    <row r="1152" spans="1:14" x14ac:dyDescent="0.25">
      <c r="A1152" t="s">
        <v>1194</v>
      </c>
      <c r="B1152" s="1">
        <v>46042</v>
      </c>
      <c r="C1152">
        <f>IF(tbl_main[[#This Row],[Date]]="","",YEAR(B1152))</f>
        <v>2026</v>
      </c>
      <c r="D1152" t="str">
        <f>IF(tbl_main[[#This Row],[Date]]="","",TEXT(B1152,"mmm"))</f>
        <v>Jan</v>
      </c>
      <c r="E1152" t="str">
        <f>IF(tbl_main[[#This Row],[Date]]="","",TEXT(B1152,"DDD"))</f>
        <v>Tue</v>
      </c>
      <c r="F1152" t="s">
        <v>30</v>
      </c>
      <c r="G1152" t="s">
        <v>36</v>
      </c>
      <c r="H1152" s="3" t="s">
        <v>22</v>
      </c>
      <c r="I1152" s="3" t="s">
        <v>16</v>
      </c>
      <c r="J1152" s="3" t="s">
        <v>25</v>
      </c>
      <c r="K1152" s="3">
        <f>_xlfn.XLOOKUP(tbl_main[[#This Row],[Service]],tbl_service[Service],tbl_service[Price],"")</f>
        <v>150</v>
      </c>
      <c r="L1152" s="3">
        <v>2</v>
      </c>
      <c r="M1152" s="3">
        <f>IF(AND(tbl_main[[#This Row],[Price]]="",tbl_main[[#This Row],[Qty]]=""),"",tbl_main[[#This Row],[Price]]*tbl_main[[#This Row],[Qty]])</f>
        <v>300</v>
      </c>
      <c r="N1152" s="3">
        <f>_xlfn.LET(_xlpm.x,_xlfn.XLOOKUP(tbl_main[[#This Row],[Service]],tbl_service[Service],tbl_service[Profit],""),
               IF(tbl_main[[#This Row],[Qty]]="","",_xlpm.x*tbl_main[[#This Row],[Qty]]))</f>
        <v>134</v>
      </c>
    </row>
    <row r="1153" spans="1:14" x14ac:dyDescent="0.25">
      <c r="A1153" t="s">
        <v>1195</v>
      </c>
      <c r="B1153" s="1">
        <v>46042</v>
      </c>
      <c r="C1153">
        <f>IF(tbl_main[[#This Row],[Date]]="","",YEAR(B1153))</f>
        <v>2026</v>
      </c>
      <c r="D1153" t="str">
        <f>IF(tbl_main[[#This Row],[Date]]="","",TEXT(B1153,"mmm"))</f>
        <v>Jan</v>
      </c>
      <c r="E1153" t="str">
        <f>IF(tbl_main[[#This Row],[Date]]="","",TEXT(B1153,"DDD"))</f>
        <v>Tue</v>
      </c>
      <c r="F1153" t="s">
        <v>30</v>
      </c>
      <c r="G1153" t="s">
        <v>36</v>
      </c>
      <c r="H1153" s="3" t="s">
        <v>22</v>
      </c>
      <c r="I1153" s="3" t="s">
        <v>19</v>
      </c>
      <c r="J1153" s="3" t="s">
        <v>17</v>
      </c>
      <c r="K1153" s="3">
        <f>_xlfn.XLOOKUP(tbl_main[[#This Row],[Service]],tbl_service[Service],tbl_service[Price],"")</f>
        <v>150</v>
      </c>
      <c r="L1153" s="3">
        <v>2</v>
      </c>
      <c r="M1153" s="3">
        <f>IF(AND(tbl_main[[#This Row],[Price]]="",tbl_main[[#This Row],[Qty]]=""),"",tbl_main[[#This Row],[Price]]*tbl_main[[#This Row],[Qty]])</f>
        <v>300</v>
      </c>
      <c r="N1153" s="3">
        <f>_xlfn.LET(_xlpm.x,_xlfn.XLOOKUP(tbl_main[[#This Row],[Service]],tbl_service[Service],tbl_service[Profit],""),
               IF(tbl_main[[#This Row],[Qty]]="","",_xlpm.x*tbl_main[[#This Row],[Qty]]))</f>
        <v>134</v>
      </c>
    </row>
    <row r="1154" spans="1:14" x14ac:dyDescent="0.25">
      <c r="A1154" t="s">
        <v>1196</v>
      </c>
      <c r="B1154" s="1">
        <v>46042</v>
      </c>
      <c r="C1154">
        <f>IF(tbl_main[[#This Row],[Date]]="","",YEAR(B1154))</f>
        <v>2026</v>
      </c>
      <c r="D1154" t="str">
        <f>IF(tbl_main[[#This Row],[Date]]="","",TEXT(B1154,"mmm"))</f>
        <v>Jan</v>
      </c>
      <c r="E1154" t="str">
        <f>IF(tbl_main[[#This Row],[Date]]="","",TEXT(B1154,"DDD"))</f>
        <v>Tue</v>
      </c>
      <c r="F1154" t="s">
        <v>13</v>
      </c>
      <c r="G1154" t="s">
        <v>14</v>
      </c>
      <c r="H1154" s="3" t="s">
        <v>18</v>
      </c>
      <c r="I1154" s="3" t="s">
        <v>43</v>
      </c>
      <c r="J1154" s="3" t="s">
        <v>25</v>
      </c>
      <c r="K1154" s="3">
        <f>_xlfn.XLOOKUP(tbl_main[[#This Row],[Service]],tbl_service[Service],tbl_service[Price],"")</f>
        <v>500</v>
      </c>
      <c r="L1154" s="3">
        <v>2</v>
      </c>
      <c r="M1154" s="3">
        <f>IF(AND(tbl_main[[#This Row],[Price]]="",tbl_main[[#This Row],[Qty]]=""),"",tbl_main[[#This Row],[Price]]*tbl_main[[#This Row],[Qty]])</f>
        <v>1000</v>
      </c>
      <c r="N1154" s="3">
        <f>_xlfn.LET(_xlpm.x,_xlfn.XLOOKUP(tbl_main[[#This Row],[Service]],tbl_service[Service],tbl_service[Profit],""),
               IF(tbl_main[[#This Row],[Qty]]="","",_xlpm.x*tbl_main[[#This Row],[Qty]]))</f>
        <v>314</v>
      </c>
    </row>
    <row r="1155" spans="1:14" x14ac:dyDescent="0.25">
      <c r="A1155" t="s">
        <v>1197</v>
      </c>
      <c r="B1155" s="1">
        <v>46043</v>
      </c>
      <c r="C1155">
        <f>IF(tbl_main[[#This Row],[Date]]="","",YEAR(B1155))</f>
        <v>2026</v>
      </c>
      <c r="D1155" t="str">
        <f>IF(tbl_main[[#This Row],[Date]]="","",TEXT(B1155,"mmm"))</f>
        <v>Jan</v>
      </c>
      <c r="E1155" t="str">
        <f>IF(tbl_main[[#This Row],[Date]]="","",TEXT(B1155,"DDD"))</f>
        <v>Wed</v>
      </c>
      <c r="F1155" t="s">
        <v>27</v>
      </c>
      <c r="G1155" t="s">
        <v>28</v>
      </c>
      <c r="H1155" s="3" t="s">
        <v>24</v>
      </c>
      <c r="I1155" s="3" t="s">
        <v>41</v>
      </c>
      <c r="J1155" s="3" t="s">
        <v>32</v>
      </c>
      <c r="K1155" s="3">
        <f>_xlfn.XLOOKUP(tbl_main[[#This Row],[Service]],tbl_service[Service],tbl_service[Price],"")</f>
        <v>80</v>
      </c>
      <c r="L1155" s="3">
        <v>2</v>
      </c>
      <c r="M1155" s="3">
        <f>IF(AND(tbl_main[[#This Row],[Price]]="",tbl_main[[#This Row],[Qty]]=""),"",tbl_main[[#This Row],[Price]]*tbl_main[[#This Row],[Qty]])</f>
        <v>160</v>
      </c>
      <c r="N1155" s="3">
        <f>_xlfn.LET(_xlpm.x,_xlfn.XLOOKUP(tbl_main[[#This Row],[Service]],tbl_service[Service],tbl_service[Profit],""),
               IF(tbl_main[[#This Row],[Qty]]="","",_xlpm.x*tbl_main[[#This Row],[Qty]]))</f>
        <v>72</v>
      </c>
    </row>
    <row r="1156" spans="1:14" x14ac:dyDescent="0.25">
      <c r="A1156" t="s">
        <v>1198</v>
      </c>
      <c r="B1156" s="1">
        <v>46043</v>
      </c>
      <c r="C1156">
        <f>IF(tbl_main[[#This Row],[Date]]="","",YEAR(B1156))</f>
        <v>2026</v>
      </c>
      <c r="D1156" t="str">
        <f>IF(tbl_main[[#This Row],[Date]]="","",TEXT(B1156,"mmm"))</f>
        <v>Jan</v>
      </c>
      <c r="E1156" t="str">
        <f>IF(tbl_main[[#This Row],[Date]]="","",TEXT(B1156,"DDD"))</f>
        <v>Wed</v>
      </c>
      <c r="F1156" t="s">
        <v>13</v>
      </c>
      <c r="G1156" t="s">
        <v>14</v>
      </c>
      <c r="H1156" s="3" t="s">
        <v>26</v>
      </c>
      <c r="I1156" s="3" t="s">
        <v>41</v>
      </c>
      <c r="J1156" s="3" t="s">
        <v>25</v>
      </c>
      <c r="K1156" s="3">
        <f>_xlfn.XLOOKUP(tbl_main[[#This Row],[Service]],tbl_service[Service],tbl_service[Price],"")</f>
        <v>200</v>
      </c>
      <c r="L1156" s="3">
        <v>2</v>
      </c>
      <c r="M1156" s="3">
        <f>IF(AND(tbl_main[[#This Row],[Price]]="",tbl_main[[#This Row],[Qty]]=""),"",tbl_main[[#This Row],[Price]]*tbl_main[[#This Row],[Qty]])</f>
        <v>400</v>
      </c>
      <c r="N1156" s="3">
        <f>_xlfn.LET(_xlpm.x,_xlfn.XLOOKUP(tbl_main[[#This Row],[Service]],tbl_service[Service],tbl_service[Profit],""),
               IF(tbl_main[[#This Row],[Qty]]="","",_xlpm.x*tbl_main[[#This Row],[Qty]]))</f>
        <v>180</v>
      </c>
    </row>
    <row r="1157" spans="1:14" x14ac:dyDescent="0.25">
      <c r="A1157" t="s">
        <v>1199</v>
      </c>
      <c r="B1157" s="1">
        <v>46043</v>
      </c>
      <c r="C1157">
        <f>IF(tbl_main[[#This Row],[Date]]="","",YEAR(B1157))</f>
        <v>2026</v>
      </c>
      <c r="D1157" t="str">
        <f>IF(tbl_main[[#This Row],[Date]]="","",TEXT(B1157,"mmm"))</f>
        <v>Jan</v>
      </c>
      <c r="E1157" t="str">
        <f>IF(tbl_main[[#This Row],[Date]]="","",TEXT(B1157,"DDD"))</f>
        <v>Wed</v>
      </c>
      <c r="F1157" t="s">
        <v>30</v>
      </c>
      <c r="G1157" t="s">
        <v>36</v>
      </c>
      <c r="H1157" s="3" t="s">
        <v>18</v>
      </c>
      <c r="I1157" s="3" t="s">
        <v>35</v>
      </c>
      <c r="J1157" s="3" t="s">
        <v>17</v>
      </c>
      <c r="K1157" s="3">
        <f>_xlfn.XLOOKUP(tbl_main[[#This Row],[Service]],tbl_service[Service],tbl_service[Price],"")</f>
        <v>500</v>
      </c>
      <c r="L1157" s="3">
        <v>2</v>
      </c>
      <c r="M1157" s="3">
        <f>IF(AND(tbl_main[[#This Row],[Price]]="",tbl_main[[#This Row],[Qty]]=""),"",tbl_main[[#This Row],[Price]]*tbl_main[[#This Row],[Qty]])</f>
        <v>1000</v>
      </c>
      <c r="N1157" s="3">
        <f>_xlfn.LET(_xlpm.x,_xlfn.XLOOKUP(tbl_main[[#This Row],[Service]],tbl_service[Service],tbl_service[Profit],""),
               IF(tbl_main[[#This Row],[Qty]]="","",_xlpm.x*tbl_main[[#This Row],[Qty]]))</f>
        <v>314</v>
      </c>
    </row>
    <row r="1158" spans="1:14" x14ac:dyDescent="0.25">
      <c r="A1158" t="s">
        <v>1200</v>
      </c>
      <c r="B1158" s="1">
        <v>46044</v>
      </c>
      <c r="C1158">
        <f>IF(tbl_main[[#This Row],[Date]]="","",YEAR(B1158))</f>
        <v>2026</v>
      </c>
      <c r="D1158" t="str">
        <f>IF(tbl_main[[#This Row],[Date]]="","",TEXT(B1158,"mmm"))</f>
        <v>Jan</v>
      </c>
      <c r="E1158" t="str">
        <f>IF(tbl_main[[#This Row],[Date]]="","",TEXT(B1158,"DDD"))</f>
        <v>Thu</v>
      </c>
      <c r="F1158" t="s">
        <v>20</v>
      </c>
      <c r="G1158" t="s">
        <v>21</v>
      </c>
      <c r="H1158" s="3" t="s">
        <v>15</v>
      </c>
      <c r="I1158" s="3" t="s">
        <v>35</v>
      </c>
      <c r="J1158" s="3" t="s">
        <v>25</v>
      </c>
      <c r="K1158" s="3">
        <f>_xlfn.XLOOKUP(tbl_main[[#This Row],[Service]],tbl_service[Service],tbl_service[Price],"")</f>
        <v>500</v>
      </c>
      <c r="L1158" s="3">
        <v>2</v>
      </c>
      <c r="M1158" s="3">
        <f>IF(AND(tbl_main[[#This Row],[Price]]="",tbl_main[[#This Row],[Qty]]=""),"",tbl_main[[#This Row],[Price]]*tbl_main[[#This Row],[Qty]])</f>
        <v>1000</v>
      </c>
      <c r="N1158" s="3">
        <f>_xlfn.LET(_xlpm.x,_xlfn.XLOOKUP(tbl_main[[#This Row],[Service]],tbl_service[Service],tbl_service[Profit],""),
               IF(tbl_main[[#This Row],[Qty]]="","",_xlpm.x*tbl_main[[#This Row],[Qty]]))</f>
        <v>450</v>
      </c>
    </row>
    <row r="1159" spans="1:14" x14ac:dyDescent="0.25">
      <c r="A1159" t="s">
        <v>1201</v>
      </c>
      <c r="B1159" s="1">
        <v>46044</v>
      </c>
      <c r="C1159">
        <f>IF(tbl_main[[#This Row],[Date]]="","",YEAR(B1159))</f>
        <v>2026</v>
      </c>
      <c r="D1159" t="str">
        <f>IF(tbl_main[[#This Row],[Date]]="","",TEXT(B1159,"mmm"))</f>
        <v>Jan</v>
      </c>
      <c r="E1159" t="str">
        <f>IF(tbl_main[[#This Row],[Date]]="","",TEXT(B1159,"DDD"))</f>
        <v>Thu</v>
      </c>
      <c r="F1159" t="s">
        <v>30</v>
      </c>
      <c r="G1159" t="s">
        <v>36</v>
      </c>
      <c r="H1159" s="3" t="s">
        <v>26</v>
      </c>
      <c r="I1159" s="3" t="s">
        <v>23</v>
      </c>
      <c r="J1159" s="3" t="s">
        <v>32</v>
      </c>
      <c r="K1159" s="3">
        <f>_xlfn.XLOOKUP(tbl_main[[#This Row],[Service]],tbl_service[Service],tbl_service[Price],"")</f>
        <v>200</v>
      </c>
      <c r="L1159" s="3">
        <v>1</v>
      </c>
      <c r="M1159" s="3">
        <f>IF(AND(tbl_main[[#This Row],[Price]]="",tbl_main[[#This Row],[Qty]]=""),"",tbl_main[[#This Row],[Price]]*tbl_main[[#This Row],[Qty]])</f>
        <v>200</v>
      </c>
      <c r="N1159" s="3">
        <f>_xlfn.LET(_xlpm.x,_xlfn.XLOOKUP(tbl_main[[#This Row],[Service]],tbl_service[Service],tbl_service[Profit],""),
               IF(tbl_main[[#This Row],[Qty]]="","",_xlpm.x*tbl_main[[#This Row],[Qty]]))</f>
        <v>90</v>
      </c>
    </row>
    <row r="1160" spans="1:14" x14ac:dyDescent="0.25">
      <c r="A1160" t="s">
        <v>1202</v>
      </c>
      <c r="B1160" s="1">
        <v>46044</v>
      </c>
      <c r="C1160">
        <f>IF(tbl_main[[#This Row],[Date]]="","",YEAR(B1160))</f>
        <v>2026</v>
      </c>
      <c r="D1160" t="str">
        <f>IF(tbl_main[[#This Row],[Date]]="","",TEXT(B1160,"mmm"))</f>
        <v>Jan</v>
      </c>
      <c r="E1160" t="str">
        <f>IF(tbl_main[[#This Row],[Date]]="","",TEXT(B1160,"DDD"))</f>
        <v>Thu</v>
      </c>
      <c r="F1160" t="s">
        <v>27</v>
      </c>
      <c r="G1160" t="s">
        <v>40</v>
      </c>
      <c r="H1160" s="3" t="s">
        <v>22</v>
      </c>
      <c r="I1160" s="3" t="s">
        <v>37</v>
      </c>
      <c r="J1160" s="3" t="s">
        <v>25</v>
      </c>
      <c r="K1160" s="3">
        <f>_xlfn.XLOOKUP(tbl_main[[#This Row],[Service]],tbl_service[Service],tbl_service[Price],"")</f>
        <v>150</v>
      </c>
      <c r="L1160" s="3">
        <v>1</v>
      </c>
      <c r="M1160" s="3">
        <f>IF(AND(tbl_main[[#This Row],[Price]]="",tbl_main[[#This Row],[Qty]]=""),"",tbl_main[[#This Row],[Price]]*tbl_main[[#This Row],[Qty]])</f>
        <v>150</v>
      </c>
      <c r="N1160" s="3">
        <f>_xlfn.LET(_xlpm.x,_xlfn.XLOOKUP(tbl_main[[#This Row],[Service]],tbl_service[Service],tbl_service[Profit],""),
               IF(tbl_main[[#This Row],[Qty]]="","",_xlpm.x*tbl_main[[#This Row],[Qty]]))</f>
        <v>67</v>
      </c>
    </row>
    <row r="1161" spans="1:14" x14ac:dyDescent="0.25">
      <c r="A1161" t="s">
        <v>1203</v>
      </c>
      <c r="B1161" s="1">
        <v>46044</v>
      </c>
      <c r="C1161">
        <f>IF(tbl_main[[#This Row],[Date]]="","",YEAR(B1161))</f>
        <v>2026</v>
      </c>
      <c r="D1161" t="str">
        <f>IF(tbl_main[[#This Row],[Date]]="","",TEXT(B1161,"mmm"))</f>
        <v>Jan</v>
      </c>
      <c r="E1161" t="str">
        <f>IF(tbl_main[[#This Row],[Date]]="","",TEXT(B1161,"DDD"))</f>
        <v>Thu</v>
      </c>
      <c r="F1161" t="s">
        <v>30</v>
      </c>
      <c r="G1161" t="s">
        <v>36</v>
      </c>
      <c r="H1161" s="3" t="s">
        <v>26</v>
      </c>
      <c r="I1161" s="3" t="s">
        <v>38</v>
      </c>
      <c r="J1161" s="3" t="s">
        <v>25</v>
      </c>
      <c r="K1161" s="3">
        <f>_xlfn.XLOOKUP(tbl_main[[#This Row],[Service]],tbl_service[Service],tbl_service[Price],"")</f>
        <v>200</v>
      </c>
      <c r="L1161" s="3">
        <v>2</v>
      </c>
      <c r="M1161" s="3">
        <f>IF(AND(tbl_main[[#This Row],[Price]]="",tbl_main[[#This Row],[Qty]]=""),"",tbl_main[[#This Row],[Price]]*tbl_main[[#This Row],[Qty]])</f>
        <v>400</v>
      </c>
      <c r="N1161" s="3">
        <f>_xlfn.LET(_xlpm.x,_xlfn.XLOOKUP(tbl_main[[#This Row],[Service]],tbl_service[Service],tbl_service[Profit],""),
               IF(tbl_main[[#This Row],[Qty]]="","",_xlpm.x*tbl_main[[#This Row],[Qty]]))</f>
        <v>180</v>
      </c>
    </row>
    <row r="1162" spans="1:14" x14ac:dyDescent="0.25">
      <c r="A1162" t="s">
        <v>1204</v>
      </c>
      <c r="B1162" s="1">
        <v>46045</v>
      </c>
      <c r="C1162">
        <f>IF(tbl_main[[#This Row],[Date]]="","",YEAR(B1162))</f>
        <v>2026</v>
      </c>
      <c r="D1162" t="str">
        <f>IF(tbl_main[[#This Row],[Date]]="","",TEXT(B1162,"mmm"))</f>
        <v>Jan</v>
      </c>
      <c r="E1162" t="str">
        <f>IF(tbl_main[[#This Row],[Date]]="","",TEXT(B1162,"DDD"))</f>
        <v>Fri</v>
      </c>
      <c r="F1162" t="s">
        <v>27</v>
      </c>
      <c r="G1162" t="s">
        <v>28</v>
      </c>
      <c r="H1162" s="3" t="s">
        <v>18</v>
      </c>
      <c r="I1162" s="3" t="s">
        <v>16</v>
      </c>
      <c r="J1162" s="3" t="s">
        <v>25</v>
      </c>
      <c r="K1162" s="3">
        <f>_xlfn.XLOOKUP(tbl_main[[#This Row],[Service]],tbl_service[Service],tbl_service[Price],"")</f>
        <v>500</v>
      </c>
      <c r="L1162" s="3">
        <v>2</v>
      </c>
      <c r="M1162" s="3">
        <f>IF(AND(tbl_main[[#This Row],[Price]]="",tbl_main[[#This Row],[Qty]]=""),"",tbl_main[[#This Row],[Price]]*tbl_main[[#This Row],[Qty]])</f>
        <v>1000</v>
      </c>
      <c r="N1162" s="3">
        <f>_xlfn.LET(_xlpm.x,_xlfn.XLOOKUP(tbl_main[[#This Row],[Service]],tbl_service[Service],tbl_service[Profit],""),
               IF(tbl_main[[#This Row],[Qty]]="","",_xlpm.x*tbl_main[[#This Row],[Qty]]))</f>
        <v>314</v>
      </c>
    </row>
    <row r="1163" spans="1:14" x14ac:dyDescent="0.25">
      <c r="A1163" t="s">
        <v>1205</v>
      </c>
      <c r="B1163" s="1">
        <v>46045</v>
      </c>
      <c r="C1163">
        <f>IF(tbl_main[[#This Row],[Date]]="","",YEAR(B1163))</f>
        <v>2026</v>
      </c>
      <c r="D1163" t="str">
        <f>IF(tbl_main[[#This Row],[Date]]="","",TEXT(B1163,"mmm"))</f>
        <v>Jan</v>
      </c>
      <c r="E1163" t="str">
        <f>IF(tbl_main[[#This Row],[Date]]="","",TEXT(B1163,"DDD"))</f>
        <v>Fri</v>
      </c>
      <c r="F1163" t="s">
        <v>30</v>
      </c>
      <c r="G1163" t="s">
        <v>36</v>
      </c>
      <c r="H1163" s="3" t="s">
        <v>24</v>
      </c>
      <c r="I1163" s="3" t="s">
        <v>19</v>
      </c>
      <c r="J1163" s="3" t="s">
        <v>32</v>
      </c>
      <c r="K1163" s="3">
        <f>_xlfn.XLOOKUP(tbl_main[[#This Row],[Service]],tbl_service[Service],tbl_service[Price],"")</f>
        <v>80</v>
      </c>
      <c r="L1163" s="3">
        <v>1</v>
      </c>
      <c r="M1163" s="3">
        <f>IF(AND(tbl_main[[#This Row],[Price]]="",tbl_main[[#This Row],[Qty]]=""),"",tbl_main[[#This Row],[Price]]*tbl_main[[#This Row],[Qty]])</f>
        <v>80</v>
      </c>
      <c r="N1163" s="3">
        <f>_xlfn.LET(_xlpm.x,_xlfn.XLOOKUP(tbl_main[[#This Row],[Service]],tbl_service[Service],tbl_service[Profit],""),
               IF(tbl_main[[#This Row],[Qty]]="","",_xlpm.x*tbl_main[[#This Row],[Qty]]))</f>
        <v>36</v>
      </c>
    </row>
    <row r="1164" spans="1:14" x14ac:dyDescent="0.25">
      <c r="A1164" t="s">
        <v>1206</v>
      </c>
      <c r="B1164" s="1">
        <v>46045</v>
      </c>
      <c r="C1164">
        <f>IF(tbl_main[[#This Row],[Date]]="","",YEAR(B1164))</f>
        <v>2026</v>
      </c>
      <c r="D1164" t="str">
        <f>IF(tbl_main[[#This Row],[Date]]="","",TEXT(B1164,"mmm"))</f>
        <v>Jan</v>
      </c>
      <c r="E1164" t="str">
        <f>IF(tbl_main[[#This Row],[Date]]="","",TEXT(B1164,"DDD"))</f>
        <v>Fri</v>
      </c>
      <c r="F1164" t="s">
        <v>20</v>
      </c>
      <c r="G1164" t="s">
        <v>21</v>
      </c>
      <c r="H1164" s="3" t="s">
        <v>34</v>
      </c>
      <c r="I1164" s="3" t="s">
        <v>43</v>
      </c>
      <c r="J1164" s="3" t="s">
        <v>32</v>
      </c>
      <c r="K1164" s="3">
        <f>_xlfn.XLOOKUP(tbl_main[[#This Row],[Service]],tbl_service[Service],tbl_service[Price],"")</f>
        <v>100</v>
      </c>
      <c r="L1164" s="3">
        <v>2</v>
      </c>
      <c r="M1164" s="3">
        <f>IF(AND(tbl_main[[#This Row],[Price]]="",tbl_main[[#This Row],[Qty]]=""),"",tbl_main[[#This Row],[Price]]*tbl_main[[#This Row],[Qty]])</f>
        <v>200</v>
      </c>
      <c r="N1164" s="3">
        <f>_xlfn.LET(_xlpm.x,_xlfn.XLOOKUP(tbl_main[[#This Row],[Service]],tbl_service[Service],tbl_service[Profit],""),
               IF(tbl_main[[#This Row],[Qty]]="","",_xlpm.x*tbl_main[[#This Row],[Qty]]))</f>
        <v>90</v>
      </c>
    </row>
    <row r="1165" spans="1:14" x14ac:dyDescent="0.25">
      <c r="A1165" t="s">
        <v>1207</v>
      </c>
      <c r="B1165" s="1">
        <v>46045</v>
      </c>
      <c r="C1165">
        <f>IF(tbl_main[[#This Row],[Date]]="","",YEAR(B1165))</f>
        <v>2026</v>
      </c>
      <c r="D1165" t="str">
        <f>IF(tbl_main[[#This Row],[Date]]="","",TEXT(B1165,"mmm"))</f>
        <v>Jan</v>
      </c>
      <c r="E1165" t="str">
        <f>IF(tbl_main[[#This Row],[Date]]="","",TEXT(B1165,"DDD"))</f>
        <v>Fri</v>
      </c>
      <c r="F1165" t="s">
        <v>30</v>
      </c>
      <c r="G1165" t="s">
        <v>36</v>
      </c>
      <c r="H1165" s="3" t="s">
        <v>15</v>
      </c>
      <c r="I1165" s="3" t="s">
        <v>41</v>
      </c>
      <c r="J1165" s="3" t="s">
        <v>32</v>
      </c>
      <c r="K1165" s="3">
        <f>_xlfn.XLOOKUP(tbl_main[[#This Row],[Service]],tbl_service[Service],tbl_service[Price],"")</f>
        <v>500</v>
      </c>
      <c r="L1165" s="3">
        <v>1</v>
      </c>
      <c r="M1165" s="3">
        <f>IF(AND(tbl_main[[#This Row],[Price]]="",tbl_main[[#This Row],[Qty]]=""),"",tbl_main[[#This Row],[Price]]*tbl_main[[#This Row],[Qty]])</f>
        <v>500</v>
      </c>
      <c r="N1165" s="3">
        <f>_xlfn.LET(_xlpm.x,_xlfn.XLOOKUP(tbl_main[[#This Row],[Service]],tbl_service[Service],tbl_service[Profit],""),
               IF(tbl_main[[#This Row],[Qty]]="","",_xlpm.x*tbl_main[[#This Row],[Qty]]))</f>
        <v>225</v>
      </c>
    </row>
    <row r="1166" spans="1:14" x14ac:dyDescent="0.25">
      <c r="A1166" t="s">
        <v>1208</v>
      </c>
      <c r="B1166" s="1">
        <v>46046</v>
      </c>
      <c r="C1166">
        <f>IF(tbl_main[[#This Row],[Date]]="","",YEAR(B1166))</f>
        <v>2026</v>
      </c>
      <c r="D1166" t="str">
        <f>IF(tbl_main[[#This Row],[Date]]="","",TEXT(B1166,"mmm"))</f>
        <v>Jan</v>
      </c>
      <c r="E1166" t="str">
        <f>IF(tbl_main[[#This Row],[Date]]="","",TEXT(B1166,"DDD"))</f>
        <v>Sat</v>
      </c>
      <c r="F1166" t="s">
        <v>13</v>
      </c>
      <c r="G1166" t="s">
        <v>33</v>
      </c>
      <c r="H1166" s="3" t="s">
        <v>34</v>
      </c>
      <c r="I1166" s="3" t="s">
        <v>41</v>
      </c>
      <c r="J1166" s="3" t="s">
        <v>25</v>
      </c>
      <c r="K1166" s="3">
        <f>_xlfn.XLOOKUP(tbl_main[[#This Row],[Service]],tbl_service[Service],tbl_service[Price],"")</f>
        <v>100</v>
      </c>
      <c r="L1166" s="3">
        <v>2</v>
      </c>
      <c r="M1166" s="3">
        <f>IF(AND(tbl_main[[#This Row],[Price]]="",tbl_main[[#This Row],[Qty]]=""),"",tbl_main[[#This Row],[Price]]*tbl_main[[#This Row],[Qty]])</f>
        <v>200</v>
      </c>
      <c r="N1166" s="3">
        <f>_xlfn.LET(_xlpm.x,_xlfn.XLOOKUP(tbl_main[[#This Row],[Service]],tbl_service[Service],tbl_service[Profit],""),
               IF(tbl_main[[#This Row],[Qty]]="","",_xlpm.x*tbl_main[[#This Row],[Qty]]))</f>
        <v>90</v>
      </c>
    </row>
    <row r="1167" spans="1:14" x14ac:dyDescent="0.25">
      <c r="A1167" t="s">
        <v>1209</v>
      </c>
      <c r="B1167" s="1">
        <v>46046</v>
      </c>
      <c r="C1167">
        <f>IF(tbl_main[[#This Row],[Date]]="","",YEAR(B1167))</f>
        <v>2026</v>
      </c>
      <c r="D1167" t="str">
        <f>IF(tbl_main[[#This Row],[Date]]="","",TEXT(B1167,"mmm"))</f>
        <v>Jan</v>
      </c>
      <c r="E1167" t="str">
        <f>IF(tbl_main[[#This Row],[Date]]="","",TEXT(B1167,"DDD"))</f>
        <v>Sat</v>
      </c>
      <c r="F1167" t="s">
        <v>30</v>
      </c>
      <c r="G1167" t="s">
        <v>31</v>
      </c>
      <c r="H1167" s="3" t="s">
        <v>18</v>
      </c>
      <c r="I1167" s="3" t="s">
        <v>35</v>
      </c>
      <c r="J1167" s="3" t="s">
        <v>25</v>
      </c>
      <c r="K1167" s="3">
        <f>_xlfn.XLOOKUP(tbl_main[[#This Row],[Service]],tbl_service[Service],tbl_service[Price],"")</f>
        <v>500</v>
      </c>
      <c r="L1167" s="3">
        <v>1</v>
      </c>
      <c r="M1167" s="3">
        <f>IF(AND(tbl_main[[#This Row],[Price]]="",tbl_main[[#This Row],[Qty]]=""),"",tbl_main[[#This Row],[Price]]*tbl_main[[#This Row],[Qty]])</f>
        <v>500</v>
      </c>
      <c r="N1167" s="3">
        <f>_xlfn.LET(_xlpm.x,_xlfn.XLOOKUP(tbl_main[[#This Row],[Service]],tbl_service[Service],tbl_service[Profit],""),
               IF(tbl_main[[#This Row],[Qty]]="","",_xlpm.x*tbl_main[[#This Row],[Qty]]))</f>
        <v>157</v>
      </c>
    </row>
    <row r="1168" spans="1:14" x14ac:dyDescent="0.25">
      <c r="A1168" t="s">
        <v>1210</v>
      </c>
      <c r="B1168" s="1">
        <v>46047</v>
      </c>
      <c r="C1168">
        <f>IF(tbl_main[[#This Row],[Date]]="","",YEAR(B1168))</f>
        <v>2026</v>
      </c>
      <c r="D1168" t="str">
        <f>IF(tbl_main[[#This Row],[Date]]="","",TEXT(B1168,"mmm"))</f>
        <v>Jan</v>
      </c>
      <c r="E1168" t="str">
        <f>IF(tbl_main[[#This Row],[Date]]="","",TEXT(B1168,"DDD"))</f>
        <v>Sun</v>
      </c>
      <c r="F1168" t="s">
        <v>13</v>
      </c>
      <c r="G1168" t="s">
        <v>33</v>
      </c>
      <c r="H1168" s="3" t="s">
        <v>15</v>
      </c>
      <c r="I1168" s="3" t="s">
        <v>35</v>
      </c>
      <c r="J1168" s="3" t="s">
        <v>17</v>
      </c>
      <c r="K1168" s="3">
        <f>_xlfn.XLOOKUP(tbl_main[[#This Row],[Service]],tbl_service[Service],tbl_service[Price],"")</f>
        <v>500</v>
      </c>
      <c r="L1168" s="3">
        <v>1</v>
      </c>
      <c r="M1168" s="3">
        <f>IF(AND(tbl_main[[#This Row],[Price]]="",tbl_main[[#This Row],[Qty]]=""),"",tbl_main[[#This Row],[Price]]*tbl_main[[#This Row],[Qty]])</f>
        <v>500</v>
      </c>
      <c r="N1168" s="3">
        <f>_xlfn.LET(_xlpm.x,_xlfn.XLOOKUP(tbl_main[[#This Row],[Service]],tbl_service[Service],tbl_service[Profit],""),
               IF(tbl_main[[#This Row],[Qty]]="","",_xlpm.x*tbl_main[[#This Row],[Qty]]))</f>
        <v>225</v>
      </c>
    </row>
    <row r="1169" spans="1:14" x14ac:dyDescent="0.25">
      <c r="A1169" t="s">
        <v>1211</v>
      </c>
      <c r="B1169" s="1">
        <v>46047</v>
      </c>
      <c r="C1169">
        <f>IF(tbl_main[[#This Row],[Date]]="","",YEAR(B1169))</f>
        <v>2026</v>
      </c>
      <c r="D1169" t="str">
        <f>IF(tbl_main[[#This Row],[Date]]="","",TEXT(B1169,"mmm"))</f>
        <v>Jan</v>
      </c>
      <c r="E1169" t="str">
        <f>IF(tbl_main[[#This Row],[Date]]="","",TEXT(B1169,"DDD"))</f>
        <v>Sun</v>
      </c>
      <c r="F1169" t="s">
        <v>20</v>
      </c>
      <c r="G1169" t="s">
        <v>21</v>
      </c>
      <c r="H1169" s="3" t="s">
        <v>18</v>
      </c>
      <c r="I1169" s="3" t="s">
        <v>23</v>
      </c>
      <c r="J1169" s="3" t="s">
        <v>32</v>
      </c>
      <c r="K1169" s="3">
        <f>_xlfn.XLOOKUP(tbl_main[[#This Row],[Service]],tbl_service[Service],tbl_service[Price],"")</f>
        <v>500</v>
      </c>
      <c r="L1169" s="3">
        <v>2</v>
      </c>
      <c r="M1169" s="3">
        <f>IF(AND(tbl_main[[#This Row],[Price]]="",tbl_main[[#This Row],[Qty]]=""),"",tbl_main[[#This Row],[Price]]*tbl_main[[#This Row],[Qty]])</f>
        <v>1000</v>
      </c>
      <c r="N1169" s="3">
        <f>_xlfn.LET(_xlpm.x,_xlfn.XLOOKUP(tbl_main[[#This Row],[Service]],tbl_service[Service],tbl_service[Profit],""),
               IF(tbl_main[[#This Row],[Qty]]="","",_xlpm.x*tbl_main[[#This Row],[Qty]]))</f>
        <v>314</v>
      </c>
    </row>
    <row r="1170" spans="1:14" x14ac:dyDescent="0.25">
      <c r="A1170" t="s">
        <v>1212</v>
      </c>
      <c r="B1170" s="1">
        <v>46047</v>
      </c>
      <c r="C1170">
        <f>IF(tbl_main[[#This Row],[Date]]="","",YEAR(B1170))</f>
        <v>2026</v>
      </c>
      <c r="D1170" t="str">
        <f>IF(tbl_main[[#This Row],[Date]]="","",TEXT(B1170,"mmm"))</f>
        <v>Jan</v>
      </c>
      <c r="E1170" t="str">
        <f>IF(tbl_main[[#This Row],[Date]]="","",TEXT(B1170,"DDD"))</f>
        <v>Sun</v>
      </c>
      <c r="F1170" t="s">
        <v>27</v>
      </c>
      <c r="G1170" t="s">
        <v>40</v>
      </c>
      <c r="H1170" s="3" t="s">
        <v>24</v>
      </c>
      <c r="I1170" s="3" t="s">
        <v>37</v>
      </c>
      <c r="J1170" s="3" t="s">
        <v>17</v>
      </c>
      <c r="K1170" s="3">
        <f>_xlfn.XLOOKUP(tbl_main[[#This Row],[Service]],tbl_service[Service],tbl_service[Price],"")</f>
        <v>80</v>
      </c>
      <c r="L1170" s="3">
        <v>2</v>
      </c>
      <c r="M1170" s="3">
        <f>IF(AND(tbl_main[[#This Row],[Price]]="",tbl_main[[#This Row],[Qty]]=""),"",tbl_main[[#This Row],[Price]]*tbl_main[[#This Row],[Qty]])</f>
        <v>160</v>
      </c>
      <c r="N1170" s="3">
        <f>_xlfn.LET(_xlpm.x,_xlfn.XLOOKUP(tbl_main[[#This Row],[Service]],tbl_service[Service],tbl_service[Profit],""),
               IF(tbl_main[[#This Row],[Qty]]="","",_xlpm.x*tbl_main[[#This Row],[Qty]]))</f>
        <v>72</v>
      </c>
    </row>
    <row r="1171" spans="1:14" x14ac:dyDescent="0.25">
      <c r="A1171" t="s">
        <v>1213</v>
      </c>
      <c r="B1171" s="1">
        <v>46048</v>
      </c>
      <c r="C1171">
        <f>IF(tbl_main[[#This Row],[Date]]="","",YEAR(B1171))</f>
        <v>2026</v>
      </c>
      <c r="D1171" t="str">
        <f>IF(tbl_main[[#This Row],[Date]]="","",TEXT(B1171,"mmm"))</f>
        <v>Jan</v>
      </c>
      <c r="E1171" t="str">
        <f>IF(tbl_main[[#This Row],[Date]]="","",TEXT(B1171,"DDD"))</f>
        <v>Mon</v>
      </c>
      <c r="F1171" t="s">
        <v>27</v>
      </c>
      <c r="G1171" t="s">
        <v>28</v>
      </c>
      <c r="H1171" s="3" t="s">
        <v>22</v>
      </c>
      <c r="I1171" s="3" t="s">
        <v>38</v>
      </c>
      <c r="J1171" s="3" t="s">
        <v>25</v>
      </c>
      <c r="K1171" s="3">
        <f>_xlfn.XLOOKUP(tbl_main[[#This Row],[Service]],tbl_service[Service],tbl_service[Price],"")</f>
        <v>150</v>
      </c>
      <c r="L1171" s="3">
        <v>2</v>
      </c>
      <c r="M1171" s="3">
        <f>IF(AND(tbl_main[[#This Row],[Price]]="",tbl_main[[#This Row],[Qty]]=""),"",tbl_main[[#This Row],[Price]]*tbl_main[[#This Row],[Qty]])</f>
        <v>300</v>
      </c>
      <c r="N1171" s="3">
        <f>_xlfn.LET(_xlpm.x,_xlfn.XLOOKUP(tbl_main[[#This Row],[Service]],tbl_service[Service],tbl_service[Profit],""),
               IF(tbl_main[[#This Row],[Qty]]="","",_xlpm.x*tbl_main[[#This Row],[Qty]]))</f>
        <v>134</v>
      </c>
    </row>
    <row r="1172" spans="1:14" x14ac:dyDescent="0.25">
      <c r="A1172" t="s">
        <v>1214</v>
      </c>
      <c r="B1172" s="1">
        <v>46048</v>
      </c>
      <c r="C1172">
        <f>IF(tbl_main[[#This Row],[Date]]="","",YEAR(B1172))</f>
        <v>2026</v>
      </c>
      <c r="D1172" t="str">
        <f>IF(tbl_main[[#This Row],[Date]]="","",TEXT(B1172,"mmm"))</f>
        <v>Jan</v>
      </c>
      <c r="E1172" t="str">
        <f>IF(tbl_main[[#This Row],[Date]]="","",TEXT(B1172,"DDD"))</f>
        <v>Mon</v>
      </c>
      <c r="F1172" t="s">
        <v>13</v>
      </c>
      <c r="G1172" t="s">
        <v>33</v>
      </c>
      <c r="H1172" s="3" t="s">
        <v>26</v>
      </c>
      <c r="I1172" s="3" t="s">
        <v>16</v>
      </c>
      <c r="J1172" s="3" t="s">
        <v>17</v>
      </c>
      <c r="K1172" s="3">
        <f>_xlfn.XLOOKUP(tbl_main[[#This Row],[Service]],tbl_service[Service],tbl_service[Price],"")</f>
        <v>200</v>
      </c>
      <c r="L1172" s="3">
        <v>1</v>
      </c>
      <c r="M1172" s="3">
        <f>IF(AND(tbl_main[[#This Row],[Price]]="",tbl_main[[#This Row],[Qty]]=""),"",tbl_main[[#This Row],[Price]]*tbl_main[[#This Row],[Qty]])</f>
        <v>200</v>
      </c>
      <c r="N1172" s="3">
        <f>_xlfn.LET(_xlpm.x,_xlfn.XLOOKUP(tbl_main[[#This Row],[Service]],tbl_service[Service],tbl_service[Profit],""),
               IF(tbl_main[[#This Row],[Qty]]="","",_xlpm.x*tbl_main[[#This Row],[Qty]]))</f>
        <v>90</v>
      </c>
    </row>
    <row r="1173" spans="1:14" x14ac:dyDescent="0.25">
      <c r="A1173" t="s">
        <v>1215</v>
      </c>
      <c r="B1173" s="1">
        <v>46048</v>
      </c>
      <c r="C1173">
        <f>IF(tbl_main[[#This Row],[Date]]="","",YEAR(B1173))</f>
        <v>2026</v>
      </c>
      <c r="D1173" t="str">
        <f>IF(tbl_main[[#This Row],[Date]]="","",TEXT(B1173,"mmm"))</f>
        <v>Jan</v>
      </c>
      <c r="E1173" t="str">
        <f>IF(tbl_main[[#This Row],[Date]]="","",TEXT(B1173,"DDD"))</f>
        <v>Mon</v>
      </c>
      <c r="F1173" t="s">
        <v>30</v>
      </c>
      <c r="G1173" t="s">
        <v>36</v>
      </c>
      <c r="H1173" s="3" t="s">
        <v>15</v>
      </c>
      <c r="I1173" s="3" t="s">
        <v>19</v>
      </c>
      <c r="J1173" s="3" t="s">
        <v>17</v>
      </c>
      <c r="K1173" s="3">
        <f>_xlfn.XLOOKUP(tbl_main[[#This Row],[Service]],tbl_service[Service],tbl_service[Price],"")</f>
        <v>500</v>
      </c>
      <c r="L1173" s="3">
        <v>2</v>
      </c>
      <c r="M1173" s="3">
        <f>IF(AND(tbl_main[[#This Row],[Price]]="",tbl_main[[#This Row],[Qty]]=""),"",tbl_main[[#This Row],[Price]]*tbl_main[[#This Row],[Qty]])</f>
        <v>1000</v>
      </c>
      <c r="N1173" s="3">
        <f>_xlfn.LET(_xlpm.x,_xlfn.XLOOKUP(tbl_main[[#This Row],[Service]],tbl_service[Service],tbl_service[Profit],""),
               IF(tbl_main[[#This Row],[Qty]]="","",_xlpm.x*tbl_main[[#This Row],[Qty]]))</f>
        <v>450</v>
      </c>
    </row>
    <row r="1174" spans="1:14" x14ac:dyDescent="0.25">
      <c r="A1174" t="s">
        <v>1216</v>
      </c>
      <c r="B1174" s="1">
        <v>46049</v>
      </c>
      <c r="C1174">
        <f>IF(tbl_main[[#This Row],[Date]]="","",YEAR(B1174))</f>
        <v>2026</v>
      </c>
      <c r="D1174" t="str">
        <f>IF(tbl_main[[#This Row],[Date]]="","",TEXT(B1174,"mmm"))</f>
        <v>Jan</v>
      </c>
      <c r="E1174" t="str">
        <f>IF(tbl_main[[#This Row],[Date]]="","",TEXT(B1174,"DDD"))</f>
        <v>Tue</v>
      </c>
      <c r="F1174" t="s">
        <v>27</v>
      </c>
      <c r="G1174" t="s">
        <v>40</v>
      </c>
      <c r="H1174" s="3" t="s">
        <v>34</v>
      </c>
      <c r="I1174" s="3" t="s">
        <v>43</v>
      </c>
      <c r="J1174" s="3" t="s">
        <v>17</v>
      </c>
      <c r="K1174" s="3">
        <f>_xlfn.XLOOKUP(tbl_main[[#This Row],[Service]],tbl_service[Service],tbl_service[Price],"")</f>
        <v>100</v>
      </c>
      <c r="L1174" s="3">
        <v>1</v>
      </c>
      <c r="M1174" s="3">
        <f>IF(AND(tbl_main[[#This Row],[Price]]="",tbl_main[[#This Row],[Qty]]=""),"",tbl_main[[#This Row],[Price]]*tbl_main[[#This Row],[Qty]])</f>
        <v>100</v>
      </c>
      <c r="N1174" s="3">
        <f>_xlfn.LET(_xlpm.x,_xlfn.XLOOKUP(tbl_main[[#This Row],[Service]],tbl_service[Service],tbl_service[Profit],""),
               IF(tbl_main[[#This Row],[Qty]]="","",_xlpm.x*tbl_main[[#This Row],[Qty]]))</f>
        <v>45</v>
      </c>
    </row>
    <row r="1175" spans="1:14" x14ac:dyDescent="0.25">
      <c r="A1175" t="s">
        <v>1217</v>
      </c>
      <c r="B1175" s="1">
        <v>46049</v>
      </c>
      <c r="C1175">
        <f>IF(tbl_main[[#This Row],[Date]]="","",YEAR(B1175))</f>
        <v>2026</v>
      </c>
      <c r="D1175" t="str">
        <f>IF(tbl_main[[#This Row],[Date]]="","",TEXT(B1175,"mmm"))</f>
        <v>Jan</v>
      </c>
      <c r="E1175" t="str">
        <f>IF(tbl_main[[#This Row],[Date]]="","",TEXT(B1175,"DDD"))</f>
        <v>Tue</v>
      </c>
      <c r="F1175" t="s">
        <v>30</v>
      </c>
      <c r="G1175" t="s">
        <v>36</v>
      </c>
      <c r="H1175" s="3" t="s">
        <v>24</v>
      </c>
      <c r="I1175" s="3" t="s">
        <v>41</v>
      </c>
      <c r="J1175" s="3" t="s">
        <v>25</v>
      </c>
      <c r="K1175" s="3">
        <f>_xlfn.XLOOKUP(tbl_main[[#This Row],[Service]],tbl_service[Service],tbl_service[Price],"")</f>
        <v>80</v>
      </c>
      <c r="L1175" s="3">
        <v>1</v>
      </c>
      <c r="M1175" s="3">
        <f>IF(AND(tbl_main[[#This Row],[Price]]="",tbl_main[[#This Row],[Qty]]=""),"",tbl_main[[#This Row],[Price]]*tbl_main[[#This Row],[Qty]])</f>
        <v>80</v>
      </c>
      <c r="N1175" s="3">
        <f>_xlfn.LET(_xlpm.x,_xlfn.XLOOKUP(tbl_main[[#This Row],[Service]],tbl_service[Service],tbl_service[Profit],""),
               IF(tbl_main[[#This Row],[Qty]]="","",_xlpm.x*tbl_main[[#This Row],[Qty]]))</f>
        <v>36</v>
      </c>
    </row>
    <row r="1176" spans="1:14" x14ac:dyDescent="0.25">
      <c r="A1176" t="s">
        <v>1218</v>
      </c>
      <c r="B1176" s="1">
        <v>46050</v>
      </c>
      <c r="C1176">
        <f>IF(tbl_main[[#This Row],[Date]]="","",YEAR(B1176))</f>
        <v>2026</v>
      </c>
      <c r="D1176" t="str">
        <f>IF(tbl_main[[#This Row],[Date]]="","",TEXT(B1176,"mmm"))</f>
        <v>Jan</v>
      </c>
      <c r="E1176" t="str">
        <f>IF(tbl_main[[#This Row],[Date]]="","",TEXT(B1176,"DDD"))</f>
        <v>Wed</v>
      </c>
      <c r="F1176" t="s">
        <v>27</v>
      </c>
      <c r="G1176" t="s">
        <v>40</v>
      </c>
      <c r="H1176" s="3" t="s">
        <v>22</v>
      </c>
      <c r="I1176" s="3" t="s">
        <v>41</v>
      </c>
      <c r="J1176" s="3" t="s">
        <v>32</v>
      </c>
      <c r="K1176" s="3">
        <f>_xlfn.XLOOKUP(tbl_main[[#This Row],[Service]],tbl_service[Service],tbl_service[Price],"")</f>
        <v>150</v>
      </c>
      <c r="L1176" s="3">
        <v>1</v>
      </c>
      <c r="M1176" s="3">
        <f>IF(AND(tbl_main[[#This Row],[Price]]="",tbl_main[[#This Row],[Qty]]=""),"",tbl_main[[#This Row],[Price]]*tbl_main[[#This Row],[Qty]])</f>
        <v>150</v>
      </c>
      <c r="N1176" s="3">
        <f>_xlfn.LET(_xlpm.x,_xlfn.XLOOKUP(tbl_main[[#This Row],[Service]],tbl_service[Service],tbl_service[Profit],""),
               IF(tbl_main[[#This Row],[Qty]]="","",_xlpm.x*tbl_main[[#This Row],[Qty]]))</f>
        <v>67</v>
      </c>
    </row>
    <row r="1177" spans="1:14" x14ac:dyDescent="0.25">
      <c r="A1177" t="s">
        <v>1219</v>
      </c>
      <c r="B1177" s="1">
        <v>46050</v>
      </c>
      <c r="C1177">
        <f>IF(tbl_main[[#This Row],[Date]]="","",YEAR(B1177))</f>
        <v>2026</v>
      </c>
      <c r="D1177" t="str">
        <f>IF(tbl_main[[#This Row],[Date]]="","",TEXT(B1177,"mmm"))</f>
        <v>Jan</v>
      </c>
      <c r="E1177" t="str">
        <f>IF(tbl_main[[#This Row],[Date]]="","",TEXT(B1177,"DDD"))</f>
        <v>Wed</v>
      </c>
      <c r="F1177" t="s">
        <v>30</v>
      </c>
      <c r="G1177" t="s">
        <v>36</v>
      </c>
      <c r="H1177" s="3" t="s">
        <v>34</v>
      </c>
      <c r="I1177" s="3" t="s">
        <v>35</v>
      </c>
      <c r="J1177" s="3" t="s">
        <v>32</v>
      </c>
      <c r="K1177" s="3">
        <f>_xlfn.XLOOKUP(tbl_main[[#This Row],[Service]],tbl_service[Service],tbl_service[Price],"")</f>
        <v>100</v>
      </c>
      <c r="L1177" s="3">
        <v>1</v>
      </c>
      <c r="M1177" s="3">
        <f>IF(AND(tbl_main[[#This Row],[Price]]="",tbl_main[[#This Row],[Qty]]=""),"",tbl_main[[#This Row],[Price]]*tbl_main[[#This Row],[Qty]])</f>
        <v>100</v>
      </c>
      <c r="N1177" s="3">
        <f>_xlfn.LET(_xlpm.x,_xlfn.XLOOKUP(tbl_main[[#This Row],[Service]],tbl_service[Service],tbl_service[Profit],""),
               IF(tbl_main[[#This Row],[Qty]]="","",_xlpm.x*tbl_main[[#This Row],[Qty]]))</f>
        <v>45</v>
      </c>
    </row>
    <row r="1178" spans="1:14" x14ac:dyDescent="0.25">
      <c r="A1178" t="s">
        <v>1220</v>
      </c>
      <c r="B1178" s="1">
        <v>46050</v>
      </c>
      <c r="C1178">
        <f>IF(tbl_main[[#This Row],[Date]]="","",YEAR(B1178))</f>
        <v>2026</v>
      </c>
      <c r="D1178" t="str">
        <f>IF(tbl_main[[#This Row],[Date]]="","",TEXT(B1178,"mmm"))</f>
        <v>Jan</v>
      </c>
      <c r="E1178" t="str">
        <f>IF(tbl_main[[#This Row],[Date]]="","",TEXT(B1178,"DDD"))</f>
        <v>Wed</v>
      </c>
      <c r="F1178" t="s">
        <v>13</v>
      </c>
      <c r="G1178" t="s">
        <v>33</v>
      </c>
      <c r="H1178" s="3" t="s">
        <v>15</v>
      </c>
      <c r="I1178" s="3" t="s">
        <v>35</v>
      </c>
      <c r="J1178" s="3" t="s">
        <v>32</v>
      </c>
      <c r="K1178" s="3">
        <f>_xlfn.XLOOKUP(tbl_main[[#This Row],[Service]],tbl_service[Service],tbl_service[Price],"")</f>
        <v>500</v>
      </c>
      <c r="L1178" s="3">
        <v>2</v>
      </c>
      <c r="M1178" s="3">
        <f>IF(AND(tbl_main[[#This Row],[Price]]="",tbl_main[[#This Row],[Qty]]=""),"",tbl_main[[#This Row],[Price]]*tbl_main[[#This Row],[Qty]])</f>
        <v>1000</v>
      </c>
      <c r="N1178" s="3">
        <f>_xlfn.LET(_xlpm.x,_xlfn.XLOOKUP(tbl_main[[#This Row],[Service]],tbl_service[Service],tbl_service[Profit],""),
               IF(tbl_main[[#This Row],[Qty]]="","",_xlpm.x*tbl_main[[#This Row],[Qty]]))</f>
        <v>450</v>
      </c>
    </row>
    <row r="1179" spans="1:14" x14ac:dyDescent="0.25">
      <c r="A1179" t="s">
        <v>1221</v>
      </c>
      <c r="B1179" s="1">
        <v>46051</v>
      </c>
      <c r="C1179">
        <f>IF(tbl_main[[#This Row],[Date]]="","",YEAR(B1179))</f>
        <v>2026</v>
      </c>
      <c r="D1179" t="str">
        <f>IF(tbl_main[[#This Row],[Date]]="","",TEXT(B1179,"mmm"))</f>
        <v>Jan</v>
      </c>
      <c r="E1179" t="str">
        <f>IF(tbl_main[[#This Row],[Date]]="","",TEXT(B1179,"DDD"))</f>
        <v>Thu</v>
      </c>
      <c r="F1179" t="s">
        <v>30</v>
      </c>
      <c r="G1179" t="s">
        <v>31</v>
      </c>
      <c r="H1179" s="3" t="s">
        <v>22</v>
      </c>
      <c r="I1179" s="3" t="s">
        <v>23</v>
      </c>
      <c r="J1179" s="3" t="s">
        <v>25</v>
      </c>
      <c r="K1179" s="3">
        <f>_xlfn.XLOOKUP(tbl_main[[#This Row],[Service]],tbl_service[Service],tbl_service[Price],"")</f>
        <v>150</v>
      </c>
      <c r="L1179" s="3">
        <v>1</v>
      </c>
      <c r="M1179" s="3">
        <f>IF(AND(tbl_main[[#This Row],[Price]]="",tbl_main[[#This Row],[Qty]]=""),"",tbl_main[[#This Row],[Price]]*tbl_main[[#This Row],[Qty]])</f>
        <v>150</v>
      </c>
      <c r="N1179" s="3">
        <f>_xlfn.LET(_xlpm.x,_xlfn.XLOOKUP(tbl_main[[#This Row],[Service]],tbl_service[Service],tbl_service[Profit],""),
               IF(tbl_main[[#This Row],[Qty]]="","",_xlpm.x*tbl_main[[#This Row],[Qty]]))</f>
        <v>67</v>
      </c>
    </row>
    <row r="1180" spans="1:14" x14ac:dyDescent="0.25">
      <c r="A1180" t="s">
        <v>1222</v>
      </c>
      <c r="B1180" s="1">
        <v>46051</v>
      </c>
      <c r="C1180">
        <f>IF(tbl_main[[#This Row],[Date]]="","",YEAR(B1180))</f>
        <v>2026</v>
      </c>
      <c r="D1180" t="str">
        <f>IF(tbl_main[[#This Row],[Date]]="","",TEXT(B1180,"mmm"))</f>
        <v>Jan</v>
      </c>
      <c r="E1180" t="str">
        <f>IF(tbl_main[[#This Row],[Date]]="","",TEXT(B1180,"DDD"))</f>
        <v>Thu</v>
      </c>
      <c r="F1180" t="s">
        <v>20</v>
      </c>
      <c r="G1180" t="s">
        <v>39</v>
      </c>
      <c r="H1180" s="3" t="s">
        <v>26</v>
      </c>
      <c r="I1180" s="3" t="s">
        <v>37</v>
      </c>
      <c r="J1180" s="3" t="s">
        <v>17</v>
      </c>
      <c r="K1180" s="3">
        <f>_xlfn.XLOOKUP(tbl_main[[#This Row],[Service]],tbl_service[Service],tbl_service[Price],"")</f>
        <v>200</v>
      </c>
      <c r="L1180" s="3">
        <v>1</v>
      </c>
      <c r="M1180" s="3">
        <f>IF(AND(tbl_main[[#This Row],[Price]]="",tbl_main[[#This Row],[Qty]]=""),"",tbl_main[[#This Row],[Price]]*tbl_main[[#This Row],[Qty]])</f>
        <v>200</v>
      </c>
      <c r="N1180" s="3">
        <f>_xlfn.LET(_xlpm.x,_xlfn.XLOOKUP(tbl_main[[#This Row],[Service]],tbl_service[Service],tbl_service[Profit],""),
               IF(tbl_main[[#This Row],[Qty]]="","",_xlpm.x*tbl_main[[#This Row],[Qty]]))</f>
        <v>90</v>
      </c>
    </row>
    <row r="1181" spans="1:14" x14ac:dyDescent="0.25">
      <c r="A1181" t="s">
        <v>1223</v>
      </c>
      <c r="B1181" s="1">
        <v>46051</v>
      </c>
      <c r="C1181">
        <f>IF(tbl_main[[#This Row],[Date]]="","",YEAR(B1181))</f>
        <v>2026</v>
      </c>
      <c r="D1181" t="str">
        <f>IF(tbl_main[[#This Row],[Date]]="","",TEXT(B1181,"mmm"))</f>
        <v>Jan</v>
      </c>
      <c r="E1181" t="str">
        <f>IF(tbl_main[[#This Row],[Date]]="","",TEXT(B1181,"DDD"))</f>
        <v>Thu</v>
      </c>
      <c r="F1181" t="s">
        <v>27</v>
      </c>
      <c r="G1181" t="s">
        <v>28</v>
      </c>
      <c r="H1181" s="3" t="s">
        <v>22</v>
      </c>
      <c r="I1181" s="3" t="s">
        <v>38</v>
      </c>
      <c r="J1181" s="3" t="s">
        <v>25</v>
      </c>
      <c r="K1181" s="3">
        <f>_xlfn.XLOOKUP(tbl_main[[#This Row],[Service]],tbl_service[Service],tbl_service[Price],"")</f>
        <v>150</v>
      </c>
      <c r="L1181" s="3">
        <v>1</v>
      </c>
      <c r="M1181" s="3">
        <f>IF(AND(tbl_main[[#This Row],[Price]]="",tbl_main[[#This Row],[Qty]]=""),"",tbl_main[[#This Row],[Price]]*tbl_main[[#This Row],[Qty]])</f>
        <v>150</v>
      </c>
      <c r="N1181" s="3">
        <f>_xlfn.LET(_xlpm.x,_xlfn.XLOOKUP(tbl_main[[#This Row],[Service]],tbl_service[Service],tbl_service[Profit],""),
               IF(tbl_main[[#This Row],[Qty]]="","",_xlpm.x*tbl_main[[#This Row],[Qty]]))</f>
        <v>67</v>
      </c>
    </row>
    <row r="1182" spans="1:14" x14ac:dyDescent="0.25">
      <c r="A1182" t="s">
        <v>1224</v>
      </c>
      <c r="B1182" s="1">
        <v>46052</v>
      </c>
      <c r="C1182">
        <f>IF(tbl_main[[#This Row],[Date]]="","",YEAR(B1182))</f>
        <v>2026</v>
      </c>
      <c r="D1182" t="str">
        <f>IF(tbl_main[[#This Row],[Date]]="","",TEXT(B1182,"mmm"))</f>
        <v>Jan</v>
      </c>
      <c r="E1182" t="str">
        <f>IF(tbl_main[[#This Row],[Date]]="","",TEXT(B1182,"DDD"))</f>
        <v>Fri</v>
      </c>
      <c r="F1182" t="s">
        <v>13</v>
      </c>
      <c r="G1182" t="s">
        <v>14</v>
      </c>
      <c r="H1182" s="3" t="s">
        <v>26</v>
      </c>
      <c r="I1182" s="3" t="s">
        <v>16</v>
      </c>
      <c r="J1182" s="3" t="s">
        <v>25</v>
      </c>
      <c r="K1182" s="3">
        <f>_xlfn.XLOOKUP(tbl_main[[#This Row],[Service]],tbl_service[Service],tbl_service[Price],"")</f>
        <v>200</v>
      </c>
      <c r="L1182" s="3">
        <v>2</v>
      </c>
      <c r="M1182" s="3">
        <f>IF(AND(tbl_main[[#This Row],[Price]]="",tbl_main[[#This Row],[Qty]]=""),"",tbl_main[[#This Row],[Price]]*tbl_main[[#This Row],[Qty]])</f>
        <v>400</v>
      </c>
      <c r="N1182" s="3">
        <f>_xlfn.LET(_xlpm.x,_xlfn.XLOOKUP(tbl_main[[#This Row],[Service]],tbl_service[Service],tbl_service[Profit],""),
               IF(tbl_main[[#This Row],[Qty]]="","",_xlpm.x*tbl_main[[#This Row],[Qty]]))</f>
        <v>180</v>
      </c>
    </row>
    <row r="1183" spans="1:14" x14ac:dyDescent="0.25">
      <c r="A1183" t="s">
        <v>1225</v>
      </c>
      <c r="B1183" s="1">
        <v>46052</v>
      </c>
      <c r="C1183">
        <f>IF(tbl_main[[#This Row],[Date]]="","",YEAR(B1183))</f>
        <v>2026</v>
      </c>
      <c r="D1183" t="str">
        <f>IF(tbl_main[[#This Row],[Date]]="","",TEXT(B1183,"mmm"))</f>
        <v>Jan</v>
      </c>
      <c r="E1183" t="str">
        <f>IF(tbl_main[[#This Row],[Date]]="","",TEXT(B1183,"DDD"))</f>
        <v>Fri</v>
      </c>
      <c r="F1183" t="s">
        <v>13</v>
      </c>
      <c r="G1183" t="s">
        <v>14</v>
      </c>
      <c r="H1183" s="3" t="s">
        <v>26</v>
      </c>
      <c r="I1183" s="3" t="s">
        <v>19</v>
      </c>
      <c r="J1183" s="3" t="s">
        <v>25</v>
      </c>
      <c r="K1183" s="3">
        <f>_xlfn.XLOOKUP(tbl_main[[#This Row],[Service]],tbl_service[Service],tbl_service[Price],"")</f>
        <v>200</v>
      </c>
      <c r="L1183" s="3">
        <v>1</v>
      </c>
      <c r="M1183" s="3">
        <f>IF(AND(tbl_main[[#This Row],[Price]]="",tbl_main[[#This Row],[Qty]]=""),"",tbl_main[[#This Row],[Price]]*tbl_main[[#This Row],[Qty]])</f>
        <v>200</v>
      </c>
      <c r="N1183" s="3">
        <f>_xlfn.LET(_xlpm.x,_xlfn.XLOOKUP(tbl_main[[#This Row],[Service]],tbl_service[Service],tbl_service[Profit],""),
               IF(tbl_main[[#This Row],[Qty]]="","",_xlpm.x*tbl_main[[#This Row],[Qty]]))</f>
        <v>90</v>
      </c>
    </row>
    <row r="1184" spans="1:14" x14ac:dyDescent="0.25">
      <c r="A1184" t="s">
        <v>1226</v>
      </c>
      <c r="B1184" s="1">
        <v>46052</v>
      </c>
      <c r="C1184">
        <f>IF(tbl_main[[#This Row],[Date]]="","",YEAR(B1184))</f>
        <v>2026</v>
      </c>
      <c r="D1184" t="str">
        <f>IF(tbl_main[[#This Row],[Date]]="","",TEXT(B1184,"mmm"))</f>
        <v>Jan</v>
      </c>
      <c r="E1184" t="str">
        <f>IF(tbl_main[[#This Row],[Date]]="","",TEXT(B1184,"DDD"))</f>
        <v>Fri</v>
      </c>
      <c r="F1184" t="s">
        <v>27</v>
      </c>
      <c r="G1184" t="s">
        <v>28</v>
      </c>
      <c r="H1184" s="3" t="s">
        <v>34</v>
      </c>
      <c r="I1184" s="3" t="s">
        <v>43</v>
      </c>
      <c r="J1184" s="3" t="s">
        <v>32</v>
      </c>
      <c r="K1184" s="3">
        <f>_xlfn.XLOOKUP(tbl_main[[#This Row],[Service]],tbl_service[Service],tbl_service[Price],"")</f>
        <v>100</v>
      </c>
      <c r="L1184" s="3">
        <v>1</v>
      </c>
      <c r="M1184" s="3">
        <f>IF(AND(tbl_main[[#This Row],[Price]]="",tbl_main[[#This Row],[Qty]]=""),"",tbl_main[[#This Row],[Price]]*tbl_main[[#This Row],[Qty]])</f>
        <v>100</v>
      </c>
      <c r="N1184" s="3">
        <f>_xlfn.LET(_xlpm.x,_xlfn.XLOOKUP(tbl_main[[#This Row],[Service]],tbl_service[Service],tbl_service[Profit],""),
               IF(tbl_main[[#This Row],[Qty]]="","",_xlpm.x*tbl_main[[#This Row],[Qty]]))</f>
        <v>45</v>
      </c>
    </row>
    <row r="1185" spans="1:14" x14ac:dyDescent="0.25">
      <c r="A1185" t="s">
        <v>1227</v>
      </c>
      <c r="B1185" s="1">
        <v>46052</v>
      </c>
      <c r="C1185">
        <f>IF(tbl_main[[#This Row],[Date]]="","",YEAR(B1185))</f>
        <v>2026</v>
      </c>
      <c r="D1185" t="str">
        <f>IF(tbl_main[[#This Row],[Date]]="","",TEXT(B1185,"mmm"))</f>
        <v>Jan</v>
      </c>
      <c r="E1185" t="str">
        <f>IF(tbl_main[[#This Row],[Date]]="","",TEXT(B1185,"DDD"))</f>
        <v>Fri</v>
      </c>
      <c r="F1185" t="s">
        <v>30</v>
      </c>
      <c r="G1185" t="s">
        <v>36</v>
      </c>
      <c r="H1185" s="3" t="s">
        <v>24</v>
      </c>
      <c r="I1185" s="3" t="s">
        <v>41</v>
      </c>
      <c r="J1185" s="3" t="s">
        <v>25</v>
      </c>
      <c r="K1185" s="3">
        <f>_xlfn.XLOOKUP(tbl_main[[#This Row],[Service]],tbl_service[Service],tbl_service[Price],"")</f>
        <v>80</v>
      </c>
      <c r="L1185" s="3">
        <v>1</v>
      </c>
      <c r="M1185" s="3">
        <f>IF(AND(tbl_main[[#This Row],[Price]]="",tbl_main[[#This Row],[Qty]]=""),"",tbl_main[[#This Row],[Price]]*tbl_main[[#This Row],[Qty]])</f>
        <v>80</v>
      </c>
      <c r="N1185" s="3">
        <f>_xlfn.LET(_xlpm.x,_xlfn.XLOOKUP(tbl_main[[#This Row],[Service]],tbl_service[Service],tbl_service[Profit],""),
               IF(tbl_main[[#This Row],[Qty]]="","",_xlpm.x*tbl_main[[#This Row],[Qty]]))</f>
        <v>36</v>
      </c>
    </row>
    <row r="1186" spans="1:14" x14ac:dyDescent="0.25">
      <c r="A1186" t="s">
        <v>1228</v>
      </c>
      <c r="B1186" s="1">
        <v>46053</v>
      </c>
      <c r="C1186">
        <f>IF(tbl_main[[#This Row],[Date]]="","",YEAR(B1186))</f>
        <v>2026</v>
      </c>
      <c r="D1186" t="str">
        <f>IF(tbl_main[[#This Row],[Date]]="","",TEXT(B1186,"mmm"))</f>
        <v>Jan</v>
      </c>
      <c r="E1186" t="str">
        <f>IF(tbl_main[[#This Row],[Date]]="","",TEXT(B1186,"DDD"))</f>
        <v>Sat</v>
      </c>
      <c r="F1186" t="s">
        <v>13</v>
      </c>
      <c r="G1186" t="s">
        <v>33</v>
      </c>
      <c r="H1186" s="3" t="s">
        <v>18</v>
      </c>
      <c r="I1186" s="3" t="s">
        <v>41</v>
      </c>
      <c r="J1186" s="3" t="s">
        <v>25</v>
      </c>
      <c r="K1186" s="3">
        <f>_xlfn.XLOOKUP(tbl_main[[#This Row],[Service]],tbl_service[Service],tbl_service[Price],"")</f>
        <v>500</v>
      </c>
      <c r="L1186" s="3">
        <v>1</v>
      </c>
      <c r="M1186" s="3">
        <f>IF(AND(tbl_main[[#This Row],[Price]]="",tbl_main[[#This Row],[Qty]]=""),"",tbl_main[[#This Row],[Price]]*tbl_main[[#This Row],[Qty]])</f>
        <v>500</v>
      </c>
      <c r="N1186" s="3">
        <f>_xlfn.LET(_xlpm.x,_xlfn.XLOOKUP(tbl_main[[#This Row],[Service]],tbl_service[Service],tbl_service[Profit],""),
               IF(tbl_main[[#This Row],[Qty]]="","",_xlpm.x*tbl_main[[#This Row],[Qty]]))</f>
        <v>157</v>
      </c>
    </row>
    <row r="1187" spans="1:14" x14ac:dyDescent="0.25">
      <c r="A1187" t="s">
        <v>1229</v>
      </c>
      <c r="B1187" s="1">
        <v>46053</v>
      </c>
      <c r="C1187">
        <f>IF(tbl_main[[#This Row],[Date]]="","",YEAR(B1187))</f>
        <v>2026</v>
      </c>
      <c r="D1187" t="str">
        <f>IF(tbl_main[[#This Row],[Date]]="","",TEXT(B1187,"mmm"))</f>
        <v>Jan</v>
      </c>
      <c r="E1187" t="str">
        <f>IF(tbl_main[[#This Row],[Date]]="","",TEXT(B1187,"DDD"))</f>
        <v>Sat</v>
      </c>
      <c r="F1187" t="s">
        <v>30</v>
      </c>
      <c r="G1187" t="s">
        <v>31</v>
      </c>
      <c r="H1187" s="3" t="s">
        <v>26</v>
      </c>
      <c r="I1187" s="3" t="s">
        <v>35</v>
      </c>
      <c r="J1187" s="3" t="s">
        <v>25</v>
      </c>
      <c r="K1187" s="3">
        <f>_xlfn.XLOOKUP(tbl_main[[#This Row],[Service]],tbl_service[Service],tbl_service[Price],"")</f>
        <v>200</v>
      </c>
      <c r="L1187" s="3">
        <v>1</v>
      </c>
      <c r="M1187" s="3">
        <f>IF(AND(tbl_main[[#This Row],[Price]]="",tbl_main[[#This Row],[Qty]]=""),"",tbl_main[[#This Row],[Price]]*tbl_main[[#This Row],[Qty]])</f>
        <v>200</v>
      </c>
      <c r="N1187" s="3">
        <f>_xlfn.LET(_xlpm.x,_xlfn.XLOOKUP(tbl_main[[#This Row],[Service]],tbl_service[Service],tbl_service[Profit],""),
               IF(tbl_main[[#This Row],[Qty]]="","",_xlpm.x*tbl_main[[#This Row],[Qty]]))</f>
        <v>90</v>
      </c>
    </row>
    <row r="1188" spans="1:14" x14ac:dyDescent="0.25">
      <c r="A1188" t="s">
        <v>1230</v>
      </c>
      <c r="B1188" s="1">
        <v>46053</v>
      </c>
      <c r="C1188">
        <f>IF(tbl_main[[#This Row],[Date]]="","",YEAR(B1188))</f>
        <v>2026</v>
      </c>
      <c r="D1188" t="str">
        <f>IF(tbl_main[[#This Row],[Date]]="","",TEXT(B1188,"mmm"))</f>
        <v>Jan</v>
      </c>
      <c r="E1188" t="str">
        <f>IF(tbl_main[[#This Row],[Date]]="","",TEXT(B1188,"DDD"))</f>
        <v>Sat</v>
      </c>
      <c r="F1188" t="s">
        <v>20</v>
      </c>
      <c r="G1188" t="s">
        <v>21</v>
      </c>
      <c r="H1188" s="3" t="s">
        <v>15</v>
      </c>
      <c r="I1188" s="3" t="s">
        <v>35</v>
      </c>
      <c r="J1188" s="3" t="s">
        <v>25</v>
      </c>
      <c r="K1188" s="3">
        <f>_xlfn.XLOOKUP(tbl_main[[#This Row],[Service]],tbl_service[Service],tbl_service[Price],"")</f>
        <v>500</v>
      </c>
      <c r="L1188" s="3">
        <v>2</v>
      </c>
      <c r="M1188" s="3">
        <f>IF(AND(tbl_main[[#This Row],[Price]]="",tbl_main[[#This Row],[Qty]]=""),"",tbl_main[[#This Row],[Price]]*tbl_main[[#This Row],[Qty]])</f>
        <v>1000</v>
      </c>
      <c r="N1188" s="3">
        <f>_xlfn.LET(_xlpm.x,_xlfn.XLOOKUP(tbl_main[[#This Row],[Service]],tbl_service[Service],tbl_service[Profit],""),
               IF(tbl_main[[#This Row],[Qty]]="","",_xlpm.x*tbl_main[[#This Row],[Qty]]))</f>
        <v>450</v>
      </c>
    </row>
    <row r="1189" spans="1:14" x14ac:dyDescent="0.25">
      <c r="A1189" t="s">
        <v>1231</v>
      </c>
      <c r="B1189" s="1">
        <v>46054</v>
      </c>
      <c r="C1189">
        <f>IF(tbl_main[[#This Row],[Date]]="","",YEAR(B1189))</f>
        <v>2026</v>
      </c>
      <c r="D1189" t="str">
        <f>IF(tbl_main[[#This Row],[Date]]="","",TEXT(B1189,"mmm"))</f>
        <v>Feb</v>
      </c>
      <c r="E1189" t="str">
        <f>IF(tbl_main[[#This Row],[Date]]="","",TEXT(B1189,"DDD"))</f>
        <v>Sun</v>
      </c>
      <c r="F1189" t="s">
        <v>13</v>
      </c>
      <c r="G1189" t="s">
        <v>14</v>
      </c>
      <c r="H1189" s="3" t="s">
        <v>22</v>
      </c>
      <c r="I1189" s="3" t="s">
        <v>23</v>
      </c>
      <c r="J1189" s="3" t="s">
        <v>25</v>
      </c>
      <c r="K1189" s="3">
        <f>_xlfn.XLOOKUP(tbl_main[[#This Row],[Service]],tbl_service[Service],tbl_service[Price],"")</f>
        <v>150</v>
      </c>
      <c r="L1189" s="3">
        <v>1</v>
      </c>
      <c r="M1189" s="3">
        <f>IF(AND(tbl_main[[#This Row],[Price]]="",tbl_main[[#This Row],[Qty]]=""),"",tbl_main[[#This Row],[Price]]*tbl_main[[#This Row],[Qty]])</f>
        <v>150</v>
      </c>
      <c r="N1189" s="3">
        <f>_xlfn.LET(_xlpm.x,_xlfn.XLOOKUP(tbl_main[[#This Row],[Service]],tbl_service[Service],tbl_service[Profit],""),
               IF(tbl_main[[#This Row],[Qty]]="","",_xlpm.x*tbl_main[[#This Row],[Qty]]))</f>
        <v>67</v>
      </c>
    </row>
    <row r="1190" spans="1:14" x14ac:dyDescent="0.25">
      <c r="A1190" t="s">
        <v>1232</v>
      </c>
      <c r="B1190" s="1">
        <v>46054</v>
      </c>
      <c r="C1190">
        <f>IF(tbl_main[[#This Row],[Date]]="","",YEAR(B1190))</f>
        <v>2026</v>
      </c>
      <c r="D1190" t="str">
        <f>IF(tbl_main[[#This Row],[Date]]="","",TEXT(B1190,"mmm"))</f>
        <v>Feb</v>
      </c>
      <c r="E1190" t="str">
        <f>IF(tbl_main[[#This Row],[Date]]="","",TEXT(B1190,"DDD"))</f>
        <v>Sun</v>
      </c>
      <c r="F1190" t="s">
        <v>27</v>
      </c>
      <c r="G1190" t="s">
        <v>28</v>
      </c>
      <c r="H1190" s="3" t="s">
        <v>18</v>
      </c>
      <c r="I1190" s="3" t="s">
        <v>37</v>
      </c>
      <c r="J1190" s="3" t="s">
        <v>32</v>
      </c>
      <c r="K1190" s="3">
        <f>_xlfn.XLOOKUP(tbl_main[[#This Row],[Service]],tbl_service[Service],tbl_service[Price],"")</f>
        <v>500</v>
      </c>
      <c r="L1190" s="3">
        <v>2</v>
      </c>
      <c r="M1190" s="3">
        <f>IF(AND(tbl_main[[#This Row],[Price]]="",tbl_main[[#This Row],[Qty]]=""),"",tbl_main[[#This Row],[Price]]*tbl_main[[#This Row],[Qty]])</f>
        <v>1000</v>
      </c>
      <c r="N1190" s="3">
        <f>_xlfn.LET(_xlpm.x,_xlfn.XLOOKUP(tbl_main[[#This Row],[Service]],tbl_service[Service],tbl_service[Profit],""),
               IF(tbl_main[[#This Row],[Qty]]="","",_xlpm.x*tbl_main[[#This Row],[Qty]]))</f>
        <v>314</v>
      </c>
    </row>
    <row r="1191" spans="1:14" x14ac:dyDescent="0.25">
      <c r="A1191" t="s">
        <v>1233</v>
      </c>
      <c r="B1191" s="1">
        <v>46055</v>
      </c>
      <c r="C1191">
        <f>IF(tbl_main[[#This Row],[Date]]="","",YEAR(B1191))</f>
        <v>2026</v>
      </c>
      <c r="D1191" t="str">
        <f>IF(tbl_main[[#This Row],[Date]]="","",TEXT(B1191,"mmm"))</f>
        <v>Feb</v>
      </c>
      <c r="E1191" t="str">
        <f>IF(tbl_main[[#This Row],[Date]]="","",TEXT(B1191,"DDD"))</f>
        <v>Mon</v>
      </c>
      <c r="F1191" t="s">
        <v>27</v>
      </c>
      <c r="G1191" t="s">
        <v>28</v>
      </c>
      <c r="H1191" s="3" t="s">
        <v>34</v>
      </c>
      <c r="I1191" s="3" t="s">
        <v>38</v>
      </c>
      <c r="J1191" s="3" t="s">
        <v>25</v>
      </c>
      <c r="K1191" s="3">
        <f>_xlfn.XLOOKUP(tbl_main[[#This Row],[Service]],tbl_service[Service],tbl_service[Price],"")</f>
        <v>100</v>
      </c>
      <c r="L1191" s="3">
        <v>2</v>
      </c>
      <c r="M1191" s="3">
        <f>IF(AND(tbl_main[[#This Row],[Price]]="",tbl_main[[#This Row],[Qty]]=""),"",tbl_main[[#This Row],[Price]]*tbl_main[[#This Row],[Qty]])</f>
        <v>200</v>
      </c>
      <c r="N1191" s="3">
        <f>_xlfn.LET(_xlpm.x,_xlfn.XLOOKUP(tbl_main[[#This Row],[Service]],tbl_service[Service],tbl_service[Profit],""),
               IF(tbl_main[[#This Row],[Qty]]="","",_xlpm.x*tbl_main[[#This Row],[Qty]]))</f>
        <v>90</v>
      </c>
    </row>
    <row r="1192" spans="1:14" x14ac:dyDescent="0.25">
      <c r="A1192" t="s">
        <v>1234</v>
      </c>
      <c r="B1192" s="1">
        <v>46055</v>
      </c>
      <c r="C1192">
        <f>IF(tbl_main[[#This Row],[Date]]="","",YEAR(B1192))</f>
        <v>2026</v>
      </c>
      <c r="D1192" t="str">
        <f>IF(tbl_main[[#This Row],[Date]]="","",TEXT(B1192,"mmm"))</f>
        <v>Feb</v>
      </c>
      <c r="E1192" t="str">
        <f>IF(tbl_main[[#This Row],[Date]]="","",TEXT(B1192,"DDD"))</f>
        <v>Mon</v>
      </c>
      <c r="F1192" t="s">
        <v>30</v>
      </c>
      <c r="G1192" t="s">
        <v>36</v>
      </c>
      <c r="H1192" s="3" t="s">
        <v>34</v>
      </c>
      <c r="I1192" s="3" t="s">
        <v>16</v>
      </c>
      <c r="J1192" s="3" t="s">
        <v>32</v>
      </c>
      <c r="K1192" s="3">
        <f>_xlfn.XLOOKUP(tbl_main[[#This Row],[Service]],tbl_service[Service],tbl_service[Price],"")</f>
        <v>100</v>
      </c>
      <c r="L1192" s="3">
        <v>1</v>
      </c>
      <c r="M1192" s="3">
        <f>IF(AND(tbl_main[[#This Row],[Price]]="",tbl_main[[#This Row],[Qty]]=""),"",tbl_main[[#This Row],[Price]]*tbl_main[[#This Row],[Qty]])</f>
        <v>100</v>
      </c>
      <c r="N1192" s="3">
        <f>_xlfn.LET(_xlpm.x,_xlfn.XLOOKUP(tbl_main[[#This Row],[Service]],tbl_service[Service],tbl_service[Profit],""),
               IF(tbl_main[[#This Row],[Qty]]="","",_xlpm.x*tbl_main[[#This Row],[Qty]]))</f>
        <v>45</v>
      </c>
    </row>
    <row r="1193" spans="1:14" x14ac:dyDescent="0.25">
      <c r="A1193" t="s">
        <v>1235</v>
      </c>
      <c r="B1193" s="1">
        <v>46055</v>
      </c>
      <c r="C1193">
        <f>IF(tbl_main[[#This Row],[Date]]="","",YEAR(B1193))</f>
        <v>2026</v>
      </c>
      <c r="D1193" t="str">
        <f>IF(tbl_main[[#This Row],[Date]]="","",TEXT(B1193,"mmm"))</f>
        <v>Feb</v>
      </c>
      <c r="E1193" t="str">
        <f>IF(tbl_main[[#This Row],[Date]]="","",TEXT(B1193,"DDD"))</f>
        <v>Mon</v>
      </c>
      <c r="F1193" t="s">
        <v>30</v>
      </c>
      <c r="G1193" t="s">
        <v>36</v>
      </c>
      <c r="H1193" s="3" t="s">
        <v>26</v>
      </c>
      <c r="I1193" s="3" t="s">
        <v>19</v>
      </c>
      <c r="J1193" s="3" t="s">
        <v>25</v>
      </c>
      <c r="K1193" s="3">
        <f>_xlfn.XLOOKUP(tbl_main[[#This Row],[Service]],tbl_service[Service],tbl_service[Price],"")</f>
        <v>200</v>
      </c>
      <c r="L1193" s="3">
        <v>1</v>
      </c>
      <c r="M1193" s="3">
        <f>IF(AND(tbl_main[[#This Row],[Price]]="",tbl_main[[#This Row],[Qty]]=""),"",tbl_main[[#This Row],[Price]]*tbl_main[[#This Row],[Qty]])</f>
        <v>200</v>
      </c>
      <c r="N1193" s="3">
        <f>_xlfn.LET(_xlpm.x,_xlfn.XLOOKUP(tbl_main[[#This Row],[Service]],tbl_service[Service],tbl_service[Profit],""),
               IF(tbl_main[[#This Row],[Qty]]="","",_xlpm.x*tbl_main[[#This Row],[Qty]]))</f>
        <v>90</v>
      </c>
    </row>
    <row r="1194" spans="1:14" x14ac:dyDescent="0.25">
      <c r="A1194" t="s">
        <v>1236</v>
      </c>
      <c r="B1194" s="1">
        <v>46055</v>
      </c>
      <c r="C1194">
        <f>IF(tbl_main[[#This Row],[Date]]="","",YEAR(B1194))</f>
        <v>2026</v>
      </c>
      <c r="D1194" t="str">
        <f>IF(tbl_main[[#This Row],[Date]]="","",TEXT(B1194,"mmm"))</f>
        <v>Feb</v>
      </c>
      <c r="E1194" t="str">
        <f>IF(tbl_main[[#This Row],[Date]]="","",TEXT(B1194,"DDD"))</f>
        <v>Mon</v>
      </c>
      <c r="F1194" t="s">
        <v>20</v>
      </c>
      <c r="G1194" t="s">
        <v>39</v>
      </c>
      <c r="H1194" s="3" t="s">
        <v>22</v>
      </c>
      <c r="I1194" s="3" t="s">
        <v>43</v>
      </c>
      <c r="J1194" s="3" t="s">
        <v>17</v>
      </c>
      <c r="K1194" s="3">
        <f>_xlfn.XLOOKUP(tbl_main[[#This Row],[Service]],tbl_service[Service],tbl_service[Price],"")</f>
        <v>150</v>
      </c>
      <c r="L1194" s="3">
        <v>2</v>
      </c>
      <c r="M1194" s="3">
        <f>IF(AND(tbl_main[[#This Row],[Price]]="",tbl_main[[#This Row],[Qty]]=""),"",tbl_main[[#This Row],[Price]]*tbl_main[[#This Row],[Qty]])</f>
        <v>300</v>
      </c>
      <c r="N1194" s="3">
        <f>_xlfn.LET(_xlpm.x,_xlfn.XLOOKUP(tbl_main[[#This Row],[Service]],tbl_service[Service],tbl_service[Profit],""),
               IF(tbl_main[[#This Row],[Qty]]="","",_xlpm.x*tbl_main[[#This Row],[Qty]]))</f>
        <v>134</v>
      </c>
    </row>
    <row r="1195" spans="1:14" x14ac:dyDescent="0.25">
      <c r="A1195" t="s">
        <v>1237</v>
      </c>
      <c r="B1195" s="1">
        <v>46056</v>
      </c>
      <c r="C1195">
        <f>IF(tbl_main[[#This Row],[Date]]="","",YEAR(B1195))</f>
        <v>2026</v>
      </c>
      <c r="D1195" t="str">
        <f>IF(tbl_main[[#This Row],[Date]]="","",TEXT(B1195,"mmm"))</f>
        <v>Feb</v>
      </c>
      <c r="E1195" t="str">
        <f>IF(tbl_main[[#This Row],[Date]]="","",TEXT(B1195,"DDD"))</f>
        <v>Tue</v>
      </c>
      <c r="F1195" t="s">
        <v>20</v>
      </c>
      <c r="G1195" t="s">
        <v>21</v>
      </c>
      <c r="H1195" s="3" t="s">
        <v>15</v>
      </c>
      <c r="I1195" s="3" t="s">
        <v>41</v>
      </c>
      <c r="J1195" s="3" t="s">
        <v>17</v>
      </c>
      <c r="K1195" s="3">
        <f>_xlfn.XLOOKUP(tbl_main[[#This Row],[Service]],tbl_service[Service],tbl_service[Price],"")</f>
        <v>500</v>
      </c>
      <c r="L1195" s="3">
        <v>1</v>
      </c>
      <c r="M1195" s="3">
        <f>IF(AND(tbl_main[[#This Row],[Price]]="",tbl_main[[#This Row],[Qty]]=""),"",tbl_main[[#This Row],[Price]]*tbl_main[[#This Row],[Qty]])</f>
        <v>500</v>
      </c>
      <c r="N1195" s="3">
        <f>_xlfn.LET(_xlpm.x,_xlfn.XLOOKUP(tbl_main[[#This Row],[Service]],tbl_service[Service],tbl_service[Profit],""),
               IF(tbl_main[[#This Row],[Qty]]="","",_xlpm.x*tbl_main[[#This Row],[Qty]]))</f>
        <v>225</v>
      </c>
    </row>
    <row r="1196" spans="1:14" x14ac:dyDescent="0.25">
      <c r="A1196" t="s">
        <v>1238</v>
      </c>
      <c r="B1196" s="1">
        <v>46056</v>
      </c>
      <c r="C1196">
        <f>IF(tbl_main[[#This Row],[Date]]="","",YEAR(B1196))</f>
        <v>2026</v>
      </c>
      <c r="D1196" t="str">
        <f>IF(tbl_main[[#This Row],[Date]]="","",TEXT(B1196,"mmm"))</f>
        <v>Feb</v>
      </c>
      <c r="E1196" t="str">
        <f>IF(tbl_main[[#This Row],[Date]]="","",TEXT(B1196,"DDD"))</f>
        <v>Tue</v>
      </c>
      <c r="F1196" t="s">
        <v>27</v>
      </c>
      <c r="G1196" t="s">
        <v>40</v>
      </c>
      <c r="H1196" s="3" t="s">
        <v>22</v>
      </c>
      <c r="I1196" s="3" t="s">
        <v>41</v>
      </c>
      <c r="J1196" s="3" t="s">
        <v>32</v>
      </c>
      <c r="K1196" s="3">
        <f>_xlfn.XLOOKUP(tbl_main[[#This Row],[Service]],tbl_service[Service],tbl_service[Price],"")</f>
        <v>150</v>
      </c>
      <c r="L1196" s="3">
        <v>2</v>
      </c>
      <c r="M1196" s="3">
        <f>IF(AND(tbl_main[[#This Row],[Price]]="",tbl_main[[#This Row],[Qty]]=""),"",tbl_main[[#This Row],[Price]]*tbl_main[[#This Row],[Qty]])</f>
        <v>300</v>
      </c>
      <c r="N1196" s="3">
        <f>_xlfn.LET(_xlpm.x,_xlfn.XLOOKUP(tbl_main[[#This Row],[Service]],tbl_service[Service],tbl_service[Profit],""),
               IF(tbl_main[[#This Row],[Qty]]="","",_xlpm.x*tbl_main[[#This Row],[Qty]]))</f>
        <v>134</v>
      </c>
    </row>
    <row r="1197" spans="1:14" x14ac:dyDescent="0.25">
      <c r="A1197" t="s">
        <v>1239</v>
      </c>
      <c r="B1197" s="1">
        <v>46057</v>
      </c>
      <c r="C1197">
        <f>IF(tbl_main[[#This Row],[Date]]="","",YEAR(B1197))</f>
        <v>2026</v>
      </c>
      <c r="D1197" t="str">
        <f>IF(tbl_main[[#This Row],[Date]]="","",TEXT(B1197,"mmm"))</f>
        <v>Feb</v>
      </c>
      <c r="E1197" t="str">
        <f>IF(tbl_main[[#This Row],[Date]]="","",TEXT(B1197,"DDD"))</f>
        <v>Wed</v>
      </c>
      <c r="F1197" t="s">
        <v>30</v>
      </c>
      <c r="G1197" t="s">
        <v>36</v>
      </c>
      <c r="H1197" s="3" t="s">
        <v>18</v>
      </c>
      <c r="I1197" s="3" t="s">
        <v>35</v>
      </c>
      <c r="J1197" s="3" t="s">
        <v>32</v>
      </c>
      <c r="K1197" s="3">
        <f>_xlfn.XLOOKUP(tbl_main[[#This Row],[Service]],tbl_service[Service],tbl_service[Price],"")</f>
        <v>500</v>
      </c>
      <c r="L1197" s="3">
        <v>2</v>
      </c>
      <c r="M1197" s="3">
        <f>IF(AND(tbl_main[[#This Row],[Price]]="",tbl_main[[#This Row],[Qty]]=""),"",tbl_main[[#This Row],[Price]]*tbl_main[[#This Row],[Qty]])</f>
        <v>1000</v>
      </c>
      <c r="N1197" s="3">
        <f>_xlfn.LET(_xlpm.x,_xlfn.XLOOKUP(tbl_main[[#This Row],[Service]],tbl_service[Service],tbl_service[Profit],""),
               IF(tbl_main[[#This Row],[Qty]]="","",_xlpm.x*tbl_main[[#This Row],[Qty]]))</f>
        <v>314</v>
      </c>
    </row>
    <row r="1198" spans="1:14" x14ac:dyDescent="0.25">
      <c r="A1198" t="s">
        <v>1240</v>
      </c>
      <c r="B1198" s="1">
        <v>46057</v>
      </c>
      <c r="C1198">
        <f>IF(tbl_main[[#This Row],[Date]]="","",YEAR(B1198))</f>
        <v>2026</v>
      </c>
      <c r="D1198" t="str">
        <f>IF(tbl_main[[#This Row],[Date]]="","",TEXT(B1198,"mmm"))</f>
        <v>Feb</v>
      </c>
      <c r="E1198" t="str">
        <f>IF(tbl_main[[#This Row],[Date]]="","",TEXT(B1198,"DDD"))</f>
        <v>Wed</v>
      </c>
      <c r="F1198" t="s">
        <v>30</v>
      </c>
      <c r="G1198" t="s">
        <v>36</v>
      </c>
      <c r="H1198" s="3" t="s">
        <v>15</v>
      </c>
      <c r="I1198" s="3" t="s">
        <v>35</v>
      </c>
      <c r="J1198" s="3" t="s">
        <v>17</v>
      </c>
      <c r="K1198" s="3">
        <f>_xlfn.XLOOKUP(tbl_main[[#This Row],[Service]],tbl_service[Service],tbl_service[Price],"")</f>
        <v>500</v>
      </c>
      <c r="L1198" s="3">
        <v>1</v>
      </c>
      <c r="M1198" s="3">
        <f>IF(AND(tbl_main[[#This Row],[Price]]="",tbl_main[[#This Row],[Qty]]=""),"",tbl_main[[#This Row],[Price]]*tbl_main[[#This Row],[Qty]])</f>
        <v>500</v>
      </c>
      <c r="N1198" s="3">
        <f>_xlfn.LET(_xlpm.x,_xlfn.XLOOKUP(tbl_main[[#This Row],[Service]],tbl_service[Service],tbl_service[Profit],""),
               IF(tbl_main[[#This Row],[Qty]]="","",_xlpm.x*tbl_main[[#This Row],[Qty]]))</f>
        <v>225</v>
      </c>
    </row>
    <row r="1199" spans="1:14" x14ac:dyDescent="0.25">
      <c r="A1199" t="s">
        <v>1241</v>
      </c>
      <c r="B1199" s="1">
        <v>46058</v>
      </c>
      <c r="C1199">
        <f>IF(tbl_main[[#This Row],[Date]]="","",YEAR(B1199))</f>
        <v>2026</v>
      </c>
      <c r="D1199" t="str">
        <f>IF(tbl_main[[#This Row],[Date]]="","",TEXT(B1199,"mmm"))</f>
        <v>Feb</v>
      </c>
      <c r="E1199" t="str">
        <f>IF(tbl_main[[#This Row],[Date]]="","",TEXT(B1199,"DDD"))</f>
        <v>Thu</v>
      </c>
      <c r="F1199" t="s">
        <v>13</v>
      </c>
      <c r="G1199" t="s">
        <v>33</v>
      </c>
      <c r="H1199" s="3" t="s">
        <v>26</v>
      </c>
      <c r="I1199" s="3" t="s">
        <v>23</v>
      </c>
      <c r="J1199" s="3" t="s">
        <v>25</v>
      </c>
      <c r="K1199" s="3">
        <f>_xlfn.XLOOKUP(tbl_main[[#This Row],[Service]],tbl_service[Service],tbl_service[Price],"")</f>
        <v>200</v>
      </c>
      <c r="L1199" s="3">
        <v>1</v>
      </c>
      <c r="M1199" s="3">
        <f>IF(AND(tbl_main[[#This Row],[Price]]="",tbl_main[[#This Row],[Qty]]=""),"",tbl_main[[#This Row],[Price]]*tbl_main[[#This Row],[Qty]])</f>
        <v>200</v>
      </c>
      <c r="N1199" s="3">
        <f>_xlfn.LET(_xlpm.x,_xlfn.XLOOKUP(tbl_main[[#This Row],[Service]],tbl_service[Service],tbl_service[Profit],""),
               IF(tbl_main[[#This Row],[Qty]]="","",_xlpm.x*tbl_main[[#This Row],[Qty]]))</f>
        <v>90</v>
      </c>
    </row>
    <row r="1200" spans="1:14" x14ac:dyDescent="0.25">
      <c r="A1200" t="s">
        <v>1242</v>
      </c>
      <c r="B1200" s="1">
        <v>46058</v>
      </c>
      <c r="C1200">
        <f>IF(tbl_main[[#This Row],[Date]]="","",YEAR(B1200))</f>
        <v>2026</v>
      </c>
      <c r="D1200" t="str">
        <f>IF(tbl_main[[#This Row],[Date]]="","",TEXT(B1200,"mmm"))</f>
        <v>Feb</v>
      </c>
      <c r="E1200" t="str">
        <f>IF(tbl_main[[#This Row],[Date]]="","",TEXT(B1200,"DDD"))</f>
        <v>Thu</v>
      </c>
      <c r="F1200" t="s">
        <v>27</v>
      </c>
      <c r="G1200" t="s">
        <v>28</v>
      </c>
      <c r="H1200" s="3" t="s">
        <v>34</v>
      </c>
      <c r="I1200" s="3" t="s">
        <v>37</v>
      </c>
      <c r="J1200" s="3" t="s">
        <v>25</v>
      </c>
      <c r="K1200" s="3">
        <f>_xlfn.XLOOKUP(tbl_main[[#This Row],[Service]],tbl_service[Service],tbl_service[Price],"")</f>
        <v>100</v>
      </c>
      <c r="L1200" s="3">
        <v>1</v>
      </c>
      <c r="M1200" s="3">
        <f>IF(AND(tbl_main[[#This Row],[Price]]="",tbl_main[[#This Row],[Qty]]=""),"",tbl_main[[#This Row],[Price]]*tbl_main[[#This Row],[Qty]])</f>
        <v>100</v>
      </c>
      <c r="N1200" s="3">
        <f>_xlfn.LET(_xlpm.x,_xlfn.XLOOKUP(tbl_main[[#This Row],[Service]],tbl_service[Service],tbl_service[Profit],""),
               IF(tbl_main[[#This Row],[Qty]]="","",_xlpm.x*tbl_main[[#This Row],[Qty]]))</f>
        <v>45</v>
      </c>
    </row>
    <row r="1201" spans="1:14" x14ac:dyDescent="0.25">
      <c r="A1201" t="s">
        <v>1243</v>
      </c>
      <c r="B1201" s="1">
        <v>46058</v>
      </c>
      <c r="C1201">
        <f>IF(tbl_main[[#This Row],[Date]]="","",YEAR(B1201))</f>
        <v>2026</v>
      </c>
      <c r="D1201" t="str">
        <f>IF(tbl_main[[#This Row],[Date]]="","",TEXT(B1201,"mmm"))</f>
        <v>Feb</v>
      </c>
      <c r="E1201" t="str">
        <f>IF(tbl_main[[#This Row],[Date]]="","",TEXT(B1201,"DDD"))</f>
        <v>Thu</v>
      </c>
      <c r="F1201" t="s">
        <v>20</v>
      </c>
      <c r="G1201" t="s">
        <v>29</v>
      </c>
      <c r="H1201" s="3" t="s">
        <v>34</v>
      </c>
      <c r="I1201" s="3" t="s">
        <v>38</v>
      </c>
      <c r="J1201" s="3" t="s">
        <v>25</v>
      </c>
      <c r="K1201" s="3">
        <f>_xlfn.XLOOKUP(tbl_main[[#This Row],[Service]],tbl_service[Service],tbl_service[Price],"")</f>
        <v>100</v>
      </c>
      <c r="L1201" s="3">
        <v>2</v>
      </c>
      <c r="M1201" s="3">
        <f>IF(AND(tbl_main[[#This Row],[Price]]="",tbl_main[[#This Row],[Qty]]=""),"",tbl_main[[#This Row],[Price]]*tbl_main[[#This Row],[Qty]])</f>
        <v>200</v>
      </c>
      <c r="N1201" s="3">
        <f>_xlfn.LET(_xlpm.x,_xlfn.XLOOKUP(tbl_main[[#This Row],[Service]],tbl_service[Service],tbl_service[Profit],""),
               IF(tbl_main[[#This Row],[Qty]]="","",_xlpm.x*tbl_main[[#This Row],[Qty]]))</f>
        <v>90</v>
      </c>
    </row>
    <row r="1202" spans="1:14" x14ac:dyDescent="0.25">
      <c r="A1202" t="s">
        <v>1244</v>
      </c>
      <c r="B1202" s="1">
        <v>46058</v>
      </c>
      <c r="C1202">
        <f>IF(tbl_main[[#This Row],[Date]]="","",YEAR(B1202))</f>
        <v>2026</v>
      </c>
      <c r="D1202" t="str">
        <f>IF(tbl_main[[#This Row],[Date]]="","",TEXT(B1202,"mmm"))</f>
        <v>Feb</v>
      </c>
      <c r="E1202" t="str">
        <f>IF(tbl_main[[#This Row],[Date]]="","",TEXT(B1202,"DDD"))</f>
        <v>Thu</v>
      </c>
      <c r="F1202" t="s">
        <v>27</v>
      </c>
      <c r="G1202" t="s">
        <v>40</v>
      </c>
      <c r="H1202" s="3" t="s">
        <v>34</v>
      </c>
      <c r="I1202" s="3" t="s">
        <v>16</v>
      </c>
      <c r="J1202" s="3" t="s">
        <v>25</v>
      </c>
      <c r="K1202" s="3">
        <f>_xlfn.XLOOKUP(tbl_main[[#This Row],[Service]],tbl_service[Service],tbl_service[Price],"")</f>
        <v>100</v>
      </c>
      <c r="L1202" s="3">
        <v>2</v>
      </c>
      <c r="M1202" s="3">
        <f>IF(AND(tbl_main[[#This Row],[Price]]="",tbl_main[[#This Row],[Qty]]=""),"",tbl_main[[#This Row],[Price]]*tbl_main[[#This Row],[Qty]])</f>
        <v>200</v>
      </c>
      <c r="N1202" s="3">
        <f>_xlfn.LET(_xlpm.x,_xlfn.XLOOKUP(tbl_main[[#This Row],[Service]],tbl_service[Service],tbl_service[Profit],""),
               IF(tbl_main[[#This Row],[Qty]]="","",_xlpm.x*tbl_main[[#This Row],[Qty]]))</f>
        <v>90</v>
      </c>
    </row>
    <row r="1203" spans="1:14" x14ac:dyDescent="0.25">
      <c r="A1203" t="s">
        <v>1245</v>
      </c>
      <c r="B1203" s="1">
        <v>46059</v>
      </c>
      <c r="C1203">
        <f>IF(tbl_main[[#This Row],[Date]]="","",YEAR(B1203))</f>
        <v>2026</v>
      </c>
      <c r="D1203" t="str">
        <f>IF(tbl_main[[#This Row],[Date]]="","",TEXT(B1203,"mmm"))</f>
        <v>Feb</v>
      </c>
      <c r="E1203" t="str">
        <f>IF(tbl_main[[#This Row],[Date]]="","",TEXT(B1203,"DDD"))</f>
        <v>Fri</v>
      </c>
      <c r="F1203" t="s">
        <v>30</v>
      </c>
      <c r="G1203" t="s">
        <v>31</v>
      </c>
      <c r="H1203" s="3" t="s">
        <v>18</v>
      </c>
      <c r="I1203" s="3" t="s">
        <v>19</v>
      </c>
      <c r="J1203" s="3" t="s">
        <v>32</v>
      </c>
      <c r="K1203" s="3">
        <f>_xlfn.XLOOKUP(tbl_main[[#This Row],[Service]],tbl_service[Service],tbl_service[Price],"")</f>
        <v>500</v>
      </c>
      <c r="L1203" s="3">
        <v>2</v>
      </c>
      <c r="M1203" s="3">
        <f>IF(AND(tbl_main[[#This Row],[Price]]="",tbl_main[[#This Row],[Qty]]=""),"",tbl_main[[#This Row],[Price]]*tbl_main[[#This Row],[Qty]])</f>
        <v>1000</v>
      </c>
      <c r="N1203" s="3">
        <f>_xlfn.LET(_xlpm.x,_xlfn.XLOOKUP(tbl_main[[#This Row],[Service]],tbl_service[Service],tbl_service[Profit],""),
               IF(tbl_main[[#This Row],[Qty]]="","",_xlpm.x*tbl_main[[#This Row],[Qty]]))</f>
        <v>314</v>
      </c>
    </row>
    <row r="1204" spans="1:14" x14ac:dyDescent="0.25">
      <c r="A1204" t="s">
        <v>1246</v>
      </c>
      <c r="B1204" s="1">
        <v>46059</v>
      </c>
      <c r="C1204">
        <f>IF(tbl_main[[#This Row],[Date]]="","",YEAR(B1204))</f>
        <v>2026</v>
      </c>
      <c r="D1204" t="str">
        <f>IF(tbl_main[[#This Row],[Date]]="","",TEXT(B1204,"mmm"))</f>
        <v>Feb</v>
      </c>
      <c r="E1204" t="str">
        <f>IF(tbl_main[[#This Row],[Date]]="","",TEXT(B1204,"DDD"))</f>
        <v>Fri</v>
      </c>
      <c r="F1204" t="s">
        <v>27</v>
      </c>
      <c r="G1204" t="s">
        <v>28</v>
      </c>
      <c r="H1204" s="3" t="s">
        <v>18</v>
      </c>
      <c r="I1204" s="3" t="s">
        <v>43</v>
      </c>
      <c r="J1204" s="3" t="s">
        <v>25</v>
      </c>
      <c r="K1204" s="3">
        <f>_xlfn.XLOOKUP(tbl_main[[#This Row],[Service]],tbl_service[Service],tbl_service[Price],"")</f>
        <v>500</v>
      </c>
      <c r="L1204" s="3">
        <v>2</v>
      </c>
      <c r="M1204" s="3">
        <f>IF(AND(tbl_main[[#This Row],[Price]]="",tbl_main[[#This Row],[Qty]]=""),"",tbl_main[[#This Row],[Price]]*tbl_main[[#This Row],[Qty]])</f>
        <v>1000</v>
      </c>
      <c r="N1204" s="3">
        <f>_xlfn.LET(_xlpm.x,_xlfn.XLOOKUP(tbl_main[[#This Row],[Service]],tbl_service[Service],tbl_service[Profit],""),
               IF(tbl_main[[#This Row],[Qty]]="","",_xlpm.x*tbl_main[[#This Row],[Qty]]))</f>
        <v>314</v>
      </c>
    </row>
    <row r="1205" spans="1:14" x14ac:dyDescent="0.25">
      <c r="A1205" t="s">
        <v>1247</v>
      </c>
      <c r="B1205" s="1">
        <v>46059</v>
      </c>
      <c r="C1205">
        <f>IF(tbl_main[[#This Row],[Date]]="","",YEAR(B1205))</f>
        <v>2026</v>
      </c>
      <c r="D1205" t="str">
        <f>IF(tbl_main[[#This Row],[Date]]="","",TEXT(B1205,"mmm"))</f>
        <v>Feb</v>
      </c>
      <c r="E1205" t="str">
        <f>IF(tbl_main[[#This Row],[Date]]="","",TEXT(B1205,"DDD"))</f>
        <v>Fri</v>
      </c>
      <c r="F1205" t="s">
        <v>30</v>
      </c>
      <c r="G1205" t="s">
        <v>31</v>
      </c>
      <c r="H1205" s="3" t="s">
        <v>18</v>
      </c>
      <c r="I1205" s="3" t="s">
        <v>41</v>
      </c>
      <c r="J1205" s="3" t="s">
        <v>25</v>
      </c>
      <c r="K1205" s="3">
        <f>_xlfn.XLOOKUP(tbl_main[[#This Row],[Service]],tbl_service[Service],tbl_service[Price],"")</f>
        <v>500</v>
      </c>
      <c r="L1205" s="3">
        <v>2</v>
      </c>
      <c r="M1205" s="3">
        <f>IF(AND(tbl_main[[#This Row],[Price]]="",tbl_main[[#This Row],[Qty]]=""),"",tbl_main[[#This Row],[Price]]*tbl_main[[#This Row],[Qty]])</f>
        <v>1000</v>
      </c>
      <c r="N1205" s="3">
        <f>_xlfn.LET(_xlpm.x,_xlfn.XLOOKUP(tbl_main[[#This Row],[Service]],tbl_service[Service],tbl_service[Profit],""),
               IF(tbl_main[[#This Row],[Qty]]="","",_xlpm.x*tbl_main[[#This Row],[Qty]]))</f>
        <v>314</v>
      </c>
    </row>
    <row r="1206" spans="1:14" x14ac:dyDescent="0.25">
      <c r="A1206" t="s">
        <v>1248</v>
      </c>
      <c r="B1206" s="1">
        <v>46060</v>
      </c>
      <c r="C1206">
        <f>IF(tbl_main[[#This Row],[Date]]="","",YEAR(B1206))</f>
        <v>2026</v>
      </c>
      <c r="D1206" t="str">
        <f>IF(tbl_main[[#This Row],[Date]]="","",TEXT(B1206,"mmm"))</f>
        <v>Feb</v>
      </c>
      <c r="E1206" t="str">
        <f>IF(tbl_main[[#This Row],[Date]]="","",TEXT(B1206,"DDD"))</f>
        <v>Sat</v>
      </c>
      <c r="F1206" t="s">
        <v>20</v>
      </c>
      <c r="G1206" t="s">
        <v>29</v>
      </c>
      <c r="H1206" s="3" t="s">
        <v>34</v>
      </c>
      <c r="I1206" s="3" t="s">
        <v>41</v>
      </c>
      <c r="J1206" s="3" t="s">
        <v>32</v>
      </c>
      <c r="K1206" s="3">
        <f>_xlfn.XLOOKUP(tbl_main[[#This Row],[Service]],tbl_service[Service],tbl_service[Price],"")</f>
        <v>100</v>
      </c>
      <c r="L1206" s="3">
        <v>2</v>
      </c>
      <c r="M1206" s="3">
        <f>IF(AND(tbl_main[[#This Row],[Price]]="",tbl_main[[#This Row],[Qty]]=""),"",tbl_main[[#This Row],[Price]]*tbl_main[[#This Row],[Qty]])</f>
        <v>200</v>
      </c>
      <c r="N1206" s="3">
        <f>_xlfn.LET(_xlpm.x,_xlfn.XLOOKUP(tbl_main[[#This Row],[Service]],tbl_service[Service],tbl_service[Profit],""),
               IF(tbl_main[[#This Row],[Qty]]="","",_xlpm.x*tbl_main[[#This Row],[Qty]]))</f>
        <v>90</v>
      </c>
    </row>
    <row r="1207" spans="1:14" x14ac:dyDescent="0.25">
      <c r="A1207" t="s">
        <v>1249</v>
      </c>
      <c r="B1207" s="1">
        <v>46060</v>
      </c>
      <c r="C1207">
        <f>IF(tbl_main[[#This Row],[Date]]="","",YEAR(B1207))</f>
        <v>2026</v>
      </c>
      <c r="D1207" t="str">
        <f>IF(tbl_main[[#This Row],[Date]]="","",TEXT(B1207,"mmm"))</f>
        <v>Feb</v>
      </c>
      <c r="E1207" t="str">
        <f>IF(tbl_main[[#This Row],[Date]]="","",TEXT(B1207,"DDD"))</f>
        <v>Sat</v>
      </c>
      <c r="F1207" t="s">
        <v>30</v>
      </c>
      <c r="G1207" t="s">
        <v>31</v>
      </c>
      <c r="H1207" s="3" t="s">
        <v>18</v>
      </c>
      <c r="I1207" s="3" t="s">
        <v>35</v>
      </c>
      <c r="J1207" s="3" t="s">
        <v>17</v>
      </c>
      <c r="K1207" s="3">
        <f>_xlfn.XLOOKUP(tbl_main[[#This Row],[Service]],tbl_service[Service],tbl_service[Price],"")</f>
        <v>500</v>
      </c>
      <c r="L1207" s="3">
        <v>1</v>
      </c>
      <c r="M1207" s="3">
        <f>IF(AND(tbl_main[[#This Row],[Price]]="",tbl_main[[#This Row],[Qty]]=""),"",tbl_main[[#This Row],[Price]]*tbl_main[[#This Row],[Qty]])</f>
        <v>500</v>
      </c>
      <c r="N1207" s="3">
        <f>_xlfn.LET(_xlpm.x,_xlfn.XLOOKUP(tbl_main[[#This Row],[Service]],tbl_service[Service],tbl_service[Profit],""),
               IF(tbl_main[[#This Row],[Qty]]="","",_xlpm.x*tbl_main[[#This Row],[Qty]]))</f>
        <v>157</v>
      </c>
    </row>
    <row r="1208" spans="1:14" x14ac:dyDescent="0.25">
      <c r="A1208" t="s">
        <v>1250</v>
      </c>
      <c r="B1208" s="1">
        <v>46060</v>
      </c>
      <c r="C1208">
        <f>IF(tbl_main[[#This Row],[Date]]="","",YEAR(B1208))</f>
        <v>2026</v>
      </c>
      <c r="D1208" t="str">
        <f>IF(tbl_main[[#This Row],[Date]]="","",TEXT(B1208,"mmm"))</f>
        <v>Feb</v>
      </c>
      <c r="E1208" t="str">
        <f>IF(tbl_main[[#This Row],[Date]]="","",TEXT(B1208,"DDD"))</f>
        <v>Sat</v>
      </c>
      <c r="F1208" t="s">
        <v>30</v>
      </c>
      <c r="G1208" t="s">
        <v>31</v>
      </c>
      <c r="H1208" s="3" t="s">
        <v>22</v>
      </c>
      <c r="I1208" s="3" t="s">
        <v>35</v>
      </c>
      <c r="J1208" s="3" t="s">
        <v>32</v>
      </c>
      <c r="K1208" s="3">
        <f>_xlfn.XLOOKUP(tbl_main[[#This Row],[Service]],tbl_service[Service],tbl_service[Price],"")</f>
        <v>150</v>
      </c>
      <c r="L1208" s="3">
        <v>2</v>
      </c>
      <c r="M1208" s="3">
        <f>IF(AND(tbl_main[[#This Row],[Price]]="",tbl_main[[#This Row],[Qty]]=""),"",tbl_main[[#This Row],[Price]]*tbl_main[[#This Row],[Qty]])</f>
        <v>300</v>
      </c>
      <c r="N1208" s="3">
        <f>_xlfn.LET(_xlpm.x,_xlfn.XLOOKUP(tbl_main[[#This Row],[Service]],tbl_service[Service],tbl_service[Profit],""),
               IF(tbl_main[[#This Row],[Qty]]="","",_xlpm.x*tbl_main[[#This Row],[Qty]]))</f>
        <v>134</v>
      </c>
    </row>
    <row r="1209" spans="1:14" x14ac:dyDescent="0.25">
      <c r="A1209" t="s">
        <v>1251</v>
      </c>
      <c r="B1209" s="1">
        <v>46061</v>
      </c>
      <c r="C1209">
        <f>IF(tbl_main[[#This Row],[Date]]="","",YEAR(B1209))</f>
        <v>2026</v>
      </c>
      <c r="D1209" t="str">
        <f>IF(tbl_main[[#This Row],[Date]]="","",TEXT(B1209,"mmm"))</f>
        <v>Feb</v>
      </c>
      <c r="E1209" t="str">
        <f>IF(tbl_main[[#This Row],[Date]]="","",TEXT(B1209,"DDD"))</f>
        <v>Sun</v>
      </c>
      <c r="F1209" t="s">
        <v>20</v>
      </c>
      <c r="G1209" t="s">
        <v>21</v>
      </c>
      <c r="H1209" s="3" t="s">
        <v>15</v>
      </c>
      <c r="I1209" s="3" t="s">
        <v>23</v>
      </c>
      <c r="J1209" s="3" t="s">
        <v>32</v>
      </c>
      <c r="K1209" s="3">
        <f>_xlfn.XLOOKUP(tbl_main[[#This Row],[Service]],tbl_service[Service],tbl_service[Price],"")</f>
        <v>500</v>
      </c>
      <c r="L1209" s="3">
        <v>1</v>
      </c>
      <c r="M1209" s="3">
        <f>IF(AND(tbl_main[[#This Row],[Price]]="",tbl_main[[#This Row],[Qty]]=""),"",tbl_main[[#This Row],[Price]]*tbl_main[[#This Row],[Qty]])</f>
        <v>500</v>
      </c>
      <c r="N1209" s="3">
        <f>_xlfn.LET(_xlpm.x,_xlfn.XLOOKUP(tbl_main[[#This Row],[Service]],tbl_service[Service],tbl_service[Profit],""),
               IF(tbl_main[[#This Row],[Qty]]="","",_xlpm.x*tbl_main[[#This Row],[Qty]]))</f>
        <v>225</v>
      </c>
    </row>
    <row r="1210" spans="1:14" x14ac:dyDescent="0.25">
      <c r="A1210" t="s">
        <v>1252</v>
      </c>
      <c r="B1210" s="1">
        <v>46061</v>
      </c>
      <c r="C1210">
        <f>IF(tbl_main[[#This Row],[Date]]="","",YEAR(B1210))</f>
        <v>2026</v>
      </c>
      <c r="D1210" t="str">
        <f>IF(tbl_main[[#This Row],[Date]]="","",TEXT(B1210,"mmm"))</f>
        <v>Feb</v>
      </c>
      <c r="E1210" t="str">
        <f>IF(tbl_main[[#This Row],[Date]]="","",TEXT(B1210,"DDD"))</f>
        <v>Sun</v>
      </c>
      <c r="F1210" t="s">
        <v>30</v>
      </c>
      <c r="G1210" t="s">
        <v>31</v>
      </c>
      <c r="H1210" s="3" t="s">
        <v>34</v>
      </c>
      <c r="I1210" s="3" t="s">
        <v>37</v>
      </c>
      <c r="J1210" s="3" t="s">
        <v>17</v>
      </c>
      <c r="K1210" s="3">
        <f>_xlfn.XLOOKUP(tbl_main[[#This Row],[Service]],tbl_service[Service],tbl_service[Price],"")</f>
        <v>100</v>
      </c>
      <c r="L1210" s="3">
        <v>2</v>
      </c>
      <c r="M1210" s="3">
        <f>IF(AND(tbl_main[[#This Row],[Price]]="",tbl_main[[#This Row],[Qty]]=""),"",tbl_main[[#This Row],[Price]]*tbl_main[[#This Row],[Qty]])</f>
        <v>200</v>
      </c>
      <c r="N1210" s="3">
        <f>_xlfn.LET(_xlpm.x,_xlfn.XLOOKUP(tbl_main[[#This Row],[Service]],tbl_service[Service],tbl_service[Profit],""),
               IF(tbl_main[[#This Row],[Qty]]="","",_xlpm.x*tbl_main[[#This Row],[Qty]]))</f>
        <v>90</v>
      </c>
    </row>
    <row r="1211" spans="1:14" x14ac:dyDescent="0.25">
      <c r="A1211" t="s">
        <v>1253</v>
      </c>
      <c r="B1211" s="1">
        <v>46061</v>
      </c>
      <c r="C1211">
        <f>IF(tbl_main[[#This Row],[Date]]="","",YEAR(B1211))</f>
        <v>2026</v>
      </c>
      <c r="D1211" t="str">
        <f>IF(tbl_main[[#This Row],[Date]]="","",TEXT(B1211,"mmm"))</f>
        <v>Feb</v>
      </c>
      <c r="E1211" t="str">
        <f>IF(tbl_main[[#This Row],[Date]]="","",TEXT(B1211,"DDD"))</f>
        <v>Sun</v>
      </c>
      <c r="F1211" t="s">
        <v>20</v>
      </c>
      <c r="G1211" t="s">
        <v>29</v>
      </c>
      <c r="H1211" s="3" t="s">
        <v>18</v>
      </c>
      <c r="I1211" s="3" t="s">
        <v>38</v>
      </c>
      <c r="J1211" s="3" t="s">
        <v>32</v>
      </c>
      <c r="K1211" s="3">
        <f>_xlfn.XLOOKUP(tbl_main[[#This Row],[Service]],tbl_service[Service],tbl_service[Price],"")</f>
        <v>500</v>
      </c>
      <c r="L1211" s="3">
        <v>2</v>
      </c>
      <c r="M1211" s="3">
        <f>IF(AND(tbl_main[[#This Row],[Price]]="",tbl_main[[#This Row],[Qty]]=""),"",tbl_main[[#This Row],[Price]]*tbl_main[[#This Row],[Qty]])</f>
        <v>1000</v>
      </c>
      <c r="N1211" s="3">
        <f>_xlfn.LET(_xlpm.x,_xlfn.XLOOKUP(tbl_main[[#This Row],[Service]],tbl_service[Service],tbl_service[Profit],""),
               IF(tbl_main[[#This Row],[Qty]]="","",_xlpm.x*tbl_main[[#This Row],[Qty]]))</f>
        <v>314</v>
      </c>
    </row>
    <row r="1212" spans="1:14" x14ac:dyDescent="0.25">
      <c r="A1212" t="s">
        <v>1254</v>
      </c>
      <c r="B1212" s="1">
        <v>46062</v>
      </c>
      <c r="C1212">
        <f>IF(tbl_main[[#This Row],[Date]]="","",YEAR(B1212))</f>
        <v>2026</v>
      </c>
      <c r="D1212" t="str">
        <f>IF(tbl_main[[#This Row],[Date]]="","",TEXT(B1212,"mmm"))</f>
        <v>Feb</v>
      </c>
      <c r="E1212" t="str">
        <f>IF(tbl_main[[#This Row],[Date]]="","",TEXT(B1212,"DDD"))</f>
        <v>Mon</v>
      </c>
      <c r="F1212" t="s">
        <v>30</v>
      </c>
      <c r="G1212" t="s">
        <v>31</v>
      </c>
      <c r="H1212" s="3" t="s">
        <v>18</v>
      </c>
      <c r="I1212" s="3" t="s">
        <v>16</v>
      </c>
      <c r="J1212" s="3" t="s">
        <v>25</v>
      </c>
      <c r="K1212" s="3">
        <f>_xlfn.XLOOKUP(tbl_main[[#This Row],[Service]],tbl_service[Service],tbl_service[Price],"")</f>
        <v>500</v>
      </c>
      <c r="L1212" s="3">
        <v>2</v>
      </c>
      <c r="M1212" s="3">
        <f>IF(AND(tbl_main[[#This Row],[Price]]="",tbl_main[[#This Row],[Qty]]=""),"",tbl_main[[#This Row],[Price]]*tbl_main[[#This Row],[Qty]])</f>
        <v>1000</v>
      </c>
      <c r="N1212" s="3">
        <f>_xlfn.LET(_xlpm.x,_xlfn.XLOOKUP(tbl_main[[#This Row],[Service]],tbl_service[Service],tbl_service[Profit],""),
               IF(tbl_main[[#This Row],[Qty]]="","",_xlpm.x*tbl_main[[#This Row],[Qty]]))</f>
        <v>314</v>
      </c>
    </row>
    <row r="1213" spans="1:14" x14ac:dyDescent="0.25">
      <c r="A1213" t="s">
        <v>1255</v>
      </c>
      <c r="B1213" s="1">
        <v>46062</v>
      </c>
      <c r="C1213">
        <f>IF(tbl_main[[#This Row],[Date]]="","",YEAR(B1213))</f>
        <v>2026</v>
      </c>
      <c r="D1213" t="str">
        <f>IF(tbl_main[[#This Row],[Date]]="","",TEXT(B1213,"mmm"))</f>
        <v>Feb</v>
      </c>
      <c r="E1213" t="str">
        <f>IF(tbl_main[[#This Row],[Date]]="","",TEXT(B1213,"DDD"))</f>
        <v>Mon</v>
      </c>
      <c r="F1213" t="s">
        <v>30</v>
      </c>
      <c r="G1213" t="s">
        <v>36</v>
      </c>
      <c r="H1213" s="3" t="s">
        <v>15</v>
      </c>
      <c r="I1213" s="3" t="s">
        <v>19</v>
      </c>
      <c r="J1213" s="3" t="s">
        <v>32</v>
      </c>
      <c r="K1213" s="3">
        <f>_xlfn.XLOOKUP(tbl_main[[#This Row],[Service]],tbl_service[Service],tbl_service[Price],"")</f>
        <v>500</v>
      </c>
      <c r="L1213" s="3">
        <v>1</v>
      </c>
      <c r="M1213" s="3">
        <f>IF(AND(tbl_main[[#This Row],[Price]]="",tbl_main[[#This Row],[Qty]]=""),"",tbl_main[[#This Row],[Price]]*tbl_main[[#This Row],[Qty]])</f>
        <v>500</v>
      </c>
      <c r="N1213" s="3">
        <f>_xlfn.LET(_xlpm.x,_xlfn.XLOOKUP(tbl_main[[#This Row],[Service]],tbl_service[Service],tbl_service[Profit],""),
               IF(tbl_main[[#This Row],[Qty]]="","",_xlpm.x*tbl_main[[#This Row],[Qty]]))</f>
        <v>225</v>
      </c>
    </row>
    <row r="1214" spans="1:14" x14ac:dyDescent="0.25">
      <c r="A1214" t="s">
        <v>1256</v>
      </c>
      <c r="B1214" s="1">
        <v>46062</v>
      </c>
      <c r="C1214">
        <f>IF(tbl_main[[#This Row],[Date]]="","",YEAR(B1214))</f>
        <v>2026</v>
      </c>
      <c r="D1214" t="str">
        <f>IF(tbl_main[[#This Row],[Date]]="","",TEXT(B1214,"mmm"))</f>
        <v>Feb</v>
      </c>
      <c r="E1214" t="str">
        <f>IF(tbl_main[[#This Row],[Date]]="","",TEXT(B1214,"DDD"))</f>
        <v>Mon</v>
      </c>
      <c r="F1214" t="s">
        <v>20</v>
      </c>
      <c r="G1214" t="s">
        <v>21</v>
      </c>
      <c r="H1214" s="3" t="s">
        <v>22</v>
      </c>
      <c r="I1214" s="3" t="s">
        <v>43</v>
      </c>
      <c r="J1214" s="3" t="s">
        <v>25</v>
      </c>
      <c r="K1214" s="3">
        <f>_xlfn.XLOOKUP(tbl_main[[#This Row],[Service]],tbl_service[Service],tbl_service[Price],"")</f>
        <v>150</v>
      </c>
      <c r="L1214" s="3">
        <v>2</v>
      </c>
      <c r="M1214" s="3">
        <f>IF(AND(tbl_main[[#This Row],[Price]]="",tbl_main[[#This Row],[Qty]]=""),"",tbl_main[[#This Row],[Price]]*tbl_main[[#This Row],[Qty]])</f>
        <v>300</v>
      </c>
      <c r="N1214" s="3">
        <f>_xlfn.LET(_xlpm.x,_xlfn.XLOOKUP(tbl_main[[#This Row],[Service]],tbl_service[Service],tbl_service[Profit],""),
               IF(tbl_main[[#This Row],[Qty]]="","",_xlpm.x*tbl_main[[#This Row],[Qty]]))</f>
        <v>134</v>
      </c>
    </row>
    <row r="1215" spans="1:14" x14ac:dyDescent="0.25">
      <c r="A1215" t="s">
        <v>1257</v>
      </c>
      <c r="B1215" s="1">
        <v>46063</v>
      </c>
      <c r="C1215">
        <f>IF(tbl_main[[#This Row],[Date]]="","",YEAR(B1215))</f>
        <v>2026</v>
      </c>
      <c r="D1215" t="str">
        <f>IF(tbl_main[[#This Row],[Date]]="","",TEXT(B1215,"mmm"))</f>
        <v>Feb</v>
      </c>
      <c r="E1215" t="str">
        <f>IF(tbl_main[[#This Row],[Date]]="","",TEXT(B1215,"DDD"))</f>
        <v>Tue</v>
      </c>
      <c r="F1215" t="s">
        <v>27</v>
      </c>
      <c r="G1215" t="s">
        <v>28</v>
      </c>
      <c r="H1215" s="3" t="s">
        <v>26</v>
      </c>
      <c r="I1215" s="3" t="s">
        <v>41</v>
      </c>
      <c r="J1215" s="3" t="s">
        <v>25</v>
      </c>
      <c r="K1215" s="3">
        <f>_xlfn.XLOOKUP(tbl_main[[#This Row],[Service]],tbl_service[Service],tbl_service[Price],"")</f>
        <v>200</v>
      </c>
      <c r="L1215" s="3">
        <v>1</v>
      </c>
      <c r="M1215" s="3">
        <f>IF(AND(tbl_main[[#This Row],[Price]]="",tbl_main[[#This Row],[Qty]]=""),"",tbl_main[[#This Row],[Price]]*tbl_main[[#This Row],[Qty]])</f>
        <v>200</v>
      </c>
      <c r="N1215" s="3">
        <f>_xlfn.LET(_xlpm.x,_xlfn.XLOOKUP(tbl_main[[#This Row],[Service]],tbl_service[Service],tbl_service[Profit],""),
               IF(tbl_main[[#This Row],[Qty]]="","",_xlpm.x*tbl_main[[#This Row],[Qty]]))</f>
        <v>90</v>
      </c>
    </row>
    <row r="1216" spans="1:14" x14ac:dyDescent="0.25">
      <c r="A1216" t="s">
        <v>1258</v>
      </c>
      <c r="B1216" s="1">
        <v>46063</v>
      </c>
      <c r="C1216">
        <f>IF(tbl_main[[#This Row],[Date]]="","",YEAR(B1216))</f>
        <v>2026</v>
      </c>
      <c r="D1216" t="str">
        <f>IF(tbl_main[[#This Row],[Date]]="","",TEXT(B1216,"mmm"))</f>
        <v>Feb</v>
      </c>
      <c r="E1216" t="str">
        <f>IF(tbl_main[[#This Row],[Date]]="","",TEXT(B1216,"DDD"))</f>
        <v>Tue</v>
      </c>
      <c r="F1216" t="s">
        <v>13</v>
      </c>
      <c r="G1216" t="s">
        <v>33</v>
      </c>
      <c r="H1216" s="3" t="s">
        <v>26</v>
      </c>
      <c r="I1216" s="3" t="s">
        <v>41</v>
      </c>
      <c r="J1216" s="3" t="s">
        <v>17</v>
      </c>
      <c r="K1216" s="3">
        <f>_xlfn.XLOOKUP(tbl_main[[#This Row],[Service]],tbl_service[Service],tbl_service[Price],"")</f>
        <v>200</v>
      </c>
      <c r="L1216" s="3">
        <v>1</v>
      </c>
      <c r="M1216" s="3">
        <f>IF(AND(tbl_main[[#This Row],[Price]]="",tbl_main[[#This Row],[Qty]]=""),"",tbl_main[[#This Row],[Price]]*tbl_main[[#This Row],[Qty]])</f>
        <v>200</v>
      </c>
      <c r="N1216" s="3">
        <f>_xlfn.LET(_xlpm.x,_xlfn.XLOOKUP(tbl_main[[#This Row],[Service]],tbl_service[Service],tbl_service[Profit],""),
               IF(tbl_main[[#This Row],[Qty]]="","",_xlpm.x*tbl_main[[#This Row],[Qty]]))</f>
        <v>90</v>
      </c>
    </row>
    <row r="1217" spans="1:14" x14ac:dyDescent="0.25">
      <c r="A1217" t="s">
        <v>1259</v>
      </c>
      <c r="B1217" s="1">
        <v>46063</v>
      </c>
      <c r="C1217">
        <f>IF(tbl_main[[#This Row],[Date]]="","",YEAR(B1217))</f>
        <v>2026</v>
      </c>
      <c r="D1217" t="str">
        <f>IF(tbl_main[[#This Row],[Date]]="","",TEXT(B1217,"mmm"))</f>
        <v>Feb</v>
      </c>
      <c r="E1217" t="str">
        <f>IF(tbl_main[[#This Row],[Date]]="","",TEXT(B1217,"DDD"))</f>
        <v>Tue</v>
      </c>
      <c r="F1217" t="s">
        <v>27</v>
      </c>
      <c r="G1217" t="s">
        <v>40</v>
      </c>
      <c r="H1217" s="3" t="s">
        <v>34</v>
      </c>
      <c r="I1217" s="3" t="s">
        <v>35</v>
      </c>
      <c r="J1217" s="3" t="s">
        <v>32</v>
      </c>
      <c r="K1217" s="3">
        <f>_xlfn.XLOOKUP(tbl_main[[#This Row],[Service]],tbl_service[Service],tbl_service[Price],"")</f>
        <v>100</v>
      </c>
      <c r="L1217" s="3">
        <v>2</v>
      </c>
      <c r="M1217" s="3">
        <f>IF(AND(tbl_main[[#This Row],[Price]]="",tbl_main[[#This Row],[Qty]]=""),"",tbl_main[[#This Row],[Price]]*tbl_main[[#This Row],[Qty]])</f>
        <v>200</v>
      </c>
      <c r="N1217" s="3">
        <f>_xlfn.LET(_xlpm.x,_xlfn.XLOOKUP(tbl_main[[#This Row],[Service]],tbl_service[Service],tbl_service[Profit],""),
               IF(tbl_main[[#This Row],[Qty]]="","",_xlpm.x*tbl_main[[#This Row],[Qty]]))</f>
        <v>90</v>
      </c>
    </row>
    <row r="1218" spans="1:14" x14ac:dyDescent="0.25">
      <c r="A1218" t="s">
        <v>1260</v>
      </c>
      <c r="B1218" s="1">
        <v>46064</v>
      </c>
      <c r="C1218">
        <f>IF(tbl_main[[#This Row],[Date]]="","",YEAR(B1218))</f>
        <v>2026</v>
      </c>
      <c r="D1218" t="str">
        <f>IF(tbl_main[[#This Row],[Date]]="","",TEXT(B1218,"mmm"))</f>
        <v>Feb</v>
      </c>
      <c r="E1218" t="str">
        <f>IF(tbl_main[[#This Row],[Date]]="","",TEXT(B1218,"DDD"))</f>
        <v>Wed</v>
      </c>
      <c r="F1218" t="s">
        <v>20</v>
      </c>
      <c r="G1218" t="s">
        <v>29</v>
      </c>
      <c r="H1218" s="3" t="s">
        <v>18</v>
      </c>
      <c r="I1218" s="3" t="s">
        <v>35</v>
      </c>
      <c r="J1218" s="3" t="s">
        <v>25</v>
      </c>
      <c r="K1218" s="3">
        <f>_xlfn.XLOOKUP(tbl_main[[#This Row],[Service]],tbl_service[Service],tbl_service[Price],"")</f>
        <v>500</v>
      </c>
      <c r="L1218" s="3">
        <v>1</v>
      </c>
      <c r="M1218" s="3">
        <f>IF(AND(tbl_main[[#This Row],[Price]]="",tbl_main[[#This Row],[Qty]]=""),"",tbl_main[[#This Row],[Price]]*tbl_main[[#This Row],[Qty]])</f>
        <v>500</v>
      </c>
      <c r="N1218" s="3">
        <f>_xlfn.LET(_xlpm.x,_xlfn.XLOOKUP(tbl_main[[#This Row],[Service]],tbl_service[Service],tbl_service[Profit],""),
               IF(tbl_main[[#This Row],[Qty]]="","",_xlpm.x*tbl_main[[#This Row],[Qty]]))</f>
        <v>157</v>
      </c>
    </row>
    <row r="1219" spans="1:14" x14ac:dyDescent="0.25">
      <c r="A1219" t="s">
        <v>1261</v>
      </c>
      <c r="B1219" s="1">
        <v>46064</v>
      </c>
      <c r="C1219">
        <f>IF(tbl_main[[#This Row],[Date]]="","",YEAR(B1219))</f>
        <v>2026</v>
      </c>
      <c r="D1219" t="str">
        <f>IF(tbl_main[[#This Row],[Date]]="","",TEXT(B1219,"mmm"))</f>
        <v>Feb</v>
      </c>
      <c r="E1219" t="str">
        <f>IF(tbl_main[[#This Row],[Date]]="","",TEXT(B1219,"DDD"))</f>
        <v>Wed</v>
      </c>
      <c r="F1219" t="s">
        <v>13</v>
      </c>
      <c r="G1219" t="s">
        <v>33</v>
      </c>
      <c r="H1219" s="3" t="s">
        <v>22</v>
      </c>
      <c r="I1219" s="3" t="s">
        <v>23</v>
      </c>
      <c r="J1219" s="3" t="s">
        <v>32</v>
      </c>
      <c r="K1219" s="3">
        <f>_xlfn.XLOOKUP(tbl_main[[#This Row],[Service]],tbl_service[Service],tbl_service[Price],"")</f>
        <v>150</v>
      </c>
      <c r="L1219" s="3">
        <v>2</v>
      </c>
      <c r="M1219" s="3">
        <f>IF(AND(tbl_main[[#This Row],[Price]]="",tbl_main[[#This Row],[Qty]]=""),"",tbl_main[[#This Row],[Price]]*tbl_main[[#This Row],[Qty]])</f>
        <v>300</v>
      </c>
      <c r="N1219" s="3">
        <f>_xlfn.LET(_xlpm.x,_xlfn.XLOOKUP(tbl_main[[#This Row],[Service]],tbl_service[Service],tbl_service[Profit],""),
               IF(tbl_main[[#This Row],[Qty]]="","",_xlpm.x*tbl_main[[#This Row],[Qty]]))</f>
        <v>134</v>
      </c>
    </row>
    <row r="1220" spans="1:14" x14ac:dyDescent="0.25">
      <c r="A1220" t="s">
        <v>1262</v>
      </c>
      <c r="B1220" s="1">
        <v>46064</v>
      </c>
      <c r="C1220">
        <f>IF(tbl_main[[#This Row],[Date]]="","",YEAR(B1220))</f>
        <v>2026</v>
      </c>
      <c r="D1220" t="str">
        <f>IF(tbl_main[[#This Row],[Date]]="","",TEXT(B1220,"mmm"))</f>
        <v>Feb</v>
      </c>
      <c r="E1220" t="str">
        <f>IF(tbl_main[[#This Row],[Date]]="","",TEXT(B1220,"DDD"))</f>
        <v>Wed</v>
      </c>
      <c r="F1220" t="s">
        <v>13</v>
      </c>
      <c r="G1220" t="s">
        <v>33</v>
      </c>
      <c r="H1220" s="3" t="s">
        <v>22</v>
      </c>
      <c r="I1220" s="3" t="s">
        <v>37</v>
      </c>
      <c r="J1220" s="3" t="s">
        <v>25</v>
      </c>
      <c r="K1220" s="3">
        <f>_xlfn.XLOOKUP(tbl_main[[#This Row],[Service]],tbl_service[Service],tbl_service[Price],"")</f>
        <v>150</v>
      </c>
      <c r="L1220" s="3">
        <v>2</v>
      </c>
      <c r="M1220" s="3">
        <f>IF(AND(tbl_main[[#This Row],[Price]]="",tbl_main[[#This Row],[Qty]]=""),"",tbl_main[[#This Row],[Price]]*tbl_main[[#This Row],[Qty]])</f>
        <v>300</v>
      </c>
      <c r="N1220" s="3">
        <f>_xlfn.LET(_xlpm.x,_xlfn.XLOOKUP(tbl_main[[#This Row],[Service]],tbl_service[Service],tbl_service[Profit],""),
               IF(tbl_main[[#This Row],[Qty]]="","",_xlpm.x*tbl_main[[#This Row],[Qty]]))</f>
        <v>134</v>
      </c>
    </row>
    <row r="1221" spans="1:14" x14ac:dyDescent="0.25">
      <c r="A1221" t="s">
        <v>1263</v>
      </c>
      <c r="B1221" s="1">
        <v>46065</v>
      </c>
      <c r="C1221">
        <f>IF(tbl_main[[#This Row],[Date]]="","",YEAR(B1221))</f>
        <v>2026</v>
      </c>
      <c r="D1221" t="str">
        <f>IF(tbl_main[[#This Row],[Date]]="","",TEXT(B1221,"mmm"))</f>
        <v>Feb</v>
      </c>
      <c r="E1221" t="str">
        <f>IF(tbl_main[[#This Row],[Date]]="","",TEXT(B1221,"DDD"))</f>
        <v>Thu</v>
      </c>
      <c r="F1221" t="s">
        <v>13</v>
      </c>
      <c r="G1221" t="s">
        <v>33</v>
      </c>
      <c r="H1221" s="3" t="s">
        <v>18</v>
      </c>
      <c r="I1221" s="3" t="s">
        <v>38</v>
      </c>
      <c r="J1221" s="3" t="s">
        <v>17</v>
      </c>
      <c r="K1221" s="3">
        <f>_xlfn.XLOOKUP(tbl_main[[#This Row],[Service]],tbl_service[Service],tbl_service[Price],"")</f>
        <v>500</v>
      </c>
      <c r="L1221" s="3">
        <v>1</v>
      </c>
      <c r="M1221" s="3">
        <f>IF(AND(tbl_main[[#This Row],[Price]]="",tbl_main[[#This Row],[Qty]]=""),"",tbl_main[[#This Row],[Price]]*tbl_main[[#This Row],[Qty]])</f>
        <v>500</v>
      </c>
      <c r="N1221" s="3">
        <f>_xlfn.LET(_xlpm.x,_xlfn.XLOOKUP(tbl_main[[#This Row],[Service]],tbl_service[Service],tbl_service[Profit],""),
               IF(tbl_main[[#This Row],[Qty]]="","",_xlpm.x*tbl_main[[#This Row],[Qty]]))</f>
        <v>157</v>
      </c>
    </row>
    <row r="1222" spans="1:14" x14ac:dyDescent="0.25">
      <c r="A1222" t="s">
        <v>1264</v>
      </c>
      <c r="B1222" s="1">
        <v>46065</v>
      </c>
      <c r="C1222">
        <f>IF(tbl_main[[#This Row],[Date]]="","",YEAR(B1222))</f>
        <v>2026</v>
      </c>
      <c r="D1222" t="str">
        <f>IF(tbl_main[[#This Row],[Date]]="","",TEXT(B1222,"mmm"))</f>
        <v>Feb</v>
      </c>
      <c r="E1222" t="str">
        <f>IF(tbl_main[[#This Row],[Date]]="","",TEXT(B1222,"DDD"))</f>
        <v>Thu</v>
      </c>
      <c r="F1222" t="s">
        <v>30</v>
      </c>
      <c r="G1222" t="s">
        <v>36</v>
      </c>
      <c r="H1222" s="3" t="s">
        <v>22</v>
      </c>
      <c r="I1222" s="3" t="s">
        <v>16</v>
      </c>
      <c r="J1222" s="3" t="s">
        <v>17</v>
      </c>
      <c r="K1222" s="3">
        <f>_xlfn.XLOOKUP(tbl_main[[#This Row],[Service]],tbl_service[Service],tbl_service[Price],"")</f>
        <v>150</v>
      </c>
      <c r="L1222" s="3">
        <v>2</v>
      </c>
      <c r="M1222" s="3">
        <f>IF(AND(tbl_main[[#This Row],[Price]]="",tbl_main[[#This Row],[Qty]]=""),"",tbl_main[[#This Row],[Price]]*tbl_main[[#This Row],[Qty]])</f>
        <v>300</v>
      </c>
      <c r="N1222" s="3">
        <f>_xlfn.LET(_xlpm.x,_xlfn.XLOOKUP(tbl_main[[#This Row],[Service]],tbl_service[Service],tbl_service[Profit],""),
               IF(tbl_main[[#This Row],[Qty]]="","",_xlpm.x*tbl_main[[#This Row],[Qty]]))</f>
        <v>134</v>
      </c>
    </row>
    <row r="1223" spans="1:14" x14ac:dyDescent="0.25">
      <c r="A1223" t="s">
        <v>1265</v>
      </c>
      <c r="B1223" s="1">
        <v>46065</v>
      </c>
      <c r="C1223">
        <f>IF(tbl_main[[#This Row],[Date]]="","",YEAR(B1223))</f>
        <v>2026</v>
      </c>
      <c r="D1223" t="str">
        <f>IF(tbl_main[[#This Row],[Date]]="","",TEXT(B1223,"mmm"))</f>
        <v>Feb</v>
      </c>
      <c r="E1223" t="str">
        <f>IF(tbl_main[[#This Row],[Date]]="","",TEXT(B1223,"DDD"))</f>
        <v>Thu</v>
      </c>
      <c r="F1223" t="s">
        <v>27</v>
      </c>
      <c r="G1223" t="s">
        <v>28</v>
      </c>
      <c r="H1223" s="3" t="s">
        <v>34</v>
      </c>
      <c r="I1223" s="3" t="s">
        <v>19</v>
      </c>
      <c r="J1223" s="3" t="s">
        <v>32</v>
      </c>
      <c r="K1223" s="3">
        <f>_xlfn.XLOOKUP(tbl_main[[#This Row],[Service]],tbl_service[Service],tbl_service[Price],"")</f>
        <v>100</v>
      </c>
      <c r="L1223" s="3">
        <v>2</v>
      </c>
      <c r="M1223" s="3">
        <f>IF(AND(tbl_main[[#This Row],[Price]]="",tbl_main[[#This Row],[Qty]]=""),"",tbl_main[[#This Row],[Price]]*tbl_main[[#This Row],[Qty]])</f>
        <v>200</v>
      </c>
      <c r="N1223" s="3">
        <f>_xlfn.LET(_xlpm.x,_xlfn.XLOOKUP(tbl_main[[#This Row],[Service]],tbl_service[Service],tbl_service[Profit],""),
               IF(tbl_main[[#This Row],[Qty]]="","",_xlpm.x*tbl_main[[#This Row],[Qty]]))</f>
        <v>90</v>
      </c>
    </row>
    <row r="1224" spans="1:14" x14ac:dyDescent="0.25">
      <c r="A1224" t="s">
        <v>1266</v>
      </c>
      <c r="B1224" s="1">
        <v>46065</v>
      </c>
      <c r="C1224">
        <f>IF(tbl_main[[#This Row],[Date]]="","",YEAR(B1224))</f>
        <v>2026</v>
      </c>
      <c r="D1224" t="str">
        <f>IF(tbl_main[[#This Row],[Date]]="","",TEXT(B1224,"mmm"))</f>
        <v>Feb</v>
      </c>
      <c r="E1224" t="str">
        <f>IF(tbl_main[[#This Row],[Date]]="","",TEXT(B1224,"DDD"))</f>
        <v>Thu</v>
      </c>
      <c r="F1224" t="s">
        <v>13</v>
      </c>
      <c r="G1224" t="s">
        <v>33</v>
      </c>
      <c r="H1224" s="3" t="s">
        <v>18</v>
      </c>
      <c r="I1224" s="3" t="s">
        <v>43</v>
      </c>
      <c r="J1224" s="3" t="s">
        <v>32</v>
      </c>
      <c r="K1224" s="3">
        <f>_xlfn.XLOOKUP(tbl_main[[#This Row],[Service]],tbl_service[Service],tbl_service[Price],"")</f>
        <v>500</v>
      </c>
      <c r="L1224" s="3">
        <v>2</v>
      </c>
      <c r="M1224" s="3">
        <f>IF(AND(tbl_main[[#This Row],[Price]]="",tbl_main[[#This Row],[Qty]]=""),"",tbl_main[[#This Row],[Price]]*tbl_main[[#This Row],[Qty]])</f>
        <v>1000</v>
      </c>
      <c r="N1224" s="3">
        <f>_xlfn.LET(_xlpm.x,_xlfn.XLOOKUP(tbl_main[[#This Row],[Service]],tbl_service[Service],tbl_service[Profit],""),
               IF(tbl_main[[#This Row],[Qty]]="","",_xlpm.x*tbl_main[[#This Row],[Qty]]))</f>
        <v>314</v>
      </c>
    </row>
    <row r="1225" spans="1:14" x14ac:dyDescent="0.25">
      <c r="A1225" t="s">
        <v>1267</v>
      </c>
      <c r="B1225" s="1">
        <v>46066</v>
      </c>
      <c r="C1225">
        <f>IF(tbl_main[[#This Row],[Date]]="","",YEAR(B1225))</f>
        <v>2026</v>
      </c>
      <c r="D1225" t="str">
        <f>IF(tbl_main[[#This Row],[Date]]="","",TEXT(B1225,"mmm"))</f>
        <v>Feb</v>
      </c>
      <c r="E1225" t="str">
        <f>IF(tbl_main[[#This Row],[Date]]="","",TEXT(B1225,"DDD"))</f>
        <v>Fri</v>
      </c>
      <c r="F1225" t="s">
        <v>27</v>
      </c>
      <c r="G1225" t="s">
        <v>40</v>
      </c>
      <c r="H1225" s="3" t="s">
        <v>26</v>
      </c>
      <c r="I1225" s="3" t="s">
        <v>41</v>
      </c>
      <c r="J1225" s="3" t="s">
        <v>25</v>
      </c>
      <c r="K1225" s="3">
        <f>_xlfn.XLOOKUP(tbl_main[[#This Row],[Service]],tbl_service[Service],tbl_service[Price],"")</f>
        <v>200</v>
      </c>
      <c r="L1225" s="3">
        <v>1</v>
      </c>
      <c r="M1225" s="3">
        <f>IF(AND(tbl_main[[#This Row],[Price]]="",tbl_main[[#This Row],[Qty]]=""),"",tbl_main[[#This Row],[Price]]*tbl_main[[#This Row],[Qty]])</f>
        <v>200</v>
      </c>
      <c r="N1225" s="3">
        <f>_xlfn.LET(_xlpm.x,_xlfn.XLOOKUP(tbl_main[[#This Row],[Service]],tbl_service[Service],tbl_service[Profit],""),
               IF(tbl_main[[#This Row],[Qty]]="","",_xlpm.x*tbl_main[[#This Row],[Qty]]))</f>
        <v>90</v>
      </c>
    </row>
    <row r="1226" spans="1:14" x14ac:dyDescent="0.25">
      <c r="A1226" t="s">
        <v>1268</v>
      </c>
      <c r="B1226" s="1">
        <v>46066</v>
      </c>
      <c r="C1226">
        <f>IF(tbl_main[[#This Row],[Date]]="","",YEAR(B1226))</f>
        <v>2026</v>
      </c>
      <c r="D1226" t="str">
        <f>IF(tbl_main[[#This Row],[Date]]="","",TEXT(B1226,"mmm"))</f>
        <v>Feb</v>
      </c>
      <c r="E1226" t="str">
        <f>IF(tbl_main[[#This Row],[Date]]="","",TEXT(B1226,"DDD"))</f>
        <v>Fri</v>
      </c>
      <c r="F1226" t="s">
        <v>20</v>
      </c>
      <c r="G1226" t="s">
        <v>21</v>
      </c>
      <c r="H1226" s="3" t="s">
        <v>22</v>
      </c>
      <c r="I1226" s="3" t="s">
        <v>41</v>
      </c>
      <c r="J1226" s="3" t="s">
        <v>17</v>
      </c>
      <c r="K1226" s="3">
        <f>_xlfn.XLOOKUP(tbl_main[[#This Row],[Service]],tbl_service[Service],tbl_service[Price],"")</f>
        <v>150</v>
      </c>
      <c r="L1226" s="3">
        <v>2</v>
      </c>
      <c r="M1226" s="3">
        <f>IF(AND(tbl_main[[#This Row],[Price]]="",tbl_main[[#This Row],[Qty]]=""),"",tbl_main[[#This Row],[Price]]*tbl_main[[#This Row],[Qty]])</f>
        <v>300</v>
      </c>
      <c r="N1226" s="3">
        <f>_xlfn.LET(_xlpm.x,_xlfn.XLOOKUP(tbl_main[[#This Row],[Service]],tbl_service[Service],tbl_service[Profit],""),
               IF(tbl_main[[#This Row],[Qty]]="","",_xlpm.x*tbl_main[[#This Row],[Qty]]))</f>
        <v>134</v>
      </c>
    </row>
    <row r="1227" spans="1:14" x14ac:dyDescent="0.25">
      <c r="A1227" t="s">
        <v>1269</v>
      </c>
      <c r="B1227" s="1">
        <v>46066</v>
      </c>
      <c r="C1227">
        <f>IF(tbl_main[[#This Row],[Date]]="","",YEAR(B1227))</f>
        <v>2026</v>
      </c>
      <c r="D1227" t="str">
        <f>IF(tbl_main[[#This Row],[Date]]="","",TEXT(B1227,"mmm"))</f>
        <v>Feb</v>
      </c>
      <c r="E1227" t="str">
        <f>IF(tbl_main[[#This Row],[Date]]="","",TEXT(B1227,"DDD"))</f>
        <v>Fri</v>
      </c>
      <c r="F1227" t="s">
        <v>20</v>
      </c>
      <c r="G1227" t="s">
        <v>39</v>
      </c>
      <c r="H1227" s="3" t="s">
        <v>18</v>
      </c>
      <c r="I1227" s="3" t="s">
        <v>35</v>
      </c>
      <c r="J1227" s="3" t="s">
        <v>32</v>
      </c>
      <c r="K1227" s="3">
        <f>_xlfn.XLOOKUP(tbl_main[[#This Row],[Service]],tbl_service[Service],tbl_service[Price],"")</f>
        <v>500</v>
      </c>
      <c r="L1227" s="3">
        <v>2</v>
      </c>
      <c r="M1227" s="3">
        <f>IF(AND(tbl_main[[#This Row],[Price]]="",tbl_main[[#This Row],[Qty]]=""),"",tbl_main[[#This Row],[Price]]*tbl_main[[#This Row],[Qty]])</f>
        <v>1000</v>
      </c>
      <c r="N1227" s="3">
        <f>_xlfn.LET(_xlpm.x,_xlfn.XLOOKUP(tbl_main[[#This Row],[Service]],tbl_service[Service],tbl_service[Profit],""),
               IF(tbl_main[[#This Row],[Qty]]="","",_xlpm.x*tbl_main[[#This Row],[Qty]]))</f>
        <v>314</v>
      </c>
    </row>
    <row r="1228" spans="1:14" x14ac:dyDescent="0.25">
      <c r="A1228" t="s">
        <v>1270</v>
      </c>
      <c r="B1228" s="1">
        <v>46067</v>
      </c>
      <c r="C1228">
        <f>IF(tbl_main[[#This Row],[Date]]="","",YEAR(B1228))</f>
        <v>2026</v>
      </c>
      <c r="D1228" t="str">
        <f>IF(tbl_main[[#This Row],[Date]]="","",TEXT(B1228,"mmm"))</f>
        <v>Feb</v>
      </c>
      <c r="E1228" t="str">
        <f>IF(tbl_main[[#This Row],[Date]]="","",TEXT(B1228,"DDD"))</f>
        <v>Sat</v>
      </c>
      <c r="F1228" t="s">
        <v>13</v>
      </c>
      <c r="G1228" t="s">
        <v>14</v>
      </c>
      <c r="H1228" s="3" t="s">
        <v>26</v>
      </c>
      <c r="I1228" s="3" t="s">
        <v>35</v>
      </c>
      <c r="J1228" s="3" t="s">
        <v>17</v>
      </c>
      <c r="K1228" s="3">
        <f>_xlfn.XLOOKUP(tbl_main[[#This Row],[Service]],tbl_service[Service],tbl_service[Price],"")</f>
        <v>200</v>
      </c>
      <c r="L1228" s="3">
        <v>1</v>
      </c>
      <c r="M1228" s="3">
        <f>IF(AND(tbl_main[[#This Row],[Price]]="",tbl_main[[#This Row],[Qty]]=""),"",tbl_main[[#This Row],[Price]]*tbl_main[[#This Row],[Qty]])</f>
        <v>200</v>
      </c>
      <c r="N1228" s="3">
        <f>_xlfn.LET(_xlpm.x,_xlfn.XLOOKUP(tbl_main[[#This Row],[Service]],tbl_service[Service],tbl_service[Profit],""),
               IF(tbl_main[[#This Row],[Qty]]="","",_xlpm.x*tbl_main[[#This Row],[Qty]]))</f>
        <v>90</v>
      </c>
    </row>
    <row r="1229" spans="1:14" x14ac:dyDescent="0.25">
      <c r="A1229" t="s">
        <v>1271</v>
      </c>
      <c r="B1229" s="1">
        <v>46067</v>
      </c>
      <c r="C1229">
        <f>IF(tbl_main[[#This Row],[Date]]="","",YEAR(B1229))</f>
        <v>2026</v>
      </c>
      <c r="D1229" t="str">
        <f>IF(tbl_main[[#This Row],[Date]]="","",TEXT(B1229,"mmm"))</f>
        <v>Feb</v>
      </c>
      <c r="E1229" t="str">
        <f>IF(tbl_main[[#This Row],[Date]]="","",TEXT(B1229,"DDD"))</f>
        <v>Sat</v>
      </c>
      <c r="F1229" t="s">
        <v>20</v>
      </c>
      <c r="G1229" t="s">
        <v>21</v>
      </c>
      <c r="H1229" s="3" t="s">
        <v>15</v>
      </c>
      <c r="I1229" s="3" t="s">
        <v>23</v>
      </c>
      <c r="J1229" s="3" t="s">
        <v>17</v>
      </c>
      <c r="K1229" s="3">
        <f>_xlfn.XLOOKUP(tbl_main[[#This Row],[Service]],tbl_service[Service],tbl_service[Price],"")</f>
        <v>500</v>
      </c>
      <c r="L1229" s="3">
        <v>2</v>
      </c>
      <c r="M1229" s="3">
        <f>IF(AND(tbl_main[[#This Row],[Price]]="",tbl_main[[#This Row],[Qty]]=""),"",tbl_main[[#This Row],[Price]]*tbl_main[[#This Row],[Qty]])</f>
        <v>1000</v>
      </c>
      <c r="N1229" s="3">
        <f>_xlfn.LET(_xlpm.x,_xlfn.XLOOKUP(tbl_main[[#This Row],[Service]],tbl_service[Service],tbl_service[Profit],""),
               IF(tbl_main[[#This Row],[Qty]]="","",_xlpm.x*tbl_main[[#This Row],[Qty]]))</f>
        <v>450</v>
      </c>
    </row>
    <row r="1230" spans="1:14" x14ac:dyDescent="0.25">
      <c r="A1230" t="s">
        <v>1272</v>
      </c>
      <c r="B1230" s="1">
        <v>46067</v>
      </c>
      <c r="C1230">
        <f>IF(tbl_main[[#This Row],[Date]]="","",YEAR(B1230))</f>
        <v>2026</v>
      </c>
      <c r="D1230" t="str">
        <f>IF(tbl_main[[#This Row],[Date]]="","",TEXT(B1230,"mmm"))</f>
        <v>Feb</v>
      </c>
      <c r="E1230" t="str">
        <f>IF(tbl_main[[#This Row],[Date]]="","",TEXT(B1230,"DDD"))</f>
        <v>Sat</v>
      </c>
      <c r="F1230" t="s">
        <v>13</v>
      </c>
      <c r="G1230" t="s">
        <v>33</v>
      </c>
      <c r="H1230" s="3" t="s">
        <v>26</v>
      </c>
      <c r="I1230" s="3" t="s">
        <v>37</v>
      </c>
      <c r="J1230" s="3" t="s">
        <v>25</v>
      </c>
      <c r="K1230" s="3">
        <f>_xlfn.XLOOKUP(tbl_main[[#This Row],[Service]],tbl_service[Service],tbl_service[Price],"")</f>
        <v>200</v>
      </c>
      <c r="L1230" s="3">
        <v>1</v>
      </c>
      <c r="M1230" s="3">
        <f>IF(AND(tbl_main[[#This Row],[Price]]="",tbl_main[[#This Row],[Qty]]=""),"",tbl_main[[#This Row],[Price]]*tbl_main[[#This Row],[Qty]])</f>
        <v>200</v>
      </c>
      <c r="N1230" s="3">
        <f>_xlfn.LET(_xlpm.x,_xlfn.XLOOKUP(tbl_main[[#This Row],[Service]],tbl_service[Service],tbl_service[Profit],""),
               IF(tbl_main[[#This Row],[Qty]]="","",_xlpm.x*tbl_main[[#This Row],[Qty]]))</f>
        <v>90</v>
      </c>
    </row>
    <row r="1231" spans="1:14" x14ac:dyDescent="0.25">
      <c r="A1231" t="s">
        <v>1273</v>
      </c>
      <c r="B1231" s="1">
        <v>46068</v>
      </c>
      <c r="C1231">
        <f>IF(tbl_main[[#This Row],[Date]]="","",YEAR(B1231))</f>
        <v>2026</v>
      </c>
      <c r="D1231" t="str">
        <f>IF(tbl_main[[#This Row],[Date]]="","",TEXT(B1231,"mmm"))</f>
        <v>Feb</v>
      </c>
      <c r="E1231" t="str">
        <f>IF(tbl_main[[#This Row],[Date]]="","",TEXT(B1231,"DDD"))</f>
        <v>Sun</v>
      </c>
      <c r="F1231" t="s">
        <v>20</v>
      </c>
      <c r="G1231" t="s">
        <v>21</v>
      </c>
      <c r="H1231" s="3" t="s">
        <v>15</v>
      </c>
      <c r="I1231" s="3" t="s">
        <v>38</v>
      </c>
      <c r="J1231" s="3" t="s">
        <v>32</v>
      </c>
      <c r="K1231" s="3">
        <f>_xlfn.XLOOKUP(tbl_main[[#This Row],[Service]],tbl_service[Service],tbl_service[Price],"")</f>
        <v>500</v>
      </c>
      <c r="L1231" s="3">
        <v>1</v>
      </c>
      <c r="M1231" s="3">
        <f>IF(AND(tbl_main[[#This Row],[Price]]="",tbl_main[[#This Row],[Qty]]=""),"",tbl_main[[#This Row],[Price]]*tbl_main[[#This Row],[Qty]])</f>
        <v>500</v>
      </c>
      <c r="N1231" s="3">
        <f>_xlfn.LET(_xlpm.x,_xlfn.XLOOKUP(tbl_main[[#This Row],[Service]],tbl_service[Service],tbl_service[Profit],""),
               IF(tbl_main[[#This Row],[Qty]]="","",_xlpm.x*tbl_main[[#This Row],[Qty]]))</f>
        <v>225</v>
      </c>
    </row>
    <row r="1232" spans="1:14" x14ac:dyDescent="0.25">
      <c r="A1232" t="s">
        <v>1274</v>
      </c>
      <c r="B1232" s="1">
        <v>46068</v>
      </c>
      <c r="C1232">
        <f>IF(tbl_main[[#This Row],[Date]]="","",YEAR(B1232))</f>
        <v>2026</v>
      </c>
      <c r="D1232" t="str">
        <f>IF(tbl_main[[#This Row],[Date]]="","",TEXT(B1232,"mmm"))</f>
        <v>Feb</v>
      </c>
      <c r="E1232" t="str">
        <f>IF(tbl_main[[#This Row],[Date]]="","",TEXT(B1232,"DDD"))</f>
        <v>Sun</v>
      </c>
      <c r="F1232" t="s">
        <v>13</v>
      </c>
      <c r="G1232" t="s">
        <v>33</v>
      </c>
      <c r="H1232" s="3" t="s">
        <v>15</v>
      </c>
      <c r="I1232" s="3" t="s">
        <v>16</v>
      </c>
      <c r="J1232" s="3" t="s">
        <v>17</v>
      </c>
      <c r="K1232" s="3">
        <f>_xlfn.XLOOKUP(tbl_main[[#This Row],[Service]],tbl_service[Service],tbl_service[Price],"")</f>
        <v>500</v>
      </c>
      <c r="L1232" s="3">
        <v>2</v>
      </c>
      <c r="M1232" s="3">
        <f>IF(AND(tbl_main[[#This Row],[Price]]="",tbl_main[[#This Row],[Qty]]=""),"",tbl_main[[#This Row],[Price]]*tbl_main[[#This Row],[Qty]])</f>
        <v>1000</v>
      </c>
      <c r="N1232" s="3">
        <f>_xlfn.LET(_xlpm.x,_xlfn.XLOOKUP(tbl_main[[#This Row],[Service]],tbl_service[Service],tbl_service[Profit],""),
               IF(tbl_main[[#This Row],[Qty]]="","",_xlpm.x*tbl_main[[#This Row],[Qty]]))</f>
        <v>450</v>
      </c>
    </row>
    <row r="1233" spans="1:14" x14ac:dyDescent="0.25">
      <c r="A1233" t="s">
        <v>1275</v>
      </c>
      <c r="B1233" s="1">
        <v>46069</v>
      </c>
      <c r="C1233">
        <f>IF(tbl_main[[#This Row],[Date]]="","",YEAR(B1233))</f>
        <v>2026</v>
      </c>
      <c r="D1233" t="str">
        <f>IF(tbl_main[[#This Row],[Date]]="","",TEXT(B1233,"mmm"))</f>
        <v>Feb</v>
      </c>
      <c r="E1233" t="str">
        <f>IF(tbl_main[[#This Row],[Date]]="","",TEXT(B1233,"DDD"))</f>
        <v>Mon</v>
      </c>
      <c r="F1233" t="s">
        <v>27</v>
      </c>
      <c r="G1233" t="s">
        <v>28</v>
      </c>
      <c r="H1233" s="3" t="s">
        <v>22</v>
      </c>
      <c r="I1233" s="3" t="s">
        <v>19</v>
      </c>
      <c r="J1233" s="3" t="s">
        <v>25</v>
      </c>
      <c r="K1233" s="3">
        <f>_xlfn.XLOOKUP(tbl_main[[#This Row],[Service]],tbl_service[Service],tbl_service[Price],"")</f>
        <v>150</v>
      </c>
      <c r="L1233" s="3">
        <v>2</v>
      </c>
      <c r="M1233" s="3">
        <f>IF(AND(tbl_main[[#This Row],[Price]]="",tbl_main[[#This Row],[Qty]]=""),"",tbl_main[[#This Row],[Price]]*tbl_main[[#This Row],[Qty]])</f>
        <v>300</v>
      </c>
      <c r="N1233" s="3">
        <f>_xlfn.LET(_xlpm.x,_xlfn.XLOOKUP(tbl_main[[#This Row],[Service]],tbl_service[Service],tbl_service[Profit],""),
               IF(tbl_main[[#This Row],[Qty]]="","",_xlpm.x*tbl_main[[#This Row],[Qty]]))</f>
        <v>134</v>
      </c>
    </row>
    <row r="1234" spans="1:14" x14ac:dyDescent="0.25">
      <c r="A1234" t="s">
        <v>1276</v>
      </c>
      <c r="B1234" s="1">
        <v>46069</v>
      </c>
      <c r="C1234">
        <f>IF(tbl_main[[#This Row],[Date]]="","",YEAR(B1234))</f>
        <v>2026</v>
      </c>
      <c r="D1234" t="str">
        <f>IF(tbl_main[[#This Row],[Date]]="","",TEXT(B1234,"mmm"))</f>
        <v>Feb</v>
      </c>
      <c r="E1234" t="str">
        <f>IF(tbl_main[[#This Row],[Date]]="","",TEXT(B1234,"DDD"))</f>
        <v>Mon</v>
      </c>
      <c r="F1234" t="s">
        <v>13</v>
      </c>
      <c r="G1234" t="s">
        <v>33</v>
      </c>
      <c r="H1234" s="3" t="s">
        <v>18</v>
      </c>
      <c r="I1234" s="3" t="s">
        <v>43</v>
      </c>
      <c r="J1234" s="3" t="s">
        <v>25</v>
      </c>
      <c r="K1234" s="3">
        <f>_xlfn.XLOOKUP(tbl_main[[#This Row],[Service]],tbl_service[Service],tbl_service[Price],"")</f>
        <v>500</v>
      </c>
      <c r="L1234" s="3">
        <v>1</v>
      </c>
      <c r="M1234" s="3">
        <f>IF(AND(tbl_main[[#This Row],[Price]]="",tbl_main[[#This Row],[Qty]]=""),"",tbl_main[[#This Row],[Price]]*tbl_main[[#This Row],[Qty]])</f>
        <v>500</v>
      </c>
      <c r="N1234" s="3">
        <f>_xlfn.LET(_xlpm.x,_xlfn.XLOOKUP(tbl_main[[#This Row],[Service]],tbl_service[Service],tbl_service[Profit],""),
               IF(tbl_main[[#This Row],[Qty]]="","",_xlpm.x*tbl_main[[#This Row],[Qty]]))</f>
        <v>157</v>
      </c>
    </row>
    <row r="1235" spans="1:14" x14ac:dyDescent="0.25">
      <c r="A1235" t="s">
        <v>1277</v>
      </c>
      <c r="B1235" s="1">
        <v>46070</v>
      </c>
      <c r="C1235">
        <f>IF(tbl_main[[#This Row],[Date]]="","",YEAR(B1235))</f>
        <v>2026</v>
      </c>
      <c r="D1235" t="str">
        <f>IF(tbl_main[[#This Row],[Date]]="","",TEXT(B1235,"mmm"))</f>
        <v>Feb</v>
      </c>
      <c r="E1235" t="str">
        <f>IF(tbl_main[[#This Row],[Date]]="","",TEXT(B1235,"DDD"))</f>
        <v>Tue</v>
      </c>
      <c r="F1235" t="s">
        <v>13</v>
      </c>
      <c r="G1235" t="s">
        <v>14</v>
      </c>
      <c r="H1235" s="3" t="s">
        <v>22</v>
      </c>
      <c r="I1235" s="3" t="s">
        <v>41</v>
      </c>
      <c r="J1235" s="3" t="s">
        <v>17</v>
      </c>
      <c r="K1235" s="3">
        <f>_xlfn.XLOOKUP(tbl_main[[#This Row],[Service]],tbl_service[Service],tbl_service[Price],"")</f>
        <v>150</v>
      </c>
      <c r="L1235" s="3">
        <v>1</v>
      </c>
      <c r="M1235" s="3">
        <f>IF(AND(tbl_main[[#This Row],[Price]]="",tbl_main[[#This Row],[Qty]]=""),"",tbl_main[[#This Row],[Price]]*tbl_main[[#This Row],[Qty]])</f>
        <v>150</v>
      </c>
      <c r="N1235" s="3">
        <f>_xlfn.LET(_xlpm.x,_xlfn.XLOOKUP(tbl_main[[#This Row],[Service]],tbl_service[Service],tbl_service[Profit],""),
               IF(tbl_main[[#This Row],[Qty]]="","",_xlpm.x*tbl_main[[#This Row],[Qty]]))</f>
        <v>67</v>
      </c>
    </row>
    <row r="1236" spans="1:14" x14ac:dyDescent="0.25">
      <c r="A1236" t="s">
        <v>1278</v>
      </c>
      <c r="B1236" s="1">
        <v>46070</v>
      </c>
      <c r="C1236">
        <f>IF(tbl_main[[#This Row],[Date]]="","",YEAR(B1236))</f>
        <v>2026</v>
      </c>
      <c r="D1236" t="str">
        <f>IF(tbl_main[[#This Row],[Date]]="","",TEXT(B1236,"mmm"))</f>
        <v>Feb</v>
      </c>
      <c r="E1236" t="str">
        <f>IF(tbl_main[[#This Row],[Date]]="","",TEXT(B1236,"DDD"))</f>
        <v>Tue</v>
      </c>
      <c r="F1236" t="s">
        <v>30</v>
      </c>
      <c r="G1236" t="s">
        <v>31</v>
      </c>
      <c r="H1236" s="3" t="s">
        <v>24</v>
      </c>
      <c r="I1236" s="3" t="s">
        <v>41</v>
      </c>
      <c r="J1236" s="3" t="s">
        <v>32</v>
      </c>
      <c r="K1236" s="3">
        <f>_xlfn.XLOOKUP(tbl_main[[#This Row],[Service]],tbl_service[Service],tbl_service[Price],"")</f>
        <v>80</v>
      </c>
      <c r="L1236" s="3">
        <v>2</v>
      </c>
      <c r="M1236" s="3">
        <f>IF(AND(tbl_main[[#This Row],[Price]]="",tbl_main[[#This Row],[Qty]]=""),"",tbl_main[[#This Row],[Price]]*tbl_main[[#This Row],[Qty]])</f>
        <v>160</v>
      </c>
      <c r="N1236" s="3">
        <f>_xlfn.LET(_xlpm.x,_xlfn.XLOOKUP(tbl_main[[#This Row],[Service]],tbl_service[Service],tbl_service[Profit],""),
               IF(tbl_main[[#This Row],[Qty]]="","",_xlpm.x*tbl_main[[#This Row],[Qty]]))</f>
        <v>72</v>
      </c>
    </row>
    <row r="1237" spans="1:14" x14ac:dyDescent="0.25">
      <c r="A1237" t="s">
        <v>1279</v>
      </c>
      <c r="B1237" s="1">
        <v>46071</v>
      </c>
      <c r="C1237">
        <f>IF(tbl_main[[#This Row],[Date]]="","",YEAR(B1237))</f>
        <v>2026</v>
      </c>
      <c r="D1237" t="str">
        <f>IF(tbl_main[[#This Row],[Date]]="","",TEXT(B1237,"mmm"))</f>
        <v>Feb</v>
      </c>
      <c r="E1237" t="str">
        <f>IF(tbl_main[[#This Row],[Date]]="","",TEXT(B1237,"DDD"))</f>
        <v>Wed</v>
      </c>
      <c r="F1237" t="s">
        <v>27</v>
      </c>
      <c r="G1237" t="s">
        <v>40</v>
      </c>
      <c r="H1237" s="3" t="s">
        <v>22</v>
      </c>
      <c r="I1237" s="3" t="s">
        <v>35</v>
      </c>
      <c r="J1237" s="3" t="s">
        <v>17</v>
      </c>
      <c r="K1237" s="3">
        <f>_xlfn.XLOOKUP(tbl_main[[#This Row],[Service]],tbl_service[Service],tbl_service[Price],"")</f>
        <v>150</v>
      </c>
      <c r="L1237" s="3">
        <v>2</v>
      </c>
      <c r="M1237" s="3">
        <f>IF(AND(tbl_main[[#This Row],[Price]]="",tbl_main[[#This Row],[Qty]]=""),"",tbl_main[[#This Row],[Price]]*tbl_main[[#This Row],[Qty]])</f>
        <v>300</v>
      </c>
      <c r="N1237" s="3">
        <f>_xlfn.LET(_xlpm.x,_xlfn.XLOOKUP(tbl_main[[#This Row],[Service]],tbl_service[Service],tbl_service[Profit],""),
               IF(tbl_main[[#This Row],[Qty]]="","",_xlpm.x*tbl_main[[#This Row],[Qty]]))</f>
        <v>134</v>
      </c>
    </row>
    <row r="1238" spans="1:14" x14ac:dyDescent="0.25">
      <c r="A1238" t="s">
        <v>1280</v>
      </c>
      <c r="B1238" s="1">
        <v>46071</v>
      </c>
      <c r="C1238">
        <f>IF(tbl_main[[#This Row],[Date]]="","",YEAR(B1238))</f>
        <v>2026</v>
      </c>
      <c r="D1238" t="str">
        <f>IF(tbl_main[[#This Row],[Date]]="","",TEXT(B1238,"mmm"))</f>
        <v>Feb</v>
      </c>
      <c r="E1238" t="str">
        <f>IF(tbl_main[[#This Row],[Date]]="","",TEXT(B1238,"DDD"))</f>
        <v>Wed</v>
      </c>
      <c r="F1238" t="s">
        <v>20</v>
      </c>
      <c r="G1238" t="s">
        <v>21</v>
      </c>
      <c r="H1238" s="3" t="s">
        <v>22</v>
      </c>
      <c r="I1238" s="3" t="s">
        <v>35</v>
      </c>
      <c r="J1238" s="3" t="s">
        <v>25</v>
      </c>
      <c r="K1238" s="3">
        <f>_xlfn.XLOOKUP(tbl_main[[#This Row],[Service]],tbl_service[Service],tbl_service[Price],"")</f>
        <v>150</v>
      </c>
      <c r="L1238" s="3">
        <v>1</v>
      </c>
      <c r="M1238" s="3">
        <f>IF(AND(tbl_main[[#This Row],[Price]]="",tbl_main[[#This Row],[Qty]]=""),"",tbl_main[[#This Row],[Price]]*tbl_main[[#This Row],[Qty]])</f>
        <v>150</v>
      </c>
      <c r="N1238" s="3">
        <f>_xlfn.LET(_xlpm.x,_xlfn.XLOOKUP(tbl_main[[#This Row],[Service]],tbl_service[Service],tbl_service[Profit],""),
               IF(tbl_main[[#This Row],[Qty]]="","",_xlpm.x*tbl_main[[#This Row],[Qty]]))</f>
        <v>67</v>
      </c>
    </row>
    <row r="1239" spans="1:14" x14ac:dyDescent="0.25">
      <c r="A1239" t="s">
        <v>1281</v>
      </c>
      <c r="B1239" s="1">
        <v>46071</v>
      </c>
      <c r="C1239">
        <f>IF(tbl_main[[#This Row],[Date]]="","",YEAR(B1239))</f>
        <v>2026</v>
      </c>
      <c r="D1239" t="str">
        <f>IF(tbl_main[[#This Row],[Date]]="","",TEXT(B1239,"mmm"))</f>
        <v>Feb</v>
      </c>
      <c r="E1239" t="str">
        <f>IF(tbl_main[[#This Row],[Date]]="","",TEXT(B1239,"DDD"))</f>
        <v>Wed</v>
      </c>
      <c r="F1239" t="s">
        <v>13</v>
      </c>
      <c r="G1239" t="s">
        <v>14</v>
      </c>
      <c r="H1239" s="3" t="s">
        <v>34</v>
      </c>
      <c r="I1239" s="3" t="s">
        <v>23</v>
      </c>
      <c r="J1239" s="3" t="s">
        <v>32</v>
      </c>
      <c r="K1239" s="3">
        <f>_xlfn.XLOOKUP(tbl_main[[#This Row],[Service]],tbl_service[Service],tbl_service[Price],"")</f>
        <v>100</v>
      </c>
      <c r="L1239" s="3">
        <v>2</v>
      </c>
      <c r="M1239" s="3">
        <f>IF(AND(tbl_main[[#This Row],[Price]]="",tbl_main[[#This Row],[Qty]]=""),"",tbl_main[[#This Row],[Price]]*tbl_main[[#This Row],[Qty]])</f>
        <v>200</v>
      </c>
      <c r="N1239" s="3">
        <f>_xlfn.LET(_xlpm.x,_xlfn.XLOOKUP(tbl_main[[#This Row],[Service]],tbl_service[Service],tbl_service[Profit],""),
               IF(tbl_main[[#This Row],[Qty]]="","",_xlpm.x*tbl_main[[#This Row],[Qty]]))</f>
        <v>90</v>
      </c>
    </row>
    <row r="1240" spans="1:14" x14ac:dyDescent="0.25">
      <c r="A1240" t="s">
        <v>1282</v>
      </c>
      <c r="B1240" s="1">
        <v>46071</v>
      </c>
      <c r="C1240">
        <f>IF(tbl_main[[#This Row],[Date]]="","",YEAR(B1240))</f>
        <v>2026</v>
      </c>
      <c r="D1240" t="str">
        <f>IF(tbl_main[[#This Row],[Date]]="","",TEXT(B1240,"mmm"))</f>
        <v>Feb</v>
      </c>
      <c r="E1240" t="str">
        <f>IF(tbl_main[[#This Row],[Date]]="","",TEXT(B1240,"DDD"))</f>
        <v>Wed</v>
      </c>
      <c r="F1240" t="s">
        <v>13</v>
      </c>
      <c r="G1240" t="s">
        <v>33</v>
      </c>
      <c r="H1240" s="3" t="s">
        <v>34</v>
      </c>
      <c r="I1240" s="3" t="s">
        <v>37</v>
      </c>
      <c r="J1240" s="3" t="s">
        <v>17</v>
      </c>
      <c r="K1240" s="3">
        <f>_xlfn.XLOOKUP(tbl_main[[#This Row],[Service]],tbl_service[Service],tbl_service[Price],"")</f>
        <v>100</v>
      </c>
      <c r="L1240" s="3">
        <v>1</v>
      </c>
      <c r="M1240" s="3">
        <f>IF(AND(tbl_main[[#This Row],[Price]]="",tbl_main[[#This Row],[Qty]]=""),"",tbl_main[[#This Row],[Price]]*tbl_main[[#This Row],[Qty]])</f>
        <v>100</v>
      </c>
      <c r="N1240" s="3">
        <f>_xlfn.LET(_xlpm.x,_xlfn.XLOOKUP(tbl_main[[#This Row],[Service]],tbl_service[Service],tbl_service[Profit],""),
               IF(tbl_main[[#This Row],[Qty]]="","",_xlpm.x*tbl_main[[#This Row],[Qty]]))</f>
        <v>45</v>
      </c>
    </row>
    <row r="1241" spans="1:14" x14ac:dyDescent="0.25">
      <c r="A1241" t="s">
        <v>1283</v>
      </c>
      <c r="B1241" s="1">
        <v>46072</v>
      </c>
      <c r="C1241">
        <f>IF(tbl_main[[#This Row],[Date]]="","",YEAR(B1241))</f>
        <v>2026</v>
      </c>
      <c r="D1241" t="str">
        <f>IF(tbl_main[[#This Row],[Date]]="","",TEXT(B1241,"mmm"))</f>
        <v>Feb</v>
      </c>
      <c r="E1241" t="str">
        <f>IF(tbl_main[[#This Row],[Date]]="","",TEXT(B1241,"DDD"))</f>
        <v>Thu</v>
      </c>
      <c r="F1241" t="s">
        <v>27</v>
      </c>
      <c r="G1241" t="s">
        <v>28</v>
      </c>
      <c r="H1241" s="3" t="s">
        <v>24</v>
      </c>
      <c r="I1241" s="3" t="s">
        <v>38</v>
      </c>
      <c r="J1241" s="3" t="s">
        <v>32</v>
      </c>
      <c r="K1241" s="3">
        <f>_xlfn.XLOOKUP(tbl_main[[#This Row],[Service]],tbl_service[Service],tbl_service[Price],"")</f>
        <v>80</v>
      </c>
      <c r="L1241" s="3">
        <v>1</v>
      </c>
      <c r="M1241" s="3">
        <f>IF(AND(tbl_main[[#This Row],[Price]]="",tbl_main[[#This Row],[Qty]]=""),"",tbl_main[[#This Row],[Price]]*tbl_main[[#This Row],[Qty]])</f>
        <v>80</v>
      </c>
      <c r="N1241" s="3">
        <f>_xlfn.LET(_xlpm.x,_xlfn.XLOOKUP(tbl_main[[#This Row],[Service]],tbl_service[Service],tbl_service[Profit],""),
               IF(tbl_main[[#This Row],[Qty]]="","",_xlpm.x*tbl_main[[#This Row],[Qty]]))</f>
        <v>36</v>
      </c>
    </row>
    <row r="1242" spans="1:14" x14ac:dyDescent="0.25">
      <c r="A1242" t="s">
        <v>1284</v>
      </c>
      <c r="B1242" s="1">
        <v>46072</v>
      </c>
      <c r="C1242">
        <f>IF(tbl_main[[#This Row],[Date]]="","",YEAR(B1242))</f>
        <v>2026</v>
      </c>
      <c r="D1242" t="str">
        <f>IF(tbl_main[[#This Row],[Date]]="","",TEXT(B1242,"mmm"))</f>
        <v>Feb</v>
      </c>
      <c r="E1242" t="str">
        <f>IF(tbl_main[[#This Row],[Date]]="","",TEXT(B1242,"DDD"))</f>
        <v>Thu</v>
      </c>
      <c r="F1242" t="s">
        <v>20</v>
      </c>
      <c r="G1242" t="s">
        <v>39</v>
      </c>
      <c r="H1242" s="3" t="s">
        <v>24</v>
      </c>
      <c r="I1242" s="3" t="s">
        <v>16</v>
      </c>
      <c r="J1242" s="3" t="s">
        <v>17</v>
      </c>
      <c r="K1242" s="3">
        <f>_xlfn.XLOOKUP(tbl_main[[#This Row],[Service]],tbl_service[Service],tbl_service[Price],"")</f>
        <v>80</v>
      </c>
      <c r="L1242" s="3">
        <v>2</v>
      </c>
      <c r="M1242" s="3">
        <f>IF(AND(tbl_main[[#This Row],[Price]]="",tbl_main[[#This Row],[Qty]]=""),"",tbl_main[[#This Row],[Price]]*tbl_main[[#This Row],[Qty]])</f>
        <v>160</v>
      </c>
      <c r="N1242" s="3">
        <f>_xlfn.LET(_xlpm.x,_xlfn.XLOOKUP(tbl_main[[#This Row],[Service]],tbl_service[Service],tbl_service[Profit],""),
               IF(tbl_main[[#This Row],[Qty]]="","",_xlpm.x*tbl_main[[#This Row],[Qty]]))</f>
        <v>72</v>
      </c>
    </row>
    <row r="1243" spans="1:14" x14ac:dyDescent="0.25">
      <c r="A1243" t="s">
        <v>1285</v>
      </c>
      <c r="B1243" s="1">
        <v>46073</v>
      </c>
      <c r="C1243">
        <f>IF(tbl_main[[#This Row],[Date]]="","",YEAR(B1243))</f>
        <v>2026</v>
      </c>
      <c r="D1243" t="str">
        <f>IF(tbl_main[[#This Row],[Date]]="","",TEXT(B1243,"mmm"))</f>
        <v>Feb</v>
      </c>
      <c r="E1243" t="str">
        <f>IF(tbl_main[[#This Row],[Date]]="","",TEXT(B1243,"DDD"))</f>
        <v>Fri</v>
      </c>
      <c r="F1243" t="s">
        <v>13</v>
      </c>
      <c r="G1243" t="s">
        <v>33</v>
      </c>
      <c r="H1243" s="3" t="s">
        <v>15</v>
      </c>
      <c r="I1243" s="3" t="s">
        <v>19</v>
      </c>
      <c r="J1243" s="3" t="s">
        <v>32</v>
      </c>
      <c r="K1243" s="3">
        <f>_xlfn.XLOOKUP(tbl_main[[#This Row],[Service]],tbl_service[Service],tbl_service[Price],"")</f>
        <v>500</v>
      </c>
      <c r="L1243" s="3">
        <v>2</v>
      </c>
      <c r="M1243" s="3">
        <f>IF(AND(tbl_main[[#This Row],[Price]]="",tbl_main[[#This Row],[Qty]]=""),"",tbl_main[[#This Row],[Price]]*tbl_main[[#This Row],[Qty]])</f>
        <v>1000</v>
      </c>
      <c r="N1243" s="3">
        <f>_xlfn.LET(_xlpm.x,_xlfn.XLOOKUP(tbl_main[[#This Row],[Service]],tbl_service[Service],tbl_service[Profit],""),
               IF(tbl_main[[#This Row],[Qty]]="","",_xlpm.x*tbl_main[[#This Row],[Qty]]))</f>
        <v>450</v>
      </c>
    </row>
    <row r="1244" spans="1:14" x14ac:dyDescent="0.25">
      <c r="A1244" t="s">
        <v>1286</v>
      </c>
      <c r="B1244" s="1">
        <v>46073</v>
      </c>
      <c r="C1244">
        <f>IF(tbl_main[[#This Row],[Date]]="","",YEAR(B1244))</f>
        <v>2026</v>
      </c>
      <c r="D1244" t="str">
        <f>IF(tbl_main[[#This Row],[Date]]="","",TEXT(B1244,"mmm"))</f>
        <v>Feb</v>
      </c>
      <c r="E1244" t="str">
        <f>IF(tbl_main[[#This Row],[Date]]="","",TEXT(B1244,"DDD"))</f>
        <v>Fri</v>
      </c>
      <c r="F1244" t="s">
        <v>30</v>
      </c>
      <c r="G1244" t="s">
        <v>36</v>
      </c>
      <c r="H1244" s="3" t="s">
        <v>15</v>
      </c>
      <c r="I1244" s="3" t="s">
        <v>43</v>
      </c>
      <c r="J1244" s="3" t="s">
        <v>32</v>
      </c>
      <c r="K1244" s="3">
        <f>_xlfn.XLOOKUP(tbl_main[[#This Row],[Service]],tbl_service[Service],tbl_service[Price],"")</f>
        <v>500</v>
      </c>
      <c r="L1244" s="3">
        <v>2</v>
      </c>
      <c r="M1244" s="3">
        <f>IF(AND(tbl_main[[#This Row],[Price]]="",tbl_main[[#This Row],[Qty]]=""),"",tbl_main[[#This Row],[Price]]*tbl_main[[#This Row],[Qty]])</f>
        <v>1000</v>
      </c>
      <c r="N1244" s="3">
        <f>_xlfn.LET(_xlpm.x,_xlfn.XLOOKUP(tbl_main[[#This Row],[Service]],tbl_service[Service],tbl_service[Profit],""),
               IF(tbl_main[[#This Row],[Qty]]="","",_xlpm.x*tbl_main[[#This Row],[Qty]]))</f>
        <v>450</v>
      </c>
    </row>
    <row r="1245" spans="1:14" x14ac:dyDescent="0.25">
      <c r="A1245" t="s">
        <v>1287</v>
      </c>
      <c r="B1245" s="1">
        <v>46073</v>
      </c>
      <c r="C1245">
        <f>IF(tbl_main[[#This Row],[Date]]="","",YEAR(B1245))</f>
        <v>2026</v>
      </c>
      <c r="D1245" t="str">
        <f>IF(tbl_main[[#This Row],[Date]]="","",TEXT(B1245,"mmm"))</f>
        <v>Feb</v>
      </c>
      <c r="E1245" t="str">
        <f>IF(tbl_main[[#This Row],[Date]]="","",TEXT(B1245,"DDD"))</f>
        <v>Fri</v>
      </c>
      <c r="F1245" t="s">
        <v>20</v>
      </c>
      <c r="G1245" t="s">
        <v>29</v>
      </c>
      <c r="H1245" s="3" t="s">
        <v>18</v>
      </c>
      <c r="I1245" s="3" t="s">
        <v>41</v>
      </c>
      <c r="J1245" s="3" t="s">
        <v>17</v>
      </c>
      <c r="K1245" s="3">
        <f>_xlfn.XLOOKUP(tbl_main[[#This Row],[Service]],tbl_service[Service],tbl_service[Price],"")</f>
        <v>500</v>
      </c>
      <c r="L1245" s="3">
        <v>2</v>
      </c>
      <c r="M1245" s="3">
        <f>IF(AND(tbl_main[[#This Row],[Price]]="",tbl_main[[#This Row],[Qty]]=""),"",tbl_main[[#This Row],[Price]]*tbl_main[[#This Row],[Qty]])</f>
        <v>1000</v>
      </c>
      <c r="N1245" s="3">
        <f>_xlfn.LET(_xlpm.x,_xlfn.XLOOKUP(tbl_main[[#This Row],[Service]],tbl_service[Service],tbl_service[Profit],""),
               IF(tbl_main[[#This Row],[Qty]]="","",_xlpm.x*tbl_main[[#This Row],[Qty]]))</f>
        <v>314</v>
      </c>
    </row>
    <row r="1246" spans="1:14" x14ac:dyDescent="0.25">
      <c r="A1246" t="s">
        <v>1288</v>
      </c>
      <c r="B1246" s="1">
        <v>46074</v>
      </c>
      <c r="C1246">
        <f>IF(tbl_main[[#This Row],[Date]]="","",YEAR(B1246))</f>
        <v>2026</v>
      </c>
      <c r="D1246" t="str">
        <f>IF(tbl_main[[#This Row],[Date]]="","",TEXT(B1246,"mmm"))</f>
        <v>Feb</v>
      </c>
      <c r="E1246" t="str">
        <f>IF(tbl_main[[#This Row],[Date]]="","",TEXT(B1246,"DDD"))</f>
        <v>Sat</v>
      </c>
      <c r="F1246" t="s">
        <v>30</v>
      </c>
      <c r="G1246" t="s">
        <v>36</v>
      </c>
      <c r="H1246" s="3" t="s">
        <v>15</v>
      </c>
      <c r="I1246" s="3" t="s">
        <v>41</v>
      </c>
      <c r="J1246" s="3" t="s">
        <v>32</v>
      </c>
      <c r="K1246" s="3">
        <f>_xlfn.XLOOKUP(tbl_main[[#This Row],[Service]],tbl_service[Service],tbl_service[Price],"")</f>
        <v>500</v>
      </c>
      <c r="L1246" s="3">
        <v>1</v>
      </c>
      <c r="M1246" s="3">
        <f>IF(AND(tbl_main[[#This Row],[Price]]="",tbl_main[[#This Row],[Qty]]=""),"",tbl_main[[#This Row],[Price]]*tbl_main[[#This Row],[Qty]])</f>
        <v>500</v>
      </c>
      <c r="N1246" s="3">
        <f>_xlfn.LET(_xlpm.x,_xlfn.XLOOKUP(tbl_main[[#This Row],[Service]],tbl_service[Service],tbl_service[Profit],""),
               IF(tbl_main[[#This Row],[Qty]]="","",_xlpm.x*tbl_main[[#This Row],[Qty]]))</f>
        <v>225</v>
      </c>
    </row>
    <row r="1247" spans="1:14" x14ac:dyDescent="0.25">
      <c r="A1247" t="s">
        <v>1289</v>
      </c>
      <c r="B1247" s="1">
        <v>46074</v>
      </c>
      <c r="C1247">
        <f>IF(tbl_main[[#This Row],[Date]]="","",YEAR(B1247))</f>
        <v>2026</v>
      </c>
      <c r="D1247" t="str">
        <f>IF(tbl_main[[#This Row],[Date]]="","",TEXT(B1247,"mmm"))</f>
        <v>Feb</v>
      </c>
      <c r="E1247" t="str">
        <f>IF(tbl_main[[#This Row],[Date]]="","",TEXT(B1247,"DDD"))</f>
        <v>Sat</v>
      </c>
      <c r="F1247" t="s">
        <v>20</v>
      </c>
      <c r="G1247" t="s">
        <v>29</v>
      </c>
      <c r="H1247" s="3" t="s">
        <v>34</v>
      </c>
      <c r="I1247" s="3" t="s">
        <v>35</v>
      </c>
      <c r="J1247" s="3" t="s">
        <v>17</v>
      </c>
      <c r="K1247" s="3">
        <f>_xlfn.XLOOKUP(tbl_main[[#This Row],[Service]],tbl_service[Service],tbl_service[Price],"")</f>
        <v>100</v>
      </c>
      <c r="L1247" s="3">
        <v>1</v>
      </c>
      <c r="M1247" s="3">
        <f>IF(AND(tbl_main[[#This Row],[Price]]="",tbl_main[[#This Row],[Qty]]=""),"",tbl_main[[#This Row],[Price]]*tbl_main[[#This Row],[Qty]])</f>
        <v>100</v>
      </c>
      <c r="N1247" s="3">
        <f>_xlfn.LET(_xlpm.x,_xlfn.XLOOKUP(tbl_main[[#This Row],[Service]],tbl_service[Service],tbl_service[Profit],""),
               IF(tbl_main[[#This Row],[Qty]]="","",_xlpm.x*tbl_main[[#This Row],[Qty]]))</f>
        <v>45</v>
      </c>
    </row>
    <row r="1248" spans="1:14" x14ac:dyDescent="0.25">
      <c r="A1248" t="s">
        <v>1290</v>
      </c>
      <c r="B1248" s="1">
        <v>46074</v>
      </c>
      <c r="C1248">
        <f>IF(tbl_main[[#This Row],[Date]]="","",YEAR(B1248))</f>
        <v>2026</v>
      </c>
      <c r="D1248" t="str">
        <f>IF(tbl_main[[#This Row],[Date]]="","",TEXT(B1248,"mmm"))</f>
        <v>Feb</v>
      </c>
      <c r="E1248" t="str">
        <f>IF(tbl_main[[#This Row],[Date]]="","",TEXT(B1248,"DDD"))</f>
        <v>Sat</v>
      </c>
      <c r="F1248" t="s">
        <v>13</v>
      </c>
      <c r="G1248" t="s">
        <v>14</v>
      </c>
      <c r="H1248" s="3" t="s">
        <v>18</v>
      </c>
      <c r="I1248" s="3" t="s">
        <v>35</v>
      </c>
      <c r="J1248" s="3" t="s">
        <v>25</v>
      </c>
      <c r="K1248" s="3">
        <f>_xlfn.XLOOKUP(tbl_main[[#This Row],[Service]],tbl_service[Service],tbl_service[Price],"")</f>
        <v>500</v>
      </c>
      <c r="L1248" s="3">
        <v>1</v>
      </c>
      <c r="M1248" s="3">
        <f>IF(AND(tbl_main[[#This Row],[Price]]="",tbl_main[[#This Row],[Qty]]=""),"",tbl_main[[#This Row],[Price]]*tbl_main[[#This Row],[Qty]])</f>
        <v>500</v>
      </c>
      <c r="N1248" s="3">
        <f>_xlfn.LET(_xlpm.x,_xlfn.XLOOKUP(tbl_main[[#This Row],[Service]],tbl_service[Service],tbl_service[Profit],""),
               IF(tbl_main[[#This Row],[Qty]]="","",_xlpm.x*tbl_main[[#This Row],[Qty]]))</f>
        <v>157</v>
      </c>
    </row>
    <row r="1249" spans="1:14" x14ac:dyDescent="0.25">
      <c r="A1249" t="s">
        <v>1291</v>
      </c>
      <c r="B1249" s="1">
        <v>46075</v>
      </c>
      <c r="C1249">
        <f>IF(tbl_main[[#This Row],[Date]]="","",YEAR(B1249))</f>
        <v>2026</v>
      </c>
      <c r="D1249" t="str">
        <f>IF(tbl_main[[#This Row],[Date]]="","",TEXT(B1249,"mmm"))</f>
        <v>Feb</v>
      </c>
      <c r="E1249" t="str">
        <f>IF(tbl_main[[#This Row],[Date]]="","",TEXT(B1249,"DDD"))</f>
        <v>Sun</v>
      </c>
      <c r="F1249" t="s">
        <v>30</v>
      </c>
      <c r="G1249" t="s">
        <v>31</v>
      </c>
      <c r="H1249" s="3" t="s">
        <v>22</v>
      </c>
      <c r="I1249" s="3" t="s">
        <v>23</v>
      </c>
      <c r="J1249" s="3" t="s">
        <v>32</v>
      </c>
      <c r="K1249" s="3">
        <f>_xlfn.XLOOKUP(tbl_main[[#This Row],[Service]],tbl_service[Service],tbl_service[Price],"")</f>
        <v>150</v>
      </c>
      <c r="L1249" s="3">
        <v>2</v>
      </c>
      <c r="M1249" s="3">
        <f>IF(AND(tbl_main[[#This Row],[Price]]="",tbl_main[[#This Row],[Qty]]=""),"",tbl_main[[#This Row],[Price]]*tbl_main[[#This Row],[Qty]])</f>
        <v>300</v>
      </c>
      <c r="N1249" s="3">
        <f>_xlfn.LET(_xlpm.x,_xlfn.XLOOKUP(tbl_main[[#This Row],[Service]],tbl_service[Service],tbl_service[Profit],""),
               IF(tbl_main[[#This Row],[Qty]]="","",_xlpm.x*tbl_main[[#This Row],[Qty]]))</f>
        <v>134</v>
      </c>
    </row>
    <row r="1250" spans="1:14" x14ac:dyDescent="0.25">
      <c r="A1250" t="s">
        <v>1292</v>
      </c>
      <c r="B1250" s="1">
        <v>46075</v>
      </c>
      <c r="C1250">
        <f>IF(tbl_main[[#This Row],[Date]]="","",YEAR(B1250))</f>
        <v>2026</v>
      </c>
      <c r="D1250" t="str">
        <f>IF(tbl_main[[#This Row],[Date]]="","",TEXT(B1250,"mmm"))</f>
        <v>Feb</v>
      </c>
      <c r="E1250" t="str">
        <f>IF(tbl_main[[#This Row],[Date]]="","",TEXT(B1250,"DDD"))</f>
        <v>Sun</v>
      </c>
      <c r="F1250" t="s">
        <v>30</v>
      </c>
      <c r="G1250" t="s">
        <v>31</v>
      </c>
      <c r="H1250" s="3" t="s">
        <v>24</v>
      </c>
      <c r="I1250" s="3" t="s">
        <v>37</v>
      </c>
      <c r="J1250" s="3" t="s">
        <v>32</v>
      </c>
      <c r="K1250" s="3">
        <f>_xlfn.XLOOKUP(tbl_main[[#This Row],[Service]],tbl_service[Service],tbl_service[Price],"")</f>
        <v>80</v>
      </c>
      <c r="L1250" s="3">
        <v>1</v>
      </c>
      <c r="M1250" s="3">
        <f>IF(AND(tbl_main[[#This Row],[Price]]="",tbl_main[[#This Row],[Qty]]=""),"",tbl_main[[#This Row],[Price]]*tbl_main[[#This Row],[Qty]])</f>
        <v>80</v>
      </c>
      <c r="N1250" s="3">
        <f>_xlfn.LET(_xlpm.x,_xlfn.XLOOKUP(tbl_main[[#This Row],[Service]],tbl_service[Service],tbl_service[Profit],""),
               IF(tbl_main[[#This Row],[Qty]]="","",_xlpm.x*tbl_main[[#This Row],[Qty]]))</f>
        <v>36</v>
      </c>
    </row>
    <row r="1251" spans="1:14" x14ac:dyDescent="0.25">
      <c r="A1251" t="s">
        <v>1293</v>
      </c>
      <c r="B1251" s="1">
        <v>46075</v>
      </c>
      <c r="C1251">
        <f>IF(tbl_main[[#This Row],[Date]]="","",YEAR(B1251))</f>
        <v>2026</v>
      </c>
      <c r="D1251" t="str">
        <f>IF(tbl_main[[#This Row],[Date]]="","",TEXT(B1251,"mmm"))</f>
        <v>Feb</v>
      </c>
      <c r="E1251" t="str">
        <f>IF(tbl_main[[#This Row],[Date]]="","",TEXT(B1251,"DDD"))</f>
        <v>Sun</v>
      </c>
      <c r="F1251" t="s">
        <v>13</v>
      </c>
      <c r="G1251" t="s">
        <v>14</v>
      </c>
      <c r="H1251" s="3" t="s">
        <v>24</v>
      </c>
      <c r="I1251" s="3" t="s">
        <v>38</v>
      </c>
      <c r="J1251" s="3" t="s">
        <v>17</v>
      </c>
      <c r="K1251" s="3">
        <f>_xlfn.XLOOKUP(tbl_main[[#This Row],[Service]],tbl_service[Service],tbl_service[Price],"")</f>
        <v>80</v>
      </c>
      <c r="L1251" s="3">
        <v>1</v>
      </c>
      <c r="M1251" s="3">
        <f>IF(AND(tbl_main[[#This Row],[Price]]="",tbl_main[[#This Row],[Qty]]=""),"",tbl_main[[#This Row],[Price]]*tbl_main[[#This Row],[Qty]])</f>
        <v>80</v>
      </c>
      <c r="N1251" s="3">
        <f>_xlfn.LET(_xlpm.x,_xlfn.XLOOKUP(tbl_main[[#This Row],[Service]],tbl_service[Service],tbl_service[Profit],""),
               IF(tbl_main[[#This Row],[Qty]]="","",_xlpm.x*tbl_main[[#This Row],[Qty]]))</f>
        <v>36</v>
      </c>
    </row>
    <row r="1252" spans="1:14" x14ac:dyDescent="0.25">
      <c r="A1252" t="s">
        <v>1294</v>
      </c>
      <c r="B1252" s="1">
        <v>46076</v>
      </c>
      <c r="C1252">
        <f>IF(tbl_main[[#This Row],[Date]]="","",YEAR(B1252))</f>
        <v>2026</v>
      </c>
      <c r="D1252" t="str">
        <f>IF(tbl_main[[#This Row],[Date]]="","",TEXT(B1252,"mmm"))</f>
        <v>Feb</v>
      </c>
      <c r="E1252" t="str">
        <f>IF(tbl_main[[#This Row],[Date]]="","",TEXT(B1252,"DDD"))</f>
        <v>Mon</v>
      </c>
      <c r="F1252" t="s">
        <v>20</v>
      </c>
      <c r="G1252" t="s">
        <v>21</v>
      </c>
      <c r="H1252" s="3" t="s">
        <v>15</v>
      </c>
      <c r="I1252" s="3" t="s">
        <v>16</v>
      </c>
      <c r="J1252" s="3" t="s">
        <v>25</v>
      </c>
      <c r="K1252" s="3">
        <f>_xlfn.XLOOKUP(tbl_main[[#This Row],[Service]],tbl_service[Service],tbl_service[Price],"")</f>
        <v>500</v>
      </c>
      <c r="L1252" s="3">
        <v>2</v>
      </c>
      <c r="M1252" s="3">
        <f>IF(AND(tbl_main[[#This Row],[Price]]="",tbl_main[[#This Row],[Qty]]=""),"",tbl_main[[#This Row],[Price]]*tbl_main[[#This Row],[Qty]])</f>
        <v>1000</v>
      </c>
      <c r="N1252" s="3">
        <f>_xlfn.LET(_xlpm.x,_xlfn.XLOOKUP(tbl_main[[#This Row],[Service]],tbl_service[Service],tbl_service[Profit],""),
               IF(tbl_main[[#This Row],[Qty]]="","",_xlpm.x*tbl_main[[#This Row],[Qty]]))</f>
        <v>450</v>
      </c>
    </row>
    <row r="1253" spans="1:14" x14ac:dyDescent="0.25">
      <c r="A1253" t="s">
        <v>1295</v>
      </c>
      <c r="B1253" s="1">
        <v>46076</v>
      </c>
      <c r="C1253">
        <f>IF(tbl_main[[#This Row],[Date]]="","",YEAR(B1253))</f>
        <v>2026</v>
      </c>
      <c r="D1253" t="str">
        <f>IF(tbl_main[[#This Row],[Date]]="","",TEXT(B1253,"mmm"))</f>
        <v>Feb</v>
      </c>
      <c r="E1253" t="str">
        <f>IF(tbl_main[[#This Row],[Date]]="","",TEXT(B1253,"DDD"))</f>
        <v>Mon</v>
      </c>
      <c r="F1253" t="s">
        <v>20</v>
      </c>
      <c r="G1253" t="s">
        <v>39</v>
      </c>
      <c r="H1253" s="3" t="s">
        <v>18</v>
      </c>
      <c r="I1253" s="3" t="s">
        <v>19</v>
      </c>
      <c r="J1253" s="3" t="s">
        <v>25</v>
      </c>
      <c r="K1253" s="3">
        <f>_xlfn.XLOOKUP(tbl_main[[#This Row],[Service]],tbl_service[Service],tbl_service[Price],"")</f>
        <v>500</v>
      </c>
      <c r="L1253" s="3">
        <v>2</v>
      </c>
      <c r="M1253" s="3">
        <f>IF(AND(tbl_main[[#This Row],[Price]]="",tbl_main[[#This Row],[Qty]]=""),"",tbl_main[[#This Row],[Price]]*tbl_main[[#This Row],[Qty]])</f>
        <v>1000</v>
      </c>
      <c r="N1253" s="3">
        <f>_xlfn.LET(_xlpm.x,_xlfn.XLOOKUP(tbl_main[[#This Row],[Service]],tbl_service[Service],tbl_service[Profit],""),
               IF(tbl_main[[#This Row],[Qty]]="","",_xlpm.x*tbl_main[[#This Row],[Qty]]))</f>
        <v>314</v>
      </c>
    </row>
    <row r="1254" spans="1:14" x14ac:dyDescent="0.25">
      <c r="A1254" t="s">
        <v>1296</v>
      </c>
      <c r="B1254" s="1">
        <v>46076</v>
      </c>
      <c r="C1254">
        <f>IF(tbl_main[[#This Row],[Date]]="","",YEAR(B1254))</f>
        <v>2026</v>
      </c>
      <c r="D1254" t="str">
        <f>IF(tbl_main[[#This Row],[Date]]="","",TEXT(B1254,"mmm"))</f>
        <v>Feb</v>
      </c>
      <c r="E1254" t="str">
        <f>IF(tbl_main[[#This Row],[Date]]="","",TEXT(B1254,"DDD"))</f>
        <v>Mon</v>
      </c>
      <c r="F1254" t="s">
        <v>13</v>
      </c>
      <c r="G1254" t="s">
        <v>14</v>
      </c>
      <c r="H1254" s="3" t="s">
        <v>34</v>
      </c>
      <c r="I1254" s="3" t="s">
        <v>43</v>
      </c>
      <c r="J1254" s="3" t="s">
        <v>32</v>
      </c>
      <c r="K1254" s="3">
        <f>_xlfn.XLOOKUP(tbl_main[[#This Row],[Service]],tbl_service[Service],tbl_service[Price],"")</f>
        <v>100</v>
      </c>
      <c r="L1254" s="3">
        <v>2</v>
      </c>
      <c r="M1254" s="3">
        <f>IF(AND(tbl_main[[#This Row],[Price]]="",tbl_main[[#This Row],[Qty]]=""),"",tbl_main[[#This Row],[Price]]*tbl_main[[#This Row],[Qty]])</f>
        <v>200</v>
      </c>
      <c r="N1254" s="3">
        <f>_xlfn.LET(_xlpm.x,_xlfn.XLOOKUP(tbl_main[[#This Row],[Service]],tbl_service[Service],tbl_service[Profit],""),
               IF(tbl_main[[#This Row],[Qty]]="","",_xlpm.x*tbl_main[[#This Row],[Qty]]))</f>
        <v>90</v>
      </c>
    </row>
    <row r="1255" spans="1:14" x14ac:dyDescent="0.25">
      <c r="A1255" t="s">
        <v>1297</v>
      </c>
      <c r="B1255" s="1">
        <v>46076</v>
      </c>
      <c r="C1255">
        <f>IF(tbl_main[[#This Row],[Date]]="","",YEAR(B1255))</f>
        <v>2026</v>
      </c>
      <c r="D1255" t="str">
        <f>IF(tbl_main[[#This Row],[Date]]="","",TEXT(B1255,"mmm"))</f>
        <v>Feb</v>
      </c>
      <c r="E1255" t="str">
        <f>IF(tbl_main[[#This Row],[Date]]="","",TEXT(B1255,"DDD"))</f>
        <v>Mon</v>
      </c>
      <c r="F1255" t="s">
        <v>27</v>
      </c>
      <c r="G1255" t="s">
        <v>40</v>
      </c>
      <c r="H1255" s="3" t="s">
        <v>22</v>
      </c>
      <c r="I1255" s="3" t="s">
        <v>41</v>
      </c>
      <c r="J1255" s="3" t="s">
        <v>32</v>
      </c>
      <c r="K1255" s="3">
        <f>_xlfn.XLOOKUP(tbl_main[[#This Row],[Service]],tbl_service[Service],tbl_service[Price],"")</f>
        <v>150</v>
      </c>
      <c r="L1255" s="3">
        <v>2</v>
      </c>
      <c r="M1255" s="3">
        <f>IF(AND(tbl_main[[#This Row],[Price]]="",tbl_main[[#This Row],[Qty]]=""),"",tbl_main[[#This Row],[Price]]*tbl_main[[#This Row],[Qty]])</f>
        <v>300</v>
      </c>
      <c r="N1255" s="3">
        <f>_xlfn.LET(_xlpm.x,_xlfn.XLOOKUP(tbl_main[[#This Row],[Service]],tbl_service[Service],tbl_service[Profit],""),
               IF(tbl_main[[#This Row],[Qty]]="","",_xlpm.x*tbl_main[[#This Row],[Qty]]))</f>
        <v>134</v>
      </c>
    </row>
    <row r="1256" spans="1:14" x14ac:dyDescent="0.25">
      <c r="A1256" t="s">
        <v>1298</v>
      </c>
      <c r="B1256" s="1">
        <v>46077</v>
      </c>
      <c r="C1256">
        <f>IF(tbl_main[[#This Row],[Date]]="","",YEAR(B1256))</f>
        <v>2026</v>
      </c>
      <c r="D1256" t="str">
        <f>IF(tbl_main[[#This Row],[Date]]="","",TEXT(B1256,"mmm"))</f>
        <v>Feb</v>
      </c>
      <c r="E1256" t="str">
        <f>IF(tbl_main[[#This Row],[Date]]="","",TEXT(B1256,"DDD"))</f>
        <v>Tue</v>
      </c>
      <c r="F1256" t="s">
        <v>27</v>
      </c>
      <c r="G1256" t="s">
        <v>28</v>
      </c>
      <c r="H1256" s="3" t="s">
        <v>34</v>
      </c>
      <c r="I1256" s="3" t="s">
        <v>41</v>
      </c>
      <c r="J1256" s="3" t="s">
        <v>25</v>
      </c>
      <c r="K1256" s="3">
        <f>_xlfn.XLOOKUP(tbl_main[[#This Row],[Service]],tbl_service[Service],tbl_service[Price],"")</f>
        <v>100</v>
      </c>
      <c r="L1256" s="3">
        <v>1</v>
      </c>
      <c r="M1256" s="3">
        <f>IF(AND(tbl_main[[#This Row],[Price]]="",tbl_main[[#This Row],[Qty]]=""),"",tbl_main[[#This Row],[Price]]*tbl_main[[#This Row],[Qty]])</f>
        <v>100</v>
      </c>
      <c r="N1256" s="3">
        <f>_xlfn.LET(_xlpm.x,_xlfn.XLOOKUP(tbl_main[[#This Row],[Service]],tbl_service[Service],tbl_service[Profit],""),
               IF(tbl_main[[#This Row],[Qty]]="","",_xlpm.x*tbl_main[[#This Row],[Qty]]))</f>
        <v>45</v>
      </c>
    </row>
    <row r="1257" spans="1:14" x14ac:dyDescent="0.25">
      <c r="A1257" t="s">
        <v>1299</v>
      </c>
      <c r="B1257" s="1">
        <v>46077</v>
      </c>
      <c r="C1257">
        <f>IF(tbl_main[[#This Row],[Date]]="","",YEAR(B1257))</f>
        <v>2026</v>
      </c>
      <c r="D1257" t="str">
        <f>IF(tbl_main[[#This Row],[Date]]="","",TEXT(B1257,"mmm"))</f>
        <v>Feb</v>
      </c>
      <c r="E1257" t="str">
        <f>IF(tbl_main[[#This Row],[Date]]="","",TEXT(B1257,"DDD"))</f>
        <v>Tue</v>
      </c>
      <c r="F1257" t="s">
        <v>20</v>
      </c>
      <c r="G1257" t="s">
        <v>21</v>
      </c>
      <c r="H1257" s="3" t="s">
        <v>26</v>
      </c>
      <c r="I1257" s="3" t="s">
        <v>35</v>
      </c>
      <c r="J1257" s="3" t="s">
        <v>32</v>
      </c>
      <c r="K1257" s="3">
        <f>_xlfn.XLOOKUP(tbl_main[[#This Row],[Service]],tbl_service[Service],tbl_service[Price],"")</f>
        <v>200</v>
      </c>
      <c r="L1257" s="3">
        <v>2</v>
      </c>
      <c r="M1257" s="3">
        <f>IF(AND(tbl_main[[#This Row],[Price]]="",tbl_main[[#This Row],[Qty]]=""),"",tbl_main[[#This Row],[Price]]*tbl_main[[#This Row],[Qty]])</f>
        <v>400</v>
      </c>
      <c r="N1257" s="3">
        <f>_xlfn.LET(_xlpm.x,_xlfn.XLOOKUP(tbl_main[[#This Row],[Service]],tbl_service[Service],tbl_service[Profit],""),
               IF(tbl_main[[#This Row],[Qty]]="","",_xlpm.x*tbl_main[[#This Row],[Qty]]))</f>
        <v>180</v>
      </c>
    </row>
    <row r="1258" spans="1:14" x14ac:dyDescent="0.25">
      <c r="A1258" t="s">
        <v>1300</v>
      </c>
      <c r="B1258" s="1">
        <v>46077</v>
      </c>
      <c r="C1258">
        <f>IF(tbl_main[[#This Row],[Date]]="","",YEAR(B1258))</f>
        <v>2026</v>
      </c>
      <c r="D1258" t="str">
        <f>IF(tbl_main[[#This Row],[Date]]="","",TEXT(B1258,"mmm"))</f>
        <v>Feb</v>
      </c>
      <c r="E1258" t="str">
        <f>IF(tbl_main[[#This Row],[Date]]="","",TEXT(B1258,"DDD"))</f>
        <v>Tue</v>
      </c>
      <c r="F1258" t="s">
        <v>27</v>
      </c>
      <c r="G1258" t="s">
        <v>28</v>
      </c>
      <c r="H1258" s="3" t="s">
        <v>15</v>
      </c>
      <c r="I1258" s="3" t="s">
        <v>35</v>
      </c>
      <c r="J1258" s="3" t="s">
        <v>32</v>
      </c>
      <c r="K1258" s="3">
        <f>_xlfn.XLOOKUP(tbl_main[[#This Row],[Service]],tbl_service[Service],tbl_service[Price],"")</f>
        <v>500</v>
      </c>
      <c r="L1258" s="3">
        <v>1</v>
      </c>
      <c r="M1258" s="3">
        <f>IF(AND(tbl_main[[#This Row],[Price]]="",tbl_main[[#This Row],[Qty]]=""),"",tbl_main[[#This Row],[Price]]*tbl_main[[#This Row],[Qty]])</f>
        <v>500</v>
      </c>
      <c r="N1258" s="3">
        <f>_xlfn.LET(_xlpm.x,_xlfn.XLOOKUP(tbl_main[[#This Row],[Service]],tbl_service[Service],tbl_service[Profit],""),
               IF(tbl_main[[#This Row],[Qty]]="","",_xlpm.x*tbl_main[[#This Row],[Qty]]))</f>
        <v>225</v>
      </c>
    </row>
    <row r="1259" spans="1:14" x14ac:dyDescent="0.25">
      <c r="A1259" t="s">
        <v>1301</v>
      </c>
      <c r="B1259" s="1">
        <v>46077</v>
      </c>
      <c r="C1259">
        <f>IF(tbl_main[[#This Row],[Date]]="","",YEAR(B1259))</f>
        <v>2026</v>
      </c>
      <c r="D1259" t="str">
        <f>IF(tbl_main[[#This Row],[Date]]="","",TEXT(B1259,"mmm"))</f>
        <v>Feb</v>
      </c>
      <c r="E1259" t="str">
        <f>IF(tbl_main[[#This Row],[Date]]="","",TEXT(B1259,"DDD"))</f>
        <v>Tue</v>
      </c>
      <c r="F1259" t="s">
        <v>20</v>
      </c>
      <c r="G1259" t="s">
        <v>29</v>
      </c>
      <c r="H1259" s="3" t="s">
        <v>24</v>
      </c>
      <c r="I1259" s="3" t="s">
        <v>23</v>
      </c>
      <c r="J1259" s="3" t="s">
        <v>32</v>
      </c>
      <c r="K1259" s="3">
        <f>_xlfn.XLOOKUP(tbl_main[[#This Row],[Service]],tbl_service[Service],tbl_service[Price],"")</f>
        <v>80</v>
      </c>
      <c r="L1259" s="3">
        <v>2</v>
      </c>
      <c r="M1259" s="3">
        <f>IF(AND(tbl_main[[#This Row],[Price]]="",tbl_main[[#This Row],[Qty]]=""),"",tbl_main[[#This Row],[Price]]*tbl_main[[#This Row],[Qty]])</f>
        <v>160</v>
      </c>
      <c r="N1259" s="3">
        <f>_xlfn.LET(_xlpm.x,_xlfn.XLOOKUP(tbl_main[[#This Row],[Service]],tbl_service[Service],tbl_service[Profit],""),
               IF(tbl_main[[#This Row],[Qty]]="","",_xlpm.x*tbl_main[[#This Row],[Qty]]))</f>
        <v>72</v>
      </c>
    </row>
    <row r="1260" spans="1:14" x14ac:dyDescent="0.25">
      <c r="A1260" t="s">
        <v>1302</v>
      </c>
      <c r="B1260" s="1">
        <v>46078</v>
      </c>
      <c r="C1260">
        <f>IF(tbl_main[[#This Row],[Date]]="","",YEAR(B1260))</f>
        <v>2026</v>
      </c>
      <c r="D1260" t="str">
        <f>IF(tbl_main[[#This Row],[Date]]="","",TEXT(B1260,"mmm"))</f>
        <v>Feb</v>
      </c>
      <c r="E1260" t="str">
        <f>IF(tbl_main[[#This Row],[Date]]="","",TEXT(B1260,"DDD"))</f>
        <v>Wed</v>
      </c>
      <c r="F1260" t="s">
        <v>27</v>
      </c>
      <c r="G1260" t="s">
        <v>28</v>
      </c>
      <c r="H1260" s="3" t="s">
        <v>18</v>
      </c>
      <c r="I1260" s="3" t="s">
        <v>37</v>
      </c>
      <c r="J1260" s="3" t="s">
        <v>17</v>
      </c>
      <c r="K1260" s="3">
        <f>_xlfn.XLOOKUP(tbl_main[[#This Row],[Service]],tbl_service[Service],tbl_service[Price],"")</f>
        <v>500</v>
      </c>
      <c r="L1260" s="3">
        <v>1</v>
      </c>
      <c r="M1260" s="3">
        <f>IF(AND(tbl_main[[#This Row],[Price]]="",tbl_main[[#This Row],[Qty]]=""),"",tbl_main[[#This Row],[Price]]*tbl_main[[#This Row],[Qty]])</f>
        <v>500</v>
      </c>
      <c r="N1260" s="3">
        <f>_xlfn.LET(_xlpm.x,_xlfn.XLOOKUP(tbl_main[[#This Row],[Service]],tbl_service[Service],tbl_service[Profit],""),
               IF(tbl_main[[#This Row],[Qty]]="","",_xlpm.x*tbl_main[[#This Row],[Qty]]))</f>
        <v>157</v>
      </c>
    </row>
    <row r="1261" spans="1:14" x14ac:dyDescent="0.25">
      <c r="A1261" t="s">
        <v>1303</v>
      </c>
      <c r="B1261" s="1">
        <v>46078</v>
      </c>
      <c r="C1261">
        <f>IF(tbl_main[[#This Row],[Date]]="","",YEAR(B1261))</f>
        <v>2026</v>
      </c>
      <c r="D1261" t="str">
        <f>IF(tbl_main[[#This Row],[Date]]="","",TEXT(B1261,"mmm"))</f>
        <v>Feb</v>
      </c>
      <c r="E1261" t="str">
        <f>IF(tbl_main[[#This Row],[Date]]="","",TEXT(B1261,"DDD"))</f>
        <v>Wed</v>
      </c>
      <c r="F1261" t="s">
        <v>30</v>
      </c>
      <c r="G1261" t="s">
        <v>31</v>
      </c>
      <c r="H1261" s="3" t="s">
        <v>18</v>
      </c>
      <c r="I1261" s="3" t="s">
        <v>38</v>
      </c>
      <c r="J1261" s="3" t="s">
        <v>25</v>
      </c>
      <c r="K1261" s="3">
        <f>_xlfn.XLOOKUP(tbl_main[[#This Row],[Service]],tbl_service[Service],tbl_service[Price],"")</f>
        <v>500</v>
      </c>
      <c r="L1261" s="3">
        <v>1</v>
      </c>
      <c r="M1261" s="3">
        <f>IF(AND(tbl_main[[#This Row],[Price]]="",tbl_main[[#This Row],[Qty]]=""),"",tbl_main[[#This Row],[Price]]*tbl_main[[#This Row],[Qty]])</f>
        <v>500</v>
      </c>
      <c r="N1261" s="3">
        <f>_xlfn.LET(_xlpm.x,_xlfn.XLOOKUP(tbl_main[[#This Row],[Service]],tbl_service[Service],tbl_service[Profit],""),
               IF(tbl_main[[#This Row],[Qty]]="","",_xlpm.x*tbl_main[[#This Row],[Qty]]))</f>
        <v>157</v>
      </c>
    </row>
    <row r="1262" spans="1:14" x14ac:dyDescent="0.25">
      <c r="A1262" t="s">
        <v>1304</v>
      </c>
      <c r="B1262" s="1">
        <v>46079</v>
      </c>
      <c r="C1262">
        <f>IF(tbl_main[[#This Row],[Date]]="","",YEAR(B1262))</f>
        <v>2026</v>
      </c>
      <c r="D1262" t="str">
        <f>IF(tbl_main[[#This Row],[Date]]="","",TEXT(B1262,"mmm"))</f>
        <v>Feb</v>
      </c>
      <c r="E1262" t="str">
        <f>IF(tbl_main[[#This Row],[Date]]="","",TEXT(B1262,"DDD"))</f>
        <v>Thu</v>
      </c>
      <c r="F1262" t="s">
        <v>13</v>
      </c>
      <c r="G1262" t="s">
        <v>33</v>
      </c>
      <c r="H1262" s="3" t="s">
        <v>34</v>
      </c>
      <c r="I1262" s="3" t="s">
        <v>16</v>
      </c>
      <c r="J1262" s="3" t="s">
        <v>32</v>
      </c>
      <c r="K1262" s="3">
        <f>_xlfn.XLOOKUP(tbl_main[[#This Row],[Service]],tbl_service[Service],tbl_service[Price],"")</f>
        <v>100</v>
      </c>
      <c r="L1262" s="3">
        <v>1</v>
      </c>
      <c r="M1262" s="3">
        <f>IF(AND(tbl_main[[#This Row],[Price]]="",tbl_main[[#This Row],[Qty]]=""),"",tbl_main[[#This Row],[Price]]*tbl_main[[#This Row],[Qty]])</f>
        <v>100</v>
      </c>
      <c r="N1262" s="3">
        <f>_xlfn.LET(_xlpm.x,_xlfn.XLOOKUP(tbl_main[[#This Row],[Service]],tbl_service[Service],tbl_service[Profit],""),
               IF(tbl_main[[#This Row],[Qty]]="","",_xlpm.x*tbl_main[[#This Row],[Qty]]))</f>
        <v>45</v>
      </c>
    </row>
    <row r="1263" spans="1:14" x14ac:dyDescent="0.25">
      <c r="A1263" t="s">
        <v>1305</v>
      </c>
      <c r="B1263" s="1">
        <v>46079</v>
      </c>
      <c r="C1263">
        <f>IF(tbl_main[[#This Row],[Date]]="","",YEAR(B1263))</f>
        <v>2026</v>
      </c>
      <c r="D1263" t="str">
        <f>IF(tbl_main[[#This Row],[Date]]="","",TEXT(B1263,"mmm"))</f>
        <v>Feb</v>
      </c>
      <c r="E1263" t="str">
        <f>IF(tbl_main[[#This Row],[Date]]="","",TEXT(B1263,"DDD"))</f>
        <v>Thu</v>
      </c>
      <c r="F1263" t="s">
        <v>30</v>
      </c>
      <c r="G1263" t="s">
        <v>36</v>
      </c>
      <c r="H1263" s="3" t="s">
        <v>26</v>
      </c>
      <c r="I1263" s="3" t="s">
        <v>19</v>
      </c>
      <c r="J1263" s="3" t="s">
        <v>32</v>
      </c>
      <c r="K1263" s="3">
        <f>_xlfn.XLOOKUP(tbl_main[[#This Row],[Service]],tbl_service[Service],tbl_service[Price],"")</f>
        <v>200</v>
      </c>
      <c r="L1263" s="3">
        <v>2</v>
      </c>
      <c r="M1263" s="3">
        <f>IF(AND(tbl_main[[#This Row],[Price]]="",tbl_main[[#This Row],[Qty]]=""),"",tbl_main[[#This Row],[Price]]*tbl_main[[#This Row],[Qty]])</f>
        <v>400</v>
      </c>
      <c r="N1263" s="3">
        <f>_xlfn.LET(_xlpm.x,_xlfn.XLOOKUP(tbl_main[[#This Row],[Service]],tbl_service[Service],tbl_service[Profit],""),
               IF(tbl_main[[#This Row],[Qty]]="","",_xlpm.x*tbl_main[[#This Row],[Qty]]))</f>
        <v>180</v>
      </c>
    </row>
    <row r="1264" spans="1:14" x14ac:dyDescent="0.25">
      <c r="A1264" t="s">
        <v>1306</v>
      </c>
      <c r="B1264" s="1">
        <v>46079</v>
      </c>
      <c r="C1264">
        <f>IF(tbl_main[[#This Row],[Date]]="","",YEAR(B1264))</f>
        <v>2026</v>
      </c>
      <c r="D1264" t="str">
        <f>IF(tbl_main[[#This Row],[Date]]="","",TEXT(B1264,"mmm"))</f>
        <v>Feb</v>
      </c>
      <c r="E1264" t="str">
        <f>IF(tbl_main[[#This Row],[Date]]="","",TEXT(B1264,"DDD"))</f>
        <v>Thu</v>
      </c>
      <c r="F1264" t="s">
        <v>30</v>
      </c>
      <c r="G1264" t="s">
        <v>36</v>
      </c>
      <c r="H1264" s="3" t="s">
        <v>34</v>
      </c>
      <c r="I1264" s="3" t="s">
        <v>43</v>
      </c>
      <c r="J1264" s="3" t="s">
        <v>32</v>
      </c>
      <c r="K1264" s="3">
        <f>_xlfn.XLOOKUP(tbl_main[[#This Row],[Service]],tbl_service[Service],tbl_service[Price],"")</f>
        <v>100</v>
      </c>
      <c r="L1264" s="3">
        <v>1</v>
      </c>
      <c r="M1264" s="3">
        <f>IF(AND(tbl_main[[#This Row],[Price]]="",tbl_main[[#This Row],[Qty]]=""),"",tbl_main[[#This Row],[Price]]*tbl_main[[#This Row],[Qty]])</f>
        <v>100</v>
      </c>
      <c r="N1264" s="3">
        <f>_xlfn.LET(_xlpm.x,_xlfn.XLOOKUP(tbl_main[[#This Row],[Service]],tbl_service[Service],tbl_service[Profit],""),
               IF(tbl_main[[#This Row],[Qty]]="","",_xlpm.x*tbl_main[[#This Row],[Qty]]))</f>
        <v>45</v>
      </c>
    </row>
    <row r="1265" spans="1:14" x14ac:dyDescent="0.25">
      <c r="A1265" t="s">
        <v>1307</v>
      </c>
      <c r="B1265" s="1">
        <v>46080</v>
      </c>
      <c r="C1265">
        <f>IF(tbl_main[[#This Row],[Date]]="","",YEAR(B1265))</f>
        <v>2026</v>
      </c>
      <c r="D1265" t="str">
        <f>IF(tbl_main[[#This Row],[Date]]="","",TEXT(B1265,"mmm"))</f>
        <v>Feb</v>
      </c>
      <c r="E1265" t="str">
        <f>IF(tbl_main[[#This Row],[Date]]="","",TEXT(B1265,"DDD"))</f>
        <v>Fri</v>
      </c>
      <c r="F1265" t="s">
        <v>30</v>
      </c>
      <c r="G1265" t="s">
        <v>36</v>
      </c>
      <c r="H1265" s="3" t="s">
        <v>18</v>
      </c>
      <c r="I1265" s="3" t="s">
        <v>41</v>
      </c>
      <c r="J1265" s="3" t="s">
        <v>32</v>
      </c>
      <c r="K1265" s="3">
        <f>_xlfn.XLOOKUP(tbl_main[[#This Row],[Service]],tbl_service[Service],tbl_service[Price],"")</f>
        <v>500</v>
      </c>
      <c r="L1265" s="3">
        <v>1</v>
      </c>
      <c r="M1265" s="3">
        <f>IF(AND(tbl_main[[#This Row],[Price]]="",tbl_main[[#This Row],[Qty]]=""),"",tbl_main[[#This Row],[Price]]*tbl_main[[#This Row],[Qty]])</f>
        <v>500</v>
      </c>
      <c r="N1265" s="3">
        <f>_xlfn.LET(_xlpm.x,_xlfn.XLOOKUP(tbl_main[[#This Row],[Service]],tbl_service[Service],tbl_service[Profit],""),
               IF(tbl_main[[#This Row],[Qty]]="","",_xlpm.x*tbl_main[[#This Row],[Qty]]))</f>
        <v>157</v>
      </c>
    </row>
    <row r="1266" spans="1:14" x14ac:dyDescent="0.25">
      <c r="A1266" t="s">
        <v>1308</v>
      </c>
      <c r="B1266" s="1">
        <v>46080</v>
      </c>
      <c r="C1266">
        <f>IF(tbl_main[[#This Row],[Date]]="","",YEAR(B1266))</f>
        <v>2026</v>
      </c>
      <c r="D1266" t="str">
        <f>IF(tbl_main[[#This Row],[Date]]="","",TEXT(B1266,"mmm"))</f>
        <v>Feb</v>
      </c>
      <c r="E1266" t="str">
        <f>IF(tbl_main[[#This Row],[Date]]="","",TEXT(B1266,"DDD"))</f>
        <v>Fri</v>
      </c>
      <c r="F1266" t="s">
        <v>13</v>
      </c>
      <c r="G1266" t="s">
        <v>33</v>
      </c>
      <c r="H1266" s="3" t="s">
        <v>18</v>
      </c>
      <c r="I1266" s="3" t="s">
        <v>41</v>
      </c>
      <c r="J1266" s="3" t="s">
        <v>17</v>
      </c>
      <c r="K1266" s="3">
        <f>_xlfn.XLOOKUP(tbl_main[[#This Row],[Service]],tbl_service[Service],tbl_service[Price],"")</f>
        <v>500</v>
      </c>
      <c r="L1266" s="3">
        <v>2</v>
      </c>
      <c r="M1266" s="3">
        <f>IF(AND(tbl_main[[#This Row],[Price]]="",tbl_main[[#This Row],[Qty]]=""),"",tbl_main[[#This Row],[Price]]*tbl_main[[#This Row],[Qty]])</f>
        <v>1000</v>
      </c>
      <c r="N1266" s="3">
        <f>_xlfn.LET(_xlpm.x,_xlfn.XLOOKUP(tbl_main[[#This Row],[Service]],tbl_service[Service],tbl_service[Profit],""),
               IF(tbl_main[[#This Row],[Qty]]="","",_xlpm.x*tbl_main[[#This Row],[Qty]]))</f>
        <v>314</v>
      </c>
    </row>
    <row r="1267" spans="1:14" x14ac:dyDescent="0.25">
      <c r="A1267" t="s">
        <v>1309</v>
      </c>
      <c r="B1267" s="1">
        <v>46080</v>
      </c>
      <c r="C1267">
        <f>IF(tbl_main[[#This Row],[Date]]="","",YEAR(B1267))</f>
        <v>2026</v>
      </c>
      <c r="D1267" t="str">
        <f>IF(tbl_main[[#This Row],[Date]]="","",TEXT(B1267,"mmm"))</f>
        <v>Feb</v>
      </c>
      <c r="E1267" t="str">
        <f>IF(tbl_main[[#This Row],[Date]]="","",TEXT(B1267,"DDD"))</f>
        <v>Fri</v>
      </c>
      <c r="F1267" t="s">
        <v>30</v>
      </c>
      <c r="G1267" t="s">
        <v>31</v>
      </c>
      <c r="H1267" s="3" t="s">
        <v>34</v>
      </c>
      <c r="I1267" s="3" t="s">
        <v>35</v>
      </c>
      <c r="J1267" s="3" t="s">
        <v>32</v>
      </c>
      <c r="K1267" s="3">
        <f>_xlfn.XLOOKUP(tbl_main[[#This Row],[Service]],tbl_service[Service],tbl_service[Price],"")</f>
        <v>100</v>
      </c>
      <c r="L1267" s="3">
        <v>2</v>
      </c>
      <c r="M1267" s="3">
        <f>IF(AND(tbl_main[[#This Row],[Price]]="",tbl_main[[#This Row],[Qty]]=""),"",tbl_main[[#This Row],[Price]]*tbl_main[[#This Row],[Qty]])</f>
        <v>200</v>
      </c>
      <c r="N1267" s="3">
        <f>_xlfn.LET(_xlpm.x,_xlfn.XLOOKUP(tbl_main[[#This Row],[Service]],tbl_service[Service],tbl_service[Profit],""),
               IF(tbl_main[[#This Row],[Qty]]="","",_xlpm.x*tbl_main[[#This Row],[Qty]]))</f>
        <v>90</v>
      </c>
    </row>
    <row r="1268" spans="1:14" x14ac:dyDescent="0.25">
      <c r="A1268" t="s">
        <v>1310</v>
      </c>
      <c r="B1268" s="1">
        <v>46080</v>
      </c>
      <c r="C1268">
        <f>IF(tbl_main[[#This Row],[Date]]="","",YEAR(B1268))</f>
        <v>2026</v>
      </c>
      <c r="D1268" t="str">
        <f>IF(tbl_main[[#This Row],[Date]]="","",TEXT(B1268,"mmm"))</f>
        <v>Feb</v>
      </c>
      <c r="E1268" t="str">
        <f>IF(tbl_main[[#This Row],[Date]]="","",TEXT(B1268,"DDD"))</f>
        <v>Fri</v>
      </c>
      <c r="F1268" t="s">
        <v>30</v>
      </c>
      <c r="G1268" t="s">
        <v>31</v>
      </c>
      <c r="H1268" s="3" t="s">
        <v>22</v>
      </c>
      <c r="I1268" s="3" t="s">
        <v>35</v>
      </c>
      <c r="J1268" s="3" t="s">
        <v>17</v>
      </c>
      <c r="K1268" s="3">
        <f>_xlfn.XLOOKUP(tbl_main[[#This Row],[Service]],tbl_service[Service],tbl_service[Price],"")</f>
        <v>150</v>
      </c>
      <c r="L1268" s="3">
        <v>2</v>
      </c>
      <c r="M1268" s="3">
        <f>IF(AND(tbl_main[[#This Row],[Price]]="",tbl_main[[#This Row],[Qty]]=""),"",tbl_main[[#This Row],[Price]]*tbl_main[[#This Row],[Qty]])</f>
        <v>300</v>
      </c>
      <c r="N1268" s="3">
        <f>_xlfn.LET(_xlpm.x,_xlfn.XLOOKUP(tbl_main[[#This Row],[Service]],tbl_service[Service],tbl_service[Profit],""),
               IF(tbl_main[[#This Row],[Qty]]="","",_xlpm.x*tbl_main[[#This Row],[Qty]]))</f>
        <v>134</v>
      </c>
    </row>
    <row r="1269" spans="1:14" x14ac:dyDescent="0.25">
      <c r="A1269" t="s">
        <v>1311</v>
      </c>
      <c r="B1269" s="1">
        <v>46081</v>
      </c>
      <c r="C1269">
        <f>IF(tbl_main[[#This Row],[Date]]="","",YEAR(B1269))</f>
        <v>2026</v>
      </c>
      <c r="D1269" t="str">
        <f>IF(tbl_main[[#This Row],[Date]]="","",TEXT(B1269,"mmm"))</f>
        <v>Feb</v>
      </c>
      <c r="E1269" t="str">
        <f>IF(tbl_main[[#This Row],[Date]]="","",TEXT(B1269,"DDD"))</f>
        <v>Sat</v>
      </c>
      <c r="F1269" t="s">
        <v>30</v>
      </c>
      <c r="G1269" t="s">
        <v>36</v>
      </c>
      <c r="H1269" s="3" t="s">
        <v>22</v>
      </c>
      <c r="I1269" s="3" t="s">
        <v>23</v>
      </c>
      <c r="J1269" s="3" t="s">
        <v>17</v>
      </c>
      <c r="K1269" s="3">
        <f>_xlfn.XLOOKUP(tbl_main[[#This Row],[Service]],tbl_service[Service],tbl_service[Price],"")</f>
        <v>150</v>
      </c>
      <c r="L1269" s="3">
        <v>2</v>
      </c>
      <c r="M1269" s="3">
        <f>IF(AND(tbl_main[[#This Row],[Price]]="",tbl_main[[#This Row],[Qty]]=""),"",tbl_main[[#This Row],[Price]]*tbl_main[[#This Row],[Qty]])</f>
        <v>300</v>
      </c>
      <c r="N1269" s="3">
        <f>_xlfn.LET(_xlpm.x,_xlfn.XLOOKUP(tbl_main[[#This Row],[Service]],tbl_service[Service],tbl_service[Profit],""),
               IF(tbl_main[[#This Row],[Qty]]="","",_xlpm.x*tbl_main[[#This Row],[Qty]]))</f>
        <v>134</v>
      </c>
    </row>
    <row r="1270" spans="1:14" x14ac:dyDescent="0.25">
      <c r="A1270" t="s">
        <v>1312</v>
      </c>
      <c r="B1270" s="1">
        <v>46081</v>
      </c>
      <c r="C1270">
        <f>IF(tbl_main[[#This Row],[Date]]="","",YEAR(B1270))</f>
        <v>2026</v>
      </c>
      <c r="D1270" t="str">
        <f>IF(tbl_main[[#This Row],[Date]]="","",TEXT(B1270,"mmm"))</f>
        <v>Feb</v>
      </c>
      <c r="E1270" t="str">
        <f>IF(tbl_main[[#This Row],[Date]]="","",TEXT(B1270,"DDD"))</f>
        <v>Sat</v>
      </c>
      <c r="F1270" t="s">
        <v>30</v>
      </c>
      <c r="G1270" t="s">
        <v>36</v>
      </c>
      <c r="H1270" s="3" t="s">
        <v>22</v>
      </c>
      <c r="I1270" s="3" t="s">
        <v>37</v>
      </c>
      <c r="J1270" s="3" t="s">
        <v>25</v>
      </c>
      <c r="K1270" s="3">
        <f>_xlfn.XLOOKUP(tbl_main[[#This Row],[Service]],tbl_service[Service],tbl_service[Price],"")</f>
        <v>150</v>
      </c>
      <c r="L1270" s="3">
        <v>1</v>
      </c>
      <c r="M1270" s="3">
        <f>IF(AND(tbl_main[[#This Row],[Price]]="",tbl_main[[#This Row],[Qty]]=""),"",tbl_main[[#This Row],[Price]]*tbl_main[[#This Row],[Qty]])</f>
        <v>150</v>
      </c>
      <c r="N1270" s="3">
        <f>_xlfn.LET(_xlpm.x,_xlfn.XLOOKUP(tbl_main[[#This Row],[Service]],tbl_service[Service],tbl_service[Profit],""),
               IF(tbl_main[[#This Row],[Qty]]="","",_xlpm.x*tbl_main[[#This Row],[Qty]]))</f>
        <v>67</v>
      </c>
    </row>
    <row r="1271" spans="1:14" x14ac:dyDescent="0.25">
      <c r="A1271" t="s">
        <v>1313</v>
      </c>
      <c r="B1271" s="1">
        <v>46081</v>
      </c>
      <c r="C1271">
        <f>IF(tbl_main[[#This Row],[Date]]="","",YEAR(B1271))</f>
        <v>2026</v>
      </c>
      <c r="D1271" t="str">
        <f>IF(tbl_main[[#This Row],[Date]]="","",TEXT(B1271,"mmm"))</f>
        <v>Feb</v>
      </c>
      <c r="E1271" t="str">
        <f>IF(tbl_main[[#This Row],[Date]]="","",TEXT(B1271,"DDD"))</f>
        <v>Sat</v>
      </c>
      <c r="F1271" t="s">
        <v>30</v>
      </c>
      <c r="G1271" t="s">
        <v>36</v>
      </c>
      <c r="H1271" s="3" t="s">
        <v>24</v>
      </c>
      <c r="I1271" s="3" t="s">
        <v>38</v>
      </c>
      <c r="J1271" s="3" t="s">
        <v>25</v>
      </c>
      <c r="K1271" s="3">
        <f>_xlfn.XLOOKUP(tbl_main[[#This Row],[Service]],tbl_service[Service],tbl_service[Price],"")</f>
        <v>80</v>
      </c>
      <c r="L1271" s="3">
        <v>2</v>
      </c>
      <c r="M1271" s="3">
        <f>IF(AND(tbl_main[[#This Row],[Price]]="",tbl_main[[#This Row],[Qty]]=""),"",tbl_main[[#This Row],[Price]]*tbl_main[[#This Row],[Qty]])</f>
        <v>160</v>
      </c>
      <c r="N1271" s="3">
        <f>_xlfn.LET(_xlpm.x,_xlfn.XLOOKUP(tbl_main[[#This Row],[Service]],tbl_service[Service],tbl_service[Profit],""),
               IF(tbl_main[[#This Row],[Qty]]="","",_xlpm.x*tbl_main[[#This Row],[Qty]]))</f>
        <v>72</v>
      </c>
    </row>
    <row r="1272" spans="1:14" x14ac:dyDescent="0.25">
      <c r="A1272" t="s">
        <v>1314</v>
      </c>
      <c r="B1272" s="1">
        <v>46081</v>
      </c>
      <c r="C1272">
        <f>IF(tbl_main[[#This Row],[Date]]="","",YEAR(B1272))</f>
        <v>2026</v>
      </c>
      <c r="D1272" t="str">
        <f>IF(tbl_main[[#This Row],[Date]]="","",TEXT(B1272,"mmm"))</f>
        <v>Feb</v>
      </c>
      <c r="E1272" t="str">
        <f>IF(tbl_main[[#This Row],[Date]]="","",TEXT(B1272,"DDD"))</f>
        <v>Sat</v>
      </c>
      <c r="F1272" t="s">
        <v>20</v>
      </c>
      <c r="G1272" t="s">
        <v>29</v>
      </c>
      <c r="H1272" s="3" t="s">
        <v>18</v>
      </c>
      <c r="I1272" s="3" t="s">
        <v>16</v>
      </c>
      <c r="J1272" s="3" t="s">
        <v>17</v>
      </c>
      <c r="K1272" s="3">
        <f>_xlfn.XLOOKUP(tbl_main[[#This Row],[Service]],tbl_service[Service],tbl_service[Price],"")</f>
        <v>500</v>
      </c>
      <c r="L1272" s="3">
        <v>1</v>
      </c>
      <c r="M1272" s="3">
        <f>IF(AND(tbl_main[[#This Row],[Price]]="",tbl_main[[#This Row],[Qty]]=""),"",tbl_main[[#This Row],[Price]]*tbl_main[[#This Row],[Qty]])</f>
        <v>500</v>
      </c>
      <c r="N1272" s="3">
        <f>_xlfn.LET(_xlpm.x,_xlfn.XLOOKUP(tbl_main[[#This Row],[Service]],tbl_service[Service],tbl_service[Profit],""),
               IF(tbl_main[[#This Row],[Qty]]="","",_xlpm.x*tbl_main[[#This Row],[Qty]]))</f>
        <v>157</v>
      </c>
    </row>
    <row r="1273" spans="1:14" x14ac:dyDescent="0.25">
      <c r="A1273" t="s">
        <v>1315</v>
      </c>
      <c r="B1273" s="1">
        <v>46082</v>
      </c>
      <c r="C1273">
        <f>IF(tbl_main[[#This Row],[Date]]="","",YEAR(B1273))</f>
        <v>2026</v>
      </c>
      <c r="D1273" t="str">
        <f>IF(tbl_main[[#This Row],[Date]]="","",TEXT(B1273,"mmm"))</f>
        <v>Mar</v>
      </c>
      <c r="E1273" t="str">
        <f>IF(tbl_main[[#This Row],[Date]]="","",TEXT(B1273,"DDD"))</f>
        <v>Sun</v>
      </c>
      <c r="F1273" t="s">
        <v>20</v>
      </c>
      <c r="G1273" t="s">
        <v>39</v>
      </c>
      <c r="H1273" s="3" t="s">
        <v>15</v>
      </c>
      <c r="I1273" s="3" t="s">
        <v>19</v>
      </c>
      <c r="J1273" s="3" t="s">
        <v>25</v>
      </c>
      <c r="K1273" s="3">
        <f>_xlfn.XLOOKUP(tbl_main[[#This Row],[Service]],tbl_service[Service],tbl_service[Price],"")</f>
        <v>500</v>
      </c>
      <c r="L1273" s="3">
        <v>1</v>
      </c>
      <c r="M1273" s="3">
        <f>IF(AND(tbl_main[[#This Row],[Price]]="",tbl_main[[#This Row],[Qty]]=""),"",tbl_main[[#This Row],[Price]]*tbl_main[[#This Row],[Qty]])</f>
        <v>500</v>
      </c>
      <c r="N1273" s="3">
        <f>_xlfn.LET(_xlpm.x,_xlfn.XLOOKUP(tbl_main[[#This Row],[Service]],tbl_service[Service],tbl_service[Profit],""),
               IF(tbl_main[[#This Row],[Qty]]="","",_xlpm.x*tbl_main[[#This Row],[Qty]]))</f>
        <v>225</v>
      </c>
    </row>
    <row r="1274" spans="1:14" x14ac:dyDescent="0.25">
      <c r="A1274" t="s">
        <v>1316</v>
      </c>
      <c r="B1274" s="1">
        <v>46082</v>
      </c>
      <c r="C1274">
        <f>IF(tbl_main[[#This Row],[Date]]="","",YEAR(B1274))</f>
        <v>2026</v>
      </c>
      <c r="D1274" t="str">
        <f>IF(tbl_main[[#This Row],[Date]]="","",TEXT(B1274,"mmm"))</f>
        <v>Mar</v>
      </c>
      <c r="E1274" t="str">
        <f>IF(tbl_main[[#This Row],[Date]]="","",TEXT(B1274,"DDD"))</f>
        <v>Sun</v>
      </c>
      <c r="F1274" t="s">
        <v>13</v>
      </c>
      <c r="G1274" t="s">
        <v>33</v>
      </c>
      <c r="H1274" s="3" t="s">
        <v>24</v>
      </c>
      <c r="I1274" s="3" t="s">
        <v>43</v>
      </c>
      <c r="J1274" s="3" t="s">
        <v>17</v>
      </c>
      <c r="K1274" s="3">
        <f>_xlfn.XLOOKUP(tbl_main[[#This Row],[Service]],tbl_service[Service],tbl_service[Price],"")</f>
        <v>80</v>
      </c>
      <c r="L1274" s="3">
        <v>1</v>
      </c>
      <c r="M1274" s="3">
        <f>IF(AND(tbl_main[[#This Row],[Price]]="",tbl_main[[#This Row],[Qty]]=""),"",tbl_main[[#This Row],[Price]]*tbl_main[[#This Row],[Qty]])</f>
        <v>80</v>
      </c>
      <c r="N1274" s="3">
        <f>_xlfn.LET(_xlpm.x,_xlfn.XLOOKUP(tbl_main[[#This Row],[Service]],tbl_service[Service],tbl_service[Profit],""),
               IF(tbl_main[[#This Row],[Qty]]="","",_xlpm.x*tbl_main[[#This Row],[Qty]]))</f>
        <v>36</v>
      </c>
    </row>
    <row r="1275" spans="1:14" x14ac:dyDescent="0.25">
      <c r="A1275" t="s">
        <v>1317</v>
      </c>
      <c r="B1275" s="1">
        <v>46083</v>
      </c>
      <c r="C1275">
        <f>IF(tbl_main[[#This Row],[Date]]="","",YEAR(B1275))</f>
        <v>2026</v>
      </c>
      <c r="D1275" t="str">
        <f>IF(tbl_main[[#This Row],[Date]]="","",TEXT(B1275,"mmm"))</f>
        <v>Mar</v>
      </c>
      <c r="E1275" t="str">
        <f>IF(tbl_main[[#This Row],[Date]]="","",TEXT(B1275,"DDD"))</f>
        <v>Mon</v>
      </c>
      <c r="F1275" t="s">
        <v>30</v>
      </c>
      <c r="G1275" t="s">
        <v>31</v>
      </c>
      <c r="H1275" s="3" t="s">
        <v>18</v>
      </c>
      <c r="I1275" s="3" t="s">
        <v>41</v>
      </c>
      <c r="J1275" s="3" t="s">
        <v>17</v>
      </c>
      <c r="K1275" s="3">
        <f>_xlfn.XLOOKUP(tbl_main[[#This Row],[Service]],tbl_service[Service],tbl_service[Price],"")</f>
        <v>500</v>
      </c>
      <c r="L1275" s="3">
        <v>1</v>
      </c>
      <c r="M1275" s="3">
        <f>IF(AND(tbl_main[[#This Row],[Price]]="",tbl_main[[#This Row],[Qty]]=""),"",tbl_main[[#This Row],[Price]]*tbl_main[[#This Row],[Qty]])</f>
        <v>500</v>
      </c>
      <c r="N1275" s="3">
        <f>_xlfn.LET(_xlpm.x,_xlfn.XLOOKUP(tbl_main[[#This Row],[Service]],tbl_service[Service],tbl_service[Profit],""),
               IF(tbl_main[[#This Row],[Qty]]="","",_xlpm.x*tbl_main[[#This Row],[Qty]]))</f>
        <v>157</v>
      </c>
    </row>
    <row r="1276" spans="1:14" x14ac:dyDescent="0.25">
      <c r="A1276" t="s">
        <v>1318</v>
      </c>
      <c r="B1276" s="1">
        <v>46083</v>
      </c>
      <c r="C1276">
        <f>IF(tbl_main[[#This Row],[Date]]="","",YEAR(B1276))</f>
        <v>2026</v>
      </c>
      <c r="D1276" t="str">
        <f>IF(tbl_main[[#This Row],[Date]]="","",TEXT(B1276,"mmm"))</f>
        <v>Mar</v>
      </c>
      <c r="E1276" t="str">
        <f>IF(tbl_main[[#This Row],[Date]]="","",TEXT(B1276,"DDD"))</f>
        <v>Mon</v>
      </c>
      <c r="F1276" t="s">
        <v>27</v>
      </c>
      <c r="G1276" t="s">
        <v>28</v>
      </c>
      <c r="H1276" s="3" t="s">
        <v>34</v>
      </c>
      <c r="I1276" s="3" t="s">
        <v>41</v>
      </c>
      <c r="J1276" s="3" t="s">
        <v>32</v>
      </c>
      <c r="K1276" s="3">
        <f>_xlfn.XLOOKUP(tbl_main[[#This Row],[Service]],tbl_service[Service],tbl_service[Price],"")</f>
        <v>100</v>
      </c>
      <c r="L1276" s="3">
        <v>1</v>
      </c>
      <c r="M1276" s="3">
        <f>IF(AND(tbl_main[[#This Row],[Price]]="",tbl_main[[#This Row],[Qty]]=""),"",tbl_main[[#This Row],[Price]]*tbl_main[[#This Row],[Qty]])</f>
        <v>100</v>
      </c>
      <c r="N1276" s="3">
        <f>_xlfn.LET(_xlpm.x,_xlfn.XLOOKUP(tbl_main[[#This Row],[Service]],tbl_service[Service],tbl_service[Profit],""),
               IF(tbl_main[[#This Row],[Qty]]="","",_xlpm.x*tbl_main[[#This Row],[Qty]]))</f>
        <v>45</v>
      </c>
    </row>
    <row r="1277" spans="1:14" x14ac:dyDescent="0.25">
      <c r="A1277" t="s">
        <v>1319</v>
      </c>
      <c r="B1277" s="1">
        <v>46084</v>
      </c>
      <c r="C1277">
        <f>IF(tbl_main[[#This Row],[Date]]="","",YEAR(B1277))</f>
        <v>2026</v>
      </c>
      <c r="D1277" t="str">
        <f>IF(tbl_main[[#This Row],[Date]]="","",TEXT(B1277,"mmm"))</f>
        <v>Mar</v>
      </c>
      <c r="E1277" t="str">
        <f>IF(tbl_main[[#This Row],[Date]]="","",TEXT(B1277,"DDD"))</f>
        <v>Tue</v>
      </c>
      <c r="F1277" t="s">
        <v>20</v>
      </c>
      <c r="G1277" t="s">
        <v>21</v>
      </c>
      <c r="H1277" s="3" t="s">
        <v>34</v>
      </c>
      <c r="I1277" s="3" t="s">
        <v>35</v>
      </c>
      <c r="J1277" s="3" t="s">
        <v>25</v>
      </c>
      <c r="K1277" s="3">
        <f>_xlfn.XLOOKUP(tbl_main[[#This Row],[Service]],tbl_service[Service],tbl_service[Price],"")</f>
        <v>100</v>
      </c>
      <c r="L1277" s="3">
        <v>1</v>
      </c>
      <c r="M1277" s="3">
        <f>IF(AND(tbl_main[[#This Row],[Price]]="",tbl_main[[#This Row],[Qty]]=""),"",tbl_main[[#This Row],[Price]]*tbl_main[[#This Row],[Qty]])</f>
        <v>100</v>
      </c>
      <c r="N1277" s="3">
        <f>_xlfn.LET(_xlpm.x,_xlfn.XLOOKUP(tbl_main[[#This Row],[Service]],tbl_service[Service],tbl_service[Profit],""),
               IF(tbl_main[[#This Row],[Qty]]="","",_xlpm.x*tbl_main[[#This Row],[Qty]]))</f>
        <v>45</v>
      </c>
    </row>
    <row r="1278" spans="1:14" x14ac:dyDescent="0.25">
      <c r="A1278" t="s">
        <v>1320</v>
      </c>
      <c r="B1278" s="1">
        <v>46084</v>
      </c>
      <c r="C1278">
        <f>IF(tbl_main[[#This Row],[Date]]="","",YEAR(B1278))</f>
        <v>2026</v>
      </c>
      <c r="D1278" t="str">
        <f>IF(tbl_main[[#This Row],[Date]]="","",TEXT(B1278,"mmm"))</f>
        <v>Mar</v>
      </c>
      <c r="E1278" t="str">
        <f>IF(tbl_main[[#This Row],[Date]]="","",TEXT(B1278,"DDD"))</f>
        <v>Tue</v>
      </c>
      <c r="F1278" t="s">
        <v>30</v>
      </c>
      <c r="G1278" t="s">
        <v>31</v>
      </c>
      <c r="H1278" s="3" t="s">
        <v>34</v>
      </c>
      <c r="I1278" s="3" t="s">
        <v>35</v>
      </c>
      <c r="J1278" s="3" t="s">
        <v>25</v>
      </c>
      <c r="K1278" s="3">
        <f>_xlfn.XLOOKUP(tbl_main[[#This Row],[Service]],tbl_service[Service],tbl_service[Price],"")</f>
        <v>100</v>
      </c>
      <c r="L1278" s="3">
        <v>2</v>
      </c>
      <c r="M1278" s="3">
        <f>IF(AND(tbl_main[[#This Row],[Price]]="",tbl_main[[#This Row],[Qty]]=""),"",tbl_main[[#This Row],[Price]]*tbl_main[[#This Row],[Qty]])</f>
        <v>200</v>
      </c>
      <c r="N1278" s="3">
        <f>_xlfn.LET(_xlpm.x,_xlfn.XLOOKUP(tbl_main[[#This Row],[Service]],tbl_service[Service],tbl_service[Profit],""),
               IF(tbl_main[[#This Row],[Qty]]="","",_xlpm.x*tbl_main[[#This Row],[Qty]]))</f>
        <v>90</v>
      </c>
    </row>
    <row r="1279" spans="1:14" x14ac:dyDescent="0.25">
      <c r="A1279" t="s">
        <v>1321</v>
      </c>
      <c r="B1279" s="1">
        <v>46084</v>
      </c>
      <c r="C1279">
        <f>IF(tbl_main[[#This Row],[Date]]="","",YEAR(B1279))</f>
        <v>2026</v>
      </c>
      <c r="D1279" t="str">
        <f>IF(tbl_main[[#This Row],[Date]]="","",TEXT(B1279,"mmm"))</f>
        <v>Mar</v>
      </c>
      <c r="E1279" t="str">
        <f>IF(tbl_main[[#This Row],[Date]]="","",TEXT(B1279,"DDD"))</f>
        <v>Tue</v>
      </c>
      <c r="F1279" t="s">
        <v>20</v>
      </c>
      <c r="G1279" t="s">
        <v>29</v>
      </c>
      <c r="H1279" s="3" t="s">
        <v>18</v>
      </c>
      <c r="I1279" s="3" t="s">
        <v>23</v>
      </c>
      <c r="J1279" s="3" t="s">
        <v>32</v>
      </c>
      <c r="K1279" s="3">
        <f>_xlfn.XLOOKUP(tbl_main[[#This Row],[Service]],tbl_service[Service],tbl_service[Price],"")</f>
        <v>500</v>
      </c>
      <c r="L1279" s="3">
        <v>1</v>
      </c>
      <c r="M1279" s="3">
        <f>IF(AND(tbl_main[[#This Row],[Price]]="",tbl_main[[#This Row],[Qty]]=""),"",tbl_main[[#This Row],[Price]]*tbl_main[[#This Row],[Qty]])</f>
        <v>500</v>
      </c>
      <c r="N1279" s="3">
        <f>_xlfn.LET(_xlpm.x,_xlfn.XLOOKUP(tbl_main[[#This Row],[Service]],tbl_service[Service],tbl_service[Profit],""),
               IF(tbl_main[[#This Row],[Qty]]="","",_xlpm.x*tbl_main[[#This Row],[Qty]]))</f>
        <v>157</v>
      </c>
    </row>
    <row r="1280" spans="1:14" x14ac:dyDescent="0.25">
      <c r="A1280" t="s">
        <v>1322</v>
      </c>
      <c r="B1280" s="1">
        <v>46084</v>
      </c>
      <c r="C1280">
        <f>IF(tbl_main[[#This Row],[Date]]="","",YEAR(B1280))</f>
        <v>2026</v>
      </c>
      <c r="D1280" t="str">
        <f>IF(tbl_main[[#This Row],[Date]]="","",TEXT(B1280,"mmm"))</f>
        <v>Mar</v>
      </c>
      <c r="E1280" t="str">
        <f>IF(tbl_main[[#This Row],[Date]]="","",TEXT(B1280,"DDD"))</f>
        <v>Tue</v>
      </c>
      <c r="F1280" t="s">
        <v>27</v>
      </c>
      <c r="G1280" t="s">
        <v>40</v>
      </c>
      <c r="H1280" s="3" t="s">
        <v>22</v>
      </c>
      <c r="I1280" s="3" t="s">
        <v>37</v>
      </c>
      <c r="J1280" s="3" t="s">
        <v>17</v>
      </c>
      <c r="K1280" s="3">
        <f>_xlfn.XLOOKUP(tbl_main[[#This Row],[Service]],tbl_service[Service],tbl_service[Price],"")</f>
        <v>150</v>
      </c>
      <c r="L1280" s="3">
        <v>1</v>
      </c>
      <c r="M1280" s="3">
        <f>IF(AND(tbl_main[[#This Row],[Price]]="",tbl_main[[#This Row],[Qty]]=""),"",tbl_main[[#This Row],[Price]]*tbl_main[[#This Row],[Qty]])</f>
        <v>150</v>
      </c>
      <c r="N1280" s="3">
        <f>_xlfn.LET(_xlpm.x,_xlfn.XLOOKUP(tbl_main[[#This Row],[Service]],tbl_service[Service],tbl_service[Profit],""),
               IF(tbl_main[[#This Row],[Qty]]="","",_xlpm.x*tbl_main[[#This Row],[Qty]]))</f>
        <v>67</v>
      </c>
    </row>
    <row r="1281" spans="1:14" x14ac:dyDescent="0.25">
      <c r="A1281" t="s">
        <v>1323</v>
      </c>
      <c r="B1281" s="1">
        <v>46085</v>
      </c>
      <c r="C1281">
        <f>IF(tbl_main[[#This Row],[Date]]="","",YEAR(B1281))</f>
        <v>2026</v>
      </c>
      <c r="D1281" t="str">
        <f>IF(tbl_main[[#This Row],[Date]]="","",TEXT(B1281,"mmm"))</f>
        <v>Mar</v>
      </c>
      <c r="E1281" t="str">
        <f>IF(tbl_main[[#This Row],[Date]]="","",TEXT(B1281,"DDD"))</f>
        <v>Wed</v>
      </c>
      <c r="F1281" t="s">
        <v>13</v>
      </c>
      <c r="G1281" t="s">
        <v>14</v>
      </c>
      <c r="H1281" s="3" t="s">
        <v>15</v>
      </c>
      <c r="I1281" s="3" t="s">
        <v>38</v>
      </c>
      <c r="J1281" s="3" t="s">
        <v>17</v>
      </c>
      <c r="K1281" s="3">
        <f>_xlfn.XLOOKUP(tbl_main[[#This Row],[Service]],tbl_service[Service],tbl_service[Price],"")</f>
        <v>500</v>
      </c>
      <c r="L1281" s="3">
        <v>1</v>
      </c>
      <c r="M1281" s="3">
        <f>IF(AND(tbl_main[[#This Row],[Price]]="",tbl_main[[#This Row],[Qty]]=""),"",tbl_main[[#This Row],[Price]]*tbl_main[[#This Row],[Qty]])</f>
        <v>500</v>
      </c>
      <c r="N1281" s="3">
        <f>_xlfn.LET(_xlpm.x,_xlfn.XLOOKUP(tbl_main[[#This Row],[Service]],tbl_service[Service],tbl_service[Profit],""),
               IF(tbl_main[[#This Row],[Qty]]="","",_xlpm.x*tbl_main[[#This Row],[Qty]]))</f>
        <v>225</v>
      </c>
    </row>
    <row r="1282" spans="1:14" x14ac:dyDescent="0.25">
      <c r="A1282" t="s">
        <v>1324</v>
      </c>
      <c r="B1282" s="1">
        <v>46085</v>
      </c>
      <c r="C1282">
        <f>IF(tbl_main[[#This Row],[Date]]="","",YEAR(B1282))</f>
        <v>2026</v>
      </c>
      <c r="D1282" t="str">
        <f>IF(tbl_main[[#This Row],[Date]]="","",TEXT(B1282,"mmm"))</f>
        <v>Mar</v>
      </c>
      <c r="E1282" t="str">
        <f>IF(tbl_main[[#This Row],[Date]]="","",TEXT(B1282,"DDD"))</f>
        <v>Wed</v>
      </c>
      <c r="F1282" t="s">
        <v>20</v>
      </c>
      <c r="G1282" t="s">
        <v>29</v>
      </c>
      <c r="H1282" s="3" t="s">
        <v>26</v>
      </c>
      <c r="I1282" s="3" t="s">
        <v>16</v>
      </c>
      <c r="J1282" s="3" t="s">
        <v>25</v>
      </c>
      <c r="K1282" s="3">
        <f>_xlfn.XLOOKUP(tbl_main[[#This Row],[Service]],tbl_service[Service],tbl_service[Price],"")</f>
        <v>200</v>
      </c>
      <c r="L1282" s="3">
        <v>1</v>
      </c>
      <c r="M1282" s="3">
        <f>IF(AND(tbl_main[[#This Row],[Price]]="",tbl_main[[#This Row],[Qty]]=""),"",tbl_main[[#This Row],[Price]]*tbl_main[[#This Row],[Qty]])</f>
        <v>200</v>
      </c>
      <c r="N1282" s="3">
        <f>_xlfn.LET(_xlpm.x,_xlfn.XLOOKUP(tbl_main[[#This Row],[Service]],tbl_service[Service],tbl_service[Profit],""),
               IF(tbl_main[[#This Row],[Qty]]="","",_xlpm.x*tbl_main[[#This Row],[Qty]]))</f>
        <v>90</v>
      </c>
    </row>
    <row r="1283" spans="1:14" x14ac:dyDescent="0.25">
      <c r="A1283" t="s">
        <v>1325</v>
      </c>
      <c r="B1283" s="1">
        <v>46086</v>
      </c>
      <c r="C1283">
        <f>IF(tbl_main[[#This Row],[Date]]="","",YEAR(B1283))</f>
        <v>2026</v>
      </c>
      <c r="D1283" t="str">
        <f>IF(tbl_main[[#This Row],[Date]]="","",TEXT(B1283,"mmm"))</f>
        <v>Mar</v>
      </c>
      <c r="E1283" t="str">
        <f>IF(tbl_main[[#This Row],[Date]]="","",TEXT(B1283,"DDD"))</f>
        <v>Thu</v>
      </c>
      <c r="F1283" t="s">
        <v>27</v>
      </c>
      <c r="G1283" t="s">
        <v>40</v>
      </c>
      <c r="H1283" s="3" t="s">
        <v>22</v>
      </c>
      <c r="I1283" s="3" t="s">
        <v>19</v>
      </c>
      <c r="J1283" s="3" t="s">
        <v>25</v>
      </c>
      <c r="K1283" s="3">
        <f>_xlfn.XLOOKUP(tbl_main[[#This Row],[Service]],tbl_service[Service],tbl_service[Price],"")</f>
        <v>150</v>
      </c>
      <c r="L1283" s="3">
        <v>1</v>
      </c>
      <c r="M1283" s="3">
        <f>IF(AND(tbl_main[[#This Row],[Price]]="",tbl_main[[#This Row],[Qty]]=""),"",tbl_main[[#This Row],[Price]]*tbl_main[[#This Row],[Qty]])</f>
        <v>150</v>
      </c>
      <c r="N1283" s="3">
        <f>_xlfn.LET(_xlpm.x,_xlfn.XLOOKUP(tbl_main[[#This Row],[Service]],tbl_service[Service],tbl_service[Profit],""),
               IF(tbl_main[[#This Row],[Qty]]="","",_xlpm.x*tbl_main[[#This Row],[Qty]]))</f>
        <v>67</v>
      </c>
    </row>
    <row r="1284" spans="1:14" x14ac:dyDescent="0.25">
      <c r="A1284" t="s">
        <v>1326</v>
      </c>
      <c r="B1284" s="1">
        <v>46086</v>
      </c>
      <c r="C1284">
        <f>IF(tbl_main[[#This Row],[Date]]="","",YEAR(B1284))</f>
        <v>2026</v>
      </c>
      <c r="D1284" t="str">
        <f>IF(tbl_main[[#This Row],[Date]]="","",TEXT(B1284,"mmm"))</f>
        <v>Mar</v>
      </c>
      <c r="E1284" t="str">
        <f>IF(tbl_main[[#This Row],[Date]]="","",TEXT(B1284,"DDD"))</f>
        <v>Thu</v>
      </c>
      <c r="F1284" t="s">
        <v>13</v>
      </c>
      <c r="G1284" t="s">
        <v>33</v>
      </c>
      <c r="H1284" s="3" t="s">
        <v>24</v>
      </c>
      <c r="I1284" s="3" t="s">
        <v>43</v>
      </c>
      <c r="J1284" s="3" t="s">
        <v>17</v>
      </c>
      <c r="K1284" s="3">
        <f>_xlfn.XLOOKUP(tbl_main[[#This Row],[Service]],tbl_service[Service],tbl_service[Price],"")</f>
        <v>80</v>
      </c>
      <c r="L1284" s="3">
        <v>2</v>
      </c>
      <c r="M1284" s="3">
        <f>IF(AND(tbl_main[[#This Row],[Price]]="",tbl_main[[#This Row],[Qty]]=""),"",tbl_main[[#This Row],[Price]]*tbl_main[[#This Row],[Qty]])</f>
        <v>160</v>
      </c>
      <c r="N1284" s="3">
        <f>_xlfn.LET(_xlpm.x,_xlfn.XLOOKUP(tbl_main[[#This Row],[Service]],tbl_service[Service],tbl_service[Profit],""),
               IF(tbl_main[[#This Row],[Qty]]="","",_xlpm.x*tbl_main[[#This Row],[Qty]]))</f>
        <v>72</v>
      </c>
    </row>
    <row r="1285" spans="1:14" x14ac:dyDescent="0.25">
      <c r="A1285" t="s">
        <v>1327</v>
      </c>
      <c r="B1285" s="1">
        <v>46087</v>
      </c>
      <c r="C1285">
        <f>IF(tbl_main[[#This Row],[Date]]="","",YEAR(B1285))</f>
        <v>2026</v>
      </c>
      <c r="D1285" t="str">
        <f>IF(tbl_main[[#This Row],[Date]]="","",TEXT(B1285,"mmm"))</f>
        <v>Mar</v>
      </c>
      <c r="E1285" t="str">
        <f>IF(tbl_main[[#This Row],[Date]]="","",TEXT(B1285,"DDD"))</f>
        <v>Fri</v>
      </c>
      <c r="F1285" t="s">
        <v>30</v>
      </c>
      <c r="G1285" t="s">
        <v>31</v>
      </c>
      <c r="H1285" s="3" t="s">
        <v>18</v>
      </c>
      <c r="I1285" s="3" t="s">
        <v>41</v>
      </c>
      <c r="J1285" s="3" t="s">
        <v>17</v>
      </c>
      <c r="K1285" s="3">
        <f>_xlfn.XLOOKUP(tbl_main[[#This Row],[Service]],tbl_service[Service],tbl_service[Price],"")</f>
        <v>500</v>
      </c>
      <c r="L1285" s="3">
        <v>1</v>
      </c>
      <c r="M1285" s="3">
        <f>IF(AND(tbl_main[[#This Row],[Price]]="",tbl_main[[#This Row],[Qty]]=""),"",tbl_main[[#This Row],[Price]]*tbl_main[[#This Row],[Qty]])</f>
        <v>500</v>
      </c>
      <c r="N1285" s="3">
        <f>_xlfn.LET(_xlpm.x,_xlfn.XLOOKUP(tbl_main[[#This Row],[Service]],tbl_service[Service],tbl_service[Profit],""),
               IF(tbl_main[[#This Row],[Qty]]="","",_xlpm.x*tbl_main[[#This Row],[Qty]]))</f>
        <v>157</v>
      </c>
    </row>
    <row r="1286" spans="1:14" x14ac:dyDescent="0.25">
      <c r="A1286" t="s">
        <v>1328</v>
      </c>
      <c r="B1286" s="1">
        <v>46087</v>
      </c>
      <c r="C1286">
        <f>IF(tbl_main[[#This Row],[Date]]="","",YEAR(B1286))</f>
        <v>2026</v>
      </c>
      <c r="D1286" t="str">
        <f>IF(tbl_main[[#This Row],[Date]]="","",TEXT(B1286,"mmm"))</f>
        <v>Mar</v>
      </c>
      <c r="E1286" t="str">
        <f>IF(tbl_main[[#This Row],[Date]]="","",TEXT(B1286,"DDD"))</f>
        <v>Fri</v>
      </c>
      <c r="F1286" t="s">
        <v>20</v>
      </c>
      <c r="G1286" t="s">
        <v>21</v>
      </c>
      <c r="H1286" s="3" t="s">
        <v>18</v>
      </c>
      <c r="I1286" s="3" t="s">
        <v>41</v>
      </c>
      <c r="J1286" s="3" t="s">
        <v>17</v>
      </c>
      <c r="K1286" s="3">
        <f>_xlfn.XLOOKUP(tbl_main[[#This Row],[Service]],tbl_service[Service],tbl_service[Price],"")</f>
        <v>500</v>
      </c>
      <c r="L1286" s="3">
        <v>2</v>
      </c>
      <c r="M1286" s="3">
        <f>IF(AND(tbl_main[[#This Row],[Price]]="",tbl_main[[#This Row],[Qty]]=""),"",tbl_main[[#This Row],[Price]]*tbl_main[[#This Row],[Qty]])</f>
        <v>1000</v>
      </c>
      <c r="N1286" s="3">
        <f>_xlfn.LET(_xlpm.x,_xlfn.XLOOKUP(tbl_main[[#This Row],[Service]],tbl_service[Service],tbl_service[Profit],""),
               IF(tbl_main[[#This Row],[Qty]]="","",_xlpm.x*tbl_main[[#This Row],[Qty]]))</f>
        <v>314</v>
      </c>
    </row>
    <row r="1287" spans="1:14" x14ac:dyDescent="0.25">
      <c r="A1287" t="s">
        <v>1329</v>
      </c>
      <c r="B1287" s="1">
        <v>46087</v>
      </c>
      <c r="C1287">
        <f>IF(tbl_main[[#This Row],[Date]]="","",YEAR(B1287))</f>
        <v>2026</v>
      </c>
      <c r="D1287" t="str">
        <f>IF(tbl_main[[#This Row],[Date]]="","",TEXT(B1287,"mmm"))</f>
        <v>Mar</v>
      </c>
      <c r="E1287" t="str">
        <f>IF(tbl_main[[#This Row],[Date]]="","",TEXT(B1287,"DDD"))</f>
        <v>Fri</v>
      </c>
      <c r="F1287" t="s">
        <v>20</v>
      </c>
      <c r="G1287" t="s">
        <v>29</v>
      </c>
      <c r="H1287" s="3" t="s">
        <v>22</v>
      </c>
      <c r="I1287" s="3" t="s">
        <v>35</v>
      </c>
      <c r="J1287" s="3" t="s">
        <v>17</v>
      </c>
      <c r="K1287" s="3">
        <f>_xlfn.XLOOKUP(tbl_main[[#This Row],[Service]],tbl_service[Service],tbl_service[Price],"")</f>
        <v>150</v>
      </c>
      <c r="L1287" s="3">
        <v>2</v>
      </c>
      <c r="M1287" s="3">
        <f>IF(AND(tbl_main[[#This Row],[Price]]="",tbl_main[[#This Row],[Qty]]=""),"",tbl_main[[#This Row],[Price]]*tbl_main[[#This Row],[Qty]])</f>
        <v>300</v>
      </c>
      <c r="N1287" s="3">
        <f>_xlfn.LET(_xlpm.x,_xlfn.XLOOKUP(tbl_main[[#This Row],[Service]],tbl_service[Service],tbl_service[Profit],""),
               IF(tbl_main[[#This Row],[Qty]]="","",_xlpm.x*tbl_main[[#This Row],[Qty]]))</f>
        <v>134</v>
      </c>
    </row>
    <row r="1288" spans="1:14" x14ac:dyDescent="0.25">
      <c r="A1288" t="s">
        <v>1330</v>
      </c>
      <c r="B1288" s="1">
        <v>46087</v>
      </c>
      <c r="C1288">
        <f>IF(tbl_main[[#This Row],[Date]]="","",YEAR(B1288))</f>
        <v>2026</v>
      </c>
      <c r="D1288" t="str">
        <f>IF(tbl_main[[#This Row],[Date]]="","",TEXT(B1288,"mmm"))</f>
        <v>Mar</v>
      </c>
      <c r="E1288" t="str">
        <f>IF(tbl_main[[#This Row],[Date]]="","",TEXT(B1288,"DDD"))</f>
        <v>Fri</v>
      </c>
      <c r="F1288" t="s">
        <v>30</v>
      </c>
      <c r="G1288" t="s">
        <v>36</v>
      </c>
      <c r="H1288" s="3" t="s">
        <v>15</v>
      </c>
      <c r="I1288" s="3" t="s">
        <v>35</v>
      </c>
      <c r="J1288" s="3" t="s">
        <v>17</v>
      </c>
      <c r="K1288" s="3">
        <f>_xlfn.XLOOKUP(tbl_main[[#This Row],[Service]],tbl_service[Service],tbl_service[Price],"")</f>
        <v>500</v>
      </c>
      <c r="L1288" s="3">
        <v>2</v>
      </c>
      <c r="M1288" s="3">
        <f>IF(AND(tbl_main[[#This Row],[Price]]="",tbl_main[[#This Row],[Qty]]=""),"",tbl_main[[#This Row],[Price]]*tbl_main[[#This Row],[Qty]])</f>
        <v>1000</v>
      </c>
      <c r="N1288" s="3">
        <f>_xlfn.LET(_xlpm.x,_xlfn.XLOOKUP(tbl_main[[#This Row],[Service]],tbl_service[Service],tbl_service[Profit],""),
               IF(tbl_main[[#This Row],[Qty]]="","",_xlpm.x*tbl_main[[#This Row],[Qty]]))</f>
        <v>450</v>
      </c>
    </row>
    <row r="1289" spans="1:14" x14ac:dyDescent="0.25">
      <c r="A1289" t="s">
        <v>1331</v>
      </c>
      <c r="B1289" s="1">
        <v>46088</v>
      </c>
      <c r="C1289">
        <f>IF(tbl_main[[#This Row],[Date]]="","",YEAR(B1289))</f>
        <v>2026</v>
      </c>
      <c r="D1289" t="str">
        <f>IF(tbl_main[[#This Row],[Date]]="","",TEXT(B1289,"mmm"))</f>
        <v>Mar</v>
      </c>
      <c r="E1289" t="str">
        <f>IF(tbl_main[[#This Row],[Date]]="","",TEXT(B1289,"DDD"))</f>
        <v>Sat</v>
      </c>
      <c r="F1289" t="s">
        <v>30</v>
      </c>
      <c r="G1289" t="s">
        <v>36</v>
      </c>
      <c r="H1289" s="3" t="s">
        <v>34</v>
      </c>
      <c r="I1289" s="3" t="s">
        <v>23</v>
      </c>
      <c r="J1289" s="3" t="s">
        <v>17</v>
      </c>
      <c r="K1289" s="3">
        <f>_xlfn.XLOOKUP(tbl_main[[#This Row],[Service]],tbl_service[Service],tbl_service[Price],"")</f>
        <v>100</v>
      </c>
      <c r="L1289" s="3">
        <v>2</v>
      </c>
      <c r="M1289" s="3">
        <f>IF(AND(tbl_main[[#This Row],[Price]]="",tbl_main[[#This Row],[Qty]]=""),"",tbl_main[[#This Row],[Price]]*tbl_main[[#This Row],[Qty]])</f>
        <v>200</v>
      </c>
      <c r="N1289" s="3">
        <f>_xlfn.LET(_xlpm.x,_xlfn.XLOOKUP(tbl_main[[#This Row],[Service]],tbl_service[Service],tbl_service[Profit],""),
               IF(tbl_main[[#This Row],[Qty]]="","",_xlpm.x*tbl_main[[#This Row],[Qty]]))</f>
        <v>90</v>
      </c>
    </row>
    <row r="1290" spans="1:14" x14ac:dyDescent="0.25">
      <c r="A1290" t="s">
        <v>1332</v>
      </c>
      <c r="B1290" s="1">
        <v>46088</v>
      </c>
      <c r="C1290">
        <f>IF(tbl_main[[#This Row],[Date]]="","",YEAR(B1290))</f>
        <v>2026</v>
      </c>
      <c r="D1290" t="str">
        <f>IF(tbl_main[[#This Row],[Date]]="","",TEXT(B1290,"mmm"))</f>
        <v>Mar</v>
      </c>
      <c r="E1290" t="str">
        <f>IF(tbl_main[[#This Row],[Date]]="","",TEXT(B1290,"DDD"))</f>
        <v>Sat</v>
      </c>
      <c r="F1290" t="s">
        <v>30</v>
      </c>
      <c r="G1290" t="s">
        <v>36</v>
      </c>
      <c r="H1290" s="3" t="s">
        <v>34</v>
      </c>
      <c r="I1290" s="3" t="s">
        <v>37</v>
      </c>
      <c r="J1290" s="3" t="s">
        <v>25</v>
      </c>
      <c r="K1290" s="3">
        <f>_xlfn.XLOOKUP(tbl_main[[#This Row],[Service]],tbl_service[Service],tbl_service[Price],"")</f>
        <v>100</v>
      </c>
      <c r="L1290" s="3">
        <v>2</v>
      </c>
      <c r="M1290" s="3">
        <f>IF(AND(tbl_main[[#This Row],[Price]]="",tbl_main[[#This Row],[Qty]]=""),"",tbl_main[[#This Row],[Price]]*tbl_main[[#This Row],[Qty]])</f>
        <v>200</v>
      </c>
      <c r="N1290" s="3">
        <f>_xlfn.LET(_xlpm.x,_xlfn.XLOOKUP(tbl_main[[#This Row],[Service]],tbl_service[Service],tbl_service[Profit],""),
               IF(tbl_main[[#This Row],[Qty]]="","",_xlpm.x*tbl_main[[#This Row],[Qty]]))</f>
        <v>90</v>
      </c>
    </row>
    <row r="1291" spans="1:14" x14ac:dyDescent="0.25">
      <c r="A1291" t="s">
        <v>1333</v>
      </c>
      <c r="B1291" s="1">
        <v>46089</v>
      </c>
      <c r="C1291">
        <f>IF(tbl_main[[#This Row],[Date]]="","",YEAR(B1291))</f>
        <v>2026</v>
      </c>
      <c r="D1291" t="str">
        <f>IF(tbl_main[[#This Row],[Date]]="","",TEXT(B1291,"mmm"))</f>
        <v>Mar</v>
      </c>
      <c r="E1291" t="str">
        <f>IF(tbl_main[[#This Row],[Date]]="","",TEXT(B1291,"DDD"))</f>
        <v>Sun</v>
      </c>
      <c r="F1291" t="s">
        <v>27</v>
      </c>
      <c r="G1291" t="s">
        <v>28</v>
      </c>
      <c r="H1291" s="3" t="s">
        <v>26</v>
      </c>
      <c r="I1291" s="3" t="s">
        <v>38</v>
      </c>
      <c r="J1291" s="3" t="s">
        <v>17</v>
      </c>
      <c r="K1291" s="3">
        <f>_xlfn.XLOOKUP(tbl_main[[#This Row],[Service]],tbl_service[Service],tbl_service[Price],"")</f>
        <v>200</v>
      </c>
      <c r="L1291" s="3">
        <v>2</v>
      </c>
      <c r="M1291" s="3">
        <f>IF(AND(tbl_main[[#This Row],[Price]]="",tbl_main[[#This Row],[Qty]]=""),"",tbl_main[[#This Row],[Price]]*tbl_main[[#This Row],[Qty]])</f>
        <v>400</v>
      </c>
      <c r="N1291" s="3">
        <f>_xlfn.LET(_xlpm.x,_xlfn.XLOOKUP(tbl_main[[#This Row],[Service]],tbl_service[Service],tbl_service[Profit],""),
               IF(tbl_main[[#This Row],[Qty]]="","",_xlpm.x*tbl_main[[#This Row],[Qty]]))</f>
        <v>180</v>
      </c>
    </row>
    <row r="1292" spans="1:14" x14ac:dyDescent="0.25">
      <c r="A1292" t="s">
        <v>1334</v>
      </c>
      <c r="B1292" s="1">
        <v>46089</v>
      </c>
      <c r="C1292">
        <f>IF(tbl_main[[#This Row],[Date]]="","",YEAR(B1292))</f>
        <v>2026</v>
      </c>
      <c r="D1292" t="str">
        <f>IF(tbl_main[[#This Row],[Date]]="","",TEXT(B1292,"mmm"))</f>
        <v>Mar</v>
      </c>
      <c r="E1292" t="str">
        <f>IF(tbl_main[[#This Row],[Date]]="","",TEXT(B1292,"DDD"))</f>
        <v>Sun</v>
      </c>
      <c r="F1292" t="s">
        <v>13</v>
      </c>
      <c r="G1292" t="s">
        <v>14</v>
      </c>
      <c r="H1292" s="3" t="s">
        <v>15</v>
      </c>
      <c r="I1292" s="3" t="s">
        <v>16</v>
      </c>
      <c r="J1292" s="3" t="s">
        <v>32</v>
      </c>
      <c r="K1292" s="3">
        <f>_xlfn.XLOOKUP(tbl_main[[#This Row],[Service]],tbl_service[Service],tbl_service[Price],"")</f>
        <v>500</v>
      </c>
      <c r="L1292" s="3">
        <v>1</v>
      </c>
      <c r="M1292" s="3">
        <f>IF(AND(tbl_main[[#This Row],[Price]]="",tbl_main[[#This Row],[Qty]]=""),"",tbl_main[[#This Row],[Price]]*tbl_main[[#This Row],[Qty]])</f>
        <v>500</v>
      </c>
      <c r="N1292" s="3">
        <f>_xlfn.LET(_xlpm.x,_xlfn.XLOOKUP(tbl_main[[#This Row],[Service]],tbl_service[Service],tbl_service[Profit],""),
               IF(tbl_main[[#This Row],[Qty]]="","",_xlpm.x*tbl_main[[#This Row],[Qty]]))</f>
        <v>225</v>
      </c>
    </row>
    <row r="1293" spans="1:14" x14ac:dyDescent="0.25">
      <c r="A1293" t="s">
        <v>1335</v>
      </c>
      <c r="B1293" s="1">
        <v>46089</v>
      </c>
      <c r="C1293">
        <f>IF(tbl_main[[#This Row],[Date]]="","",YEAR(B1293))</f>
        <v>2026</v>
      </c>
      <c r="D1293" t="str">
        <f>IF(tbl_main[[#This Row],[Date]]="","",TEXT(B1293,"mmm"))</f>
        <v>Mar</v>
      </c>
      <c r="E1293" t="str">
        <f>IF(tbl_main[[#This Row],[Date]]="","",TEXT(B1293,"DDD"))</f>
        <v>Sun</v>
      </c>
      <c r="F1293" t="s">
        <v>30</v>
      </c>
      <c r="G1293" t="s">
        <v>31</v>
      </c>
      <c r="H1293" s="3" t="s">
        <v>18</v>
      </c>
      <c r="I1293" s="3" t="s">
        <v>19</v>
      </c>
      <c r="J1293" s="3" t="s">
        <v>32</v>
      </c>
      <c r="K1293" s="3">
        <f>_xlfn.XLOOKUP(tbl_main[[#This Row],[Service]],tbl_service[Service],tbl_service[Price],"")</f>
        <v>500</v>
      </c>
      <c r="L1293" s="3">
        <v>2</v>
      </c>
      <c r="M1293" s="3">
        <f>IF(AND(tbl_main[[#This Row],[Price]]="",tbl_main[[#This Row],[Qty]]=""),"",tbl_main[[#This Row],[Price]]*tbl_main[[#This Row],[Qty]])</f>
        <v>1000</v>
      </c>
      <c r="N1293" s="3">
        <f>_xlfn.LET(_xlpm.x,_xlfn.XLOOKUP(tbl_main[[#This Row],[Service]],tbl_service[Service],tbl_service[Profit],""),
               IF(tbl_main[[#This Row],[Qty]]="","",_xlpm.x*tbl_main[[#This Row],[Qty]]))</f>
        <v>314</v>
      </c>
    </row>
    <row r="1294" spans="1:14" x14ac:dyDescent="0.25">
      <c r="A1294" t="s">
        <v>1336</v>
      </c>
      <c r="B1294" s="1">
        <v>46089</v>
      </c>
      <c r="C1294">
        <f>IF(tbl_main[[#This Row],[Date]]="","",YEAR(B1294))</f>
        <v>2026</v>
      </c>
      <c r="D1294" t="str">
        <f>IF(tbl_main[[#This Row],[Date]]="","",TEXT(B1294,"mmm"))</f>
        <v>Mar</v>
      </c>
      <c r="E1294" t="str">
        <f>IF(tbl_main[[#This Row],[Date]]="","",TEXT(B1294,"DDD"))</f>
        <v>Sun</v>
      </c>
      <c r="F1294" t="s">
        <v>20</v>
      </c>
      <c r="G1294" t="s">
        <v>39</v>
      </c>
      <c r="H1294" s="3" t="s">
        <v>15</v>
      </c>
      <c r="I1294" s="3" t="s">
        <v>43</v>
      </c>
      <c r="J1294" s="3" t="s">
        <v>17</v>
      </c>
      <c r="K1294" s="3">
        <f>_xlfn.XLOOKUP(tbl_main[[#This Row],[Service]],tbl_service[Service],tbl_service[Price],"")</f>
        <v>500</v>
      </c>
      <c r="L1294" s="3">
        <v>2</v>
      </c>
      <c r="M1294" s="3">
        <f>IF(AND(tbl_main[[#This Row],[Price]]="",tbl_main[[#This Row],[Qty]]=""),"",tbl_main[[#This Row],[Price]]*tbl_main[[#This Row],[Qty]])</f>
        <v>1000</v>
      </c>
      <c r="N1294" s="3">
        <f>_xlfn.LET(_xlpm.x,_xlfn.XLOOKUP(tbl_main[[#This Row],[Service]],tbl_service[Service],tbl_service[Profit],""),
               IF(tbl_main[[#This Row],[Qty]]="","",_xlpm.x*tbl_main[[#This Row],[Qty]]))</f>
        <v>450</v>
      </c>
    </row>
    <row r="1295" spans="1:14" x14ac:dyDescent="0.25">
      <c r="A1295" t="s">
        <v>1337</v>
      </c>
      <c r="B1295" s="1">
        <v>46090</v>
      </c>
      <c r="C1295">
        <f>IF(tbl_main[[#This Row],[Date]]="","",YEAR(B1295))</f>
        <v>2026</v>
      </c>
      <c r="D1295" t="str">
        <f>IF(tbl_main[[#This Row],[Date]]="","",TEXT(B1295,"mmm"))</f>
        <v>Mar</v>
      </c>
      <c r="E1295" t="str">
        <f>IF(tbl_main[[#This Row],[Date]]="","",TEXT(B1295,"DDD"))</f>
        <v>Mon</v>
      </c>
      <c r="F1295" t="s">
        <v>13</v>
      </c>
      <c r="G1295" t="s">
        <v>14</v>
      </c>
      <c r="H1295" s="3" t="s">
        <v>18</v>
      </c>
      <c r="I1295" s="3" t="s">
        <v>41</v>
      </c>
      <c r="J1295" s="3" t="s">
        <v>25</v>
      </c>
      <c r="K1295" s="3">
        <f>_xlfn.XLOOKUP(tbl_main[[#This Row],[Service]],tbl_service[Service],tbl_service[Price],"")</f>
        <v>500</v>
      </c>
      <c r="L1295" s="3">
        <v>2</v>
      </c>
      <c r="M1295" s="3">
        <f>IF(AND(tbl_main[[#This Row],[Price]]="",tbl_main[[#This Row],[Qty]]=""),"",tbl_main[[#This Row],[Price]]*tbl_main[[#This Row],[Qty]])</f>
        <v>1000</v>
      </c>
      <c r="N1295" s="3">
        <f>_xlfn.LET(_xlpm.x,_xlfn.XLOOKUP(tbl_main[[#This Row],[Service]],tbl_service[Service],tbl_service[Profit],""),
               IF(tbl_main[[#This Row],[Qty]]="","",_xlpm.x*tbl_main[[#This Row],[Qty]]))</f>
        <v>314</v>
      </c>
    </row>
    <row r="1296" spans="1:14" x14ac:dyDescent="0.25">
      <c r="A1296" t="s">
        <v>1338</v>
      </c>
      <c r="B1296" s="1">
        <v>46090</v>
      </c>
      <c r="C1296">
        <f>IF(tbl_main[[#This Row],[Date]]="","",YEAR(B1296))</f>
        <v>2026</v>
      </c>
      <c r="D1296" t="str">
        <f>IF(tbl_main[[#This Row],[Date]]="","",TEXT(B1296,"mmm"))</f>
        <v>Mar</v>
      </c>
      <c r="E1296" t="str">
        <f>IF(tbl_main[[#This Row],[Date]]="","",TEXT(B1296,"DDD"))</f>
        <v>Mon</v>
      </c>
      <c r="F1296" t="s">
        <v>20</v>
      </c>
      <c r="G1296" t="s">
        <v>29</v>
      </c>
      <c r="H1296" s="3" t="s">
        <v>22</v>
      </c>
      <c r="I1296" s="3" t="s">
        <v>41</v>
      </c>
      <c r="J1296" s="3" t="s">
        <v>17</v>
      </c>
      <c r="K1296" s="3">
        <f>_xlfn.XLOOKUP(tbl_main[[#This Row],[Service]],tbl_service[Service],tbl_service[Price],"")</f>
        <v>150</v>
      </c>
      <c r="L1296" s="3">
        <v>1</v>
      </c>
      <c r="M1296" s="3">
        <f>IF(AND(tbl_main[[#This Row],[Price]]="",tbl_main[[#This Row],[Qty]]=""),"",tbl_main[[#This Row],[Price]]*tbl_main[[#This Row],[Qty]])</f>
        <v>150</v>
      </c>
      <c r="N1296" s="3">
        <f>_xlfn.LET(_xlpm.x,_xlfn.XLOOKUP(tbl_main[[#This Row],[Service]],tbl_service[Service],tbl_service[Profit],""),
               IF(tbl_main[[#This Row],[Qty]]="","",_xlpm.x*tbl_main[[#This Row],[Qty]]))</f>
        <v>67</v>
      </c>
    </row>
    <row r="1297" spans="1:14" x14ac:dyDescent="0.25">
      <c r="A1297" t="s">
        <v>1339</v>
      </c>
      <c r="B1297" s="1">
        <v>46091</v>
      </c>
      <c r="C1297">
        <f>IF(tbl_main[[#This Row],[Date]]="","",YEAR(B1297))</f>
        <v>2026</v>
      </c>
      <c r="D1297" t="str">
        <f>IF(tbl_main[[#This Row],[Date]]="","",TEXT(B1297,"mmm"))</f>
        <v>Mar</v>
      </c>
      <c r="E1297" t="str">
        <f>IF(tbl_main[[#This Row],[Date]]="","",TEXT(B1297,"DDD"))</f>
        <v>Tue</v>
      </c>
      <c r="F1297" t="s">
        <v>27</v>
      </c>
      <c r="G1297" t="s">
        <v>40</v>
      </c>
      <c r="H1297" s="3" t="s">
        <v>22</v>
      </c>
      <c r="I1297" s="3" t="s">
        <v>35</v>
      </c>
      <c r="J1297" s="3" t="s">
        <v>17</v>
      </c>
      <c r="K1297" s="3">
        <f>_xlfn.XLOOKUP(tbl_main[[#This Row],[Service]],tbl_service[Service],tbl_service[Price],"")</f>
        <v>150</v>
      </c>
      <c r="L1297" s="3">
        <v>1</v>
      </c>
      <c r="M1297" s="3">
        <f>IF(AND(tbl_main[[#This Row],[Price]]="",tbl_main[[#This Row],[Qty]]=""),"",tbl_main[[#This Row],[Price]]*tbl_main[[#This Row],[Qty]])</f>
        <v>150</v>
      </c>
      <c r="N1297" s="3">
        <f>_xlfn.LET(_xlpm.x,_xlfn.XLOOKUP(tbl_main[[#This Row],[Service]],tbl_service[Service],tbl_service[Profit],""),
               IF(tbl_main[[#This Row],[Qty]]="","",_xlpm.x*tbl_main[[#This Row],[Qty]]))</f>
        <v>67</v>
      </c>
    </row>
    <row r="1298" spans="1:14" x14ac:dyDescent="0.25">
      <c r="A1298" t="s">
        <v>1340</v>
      </c>
      <c r="B1298" s="1">
        <v>46091</v>
      </c>
      <c r="C1298">
        <f>IF(tbl_main[[#This Row],[Date]]="","",YEAR(B1298))</f>
        <v>2026</v>
      </c>
      <c r="D1298" t="str">
        <f>IF(tbl_main[[#This Row],[Date]]="","",TEXT(B1298,"mmm"))</f>
        <v>Mar</v>
      </c>
      <c r="E1298" t="str">
        <f>IF(tbl_main[[#This Row],[Date]]="","",TEXT(B1298,"DDD"))</f>
        <v>Tue</v>
      </c>
      <c r="F1298" t="s">
        <v>20</v>
      </c>
      <c r="G1298" t="s">
        <v>39</v>
      </c>
      <c r="H1298" s="3" t="s">
        <v>24</v>
      </c>
      <c r="I1298" s="3" t="s">
        <v>35</v>
      </c>
      <c r="J1298" s="3" t="s">
        <v>32</v>
      </c>
      <c r="K1298" s="3">
        <f>_xlfn.XLOOKUP(tbl_main[[#This Row],[Service]],tbl_service[Service],tbl_service[Price],"")</f>
        <v>80</v>
      </c>
      <c r="L1298" s="3">
        <v>2</v>
      </c>
      <c r="M1298" s="3">
        <f>IF(AND(tbl_main[[#This Row],[Price]]="",tbl_main[[#This Row],[Qty]]=""),"",tbl_main[[#This Row],[Price]]*tbl_main[[#This Row],[Qty]])</f>
        <v>160</v>
      </c>
      <c r="N1298" s="3">
        <f>_xlfn.LET(_xlpm.x,_xlfn.XLOOKUP(tbl_main[[#This Row],[Service]],tbl_service[Service],tbl_service[Profit],""),
               IF(tbl_main[[#This Row],[Qty]]="","",_xlpm.x*tbl_main[[#This Row],[Qty]]))</f>
        <v>72</v>
      </c>
    </row>
    <row r="1299" spans="1:14" x14ac:dyDescent="0.25">
      <c r="A1299" t="s">
        <v>1341</v>
      </c>
      <c r="B1299" s="1">
        <v>46091</v>
      </c>
      <c r="C1299">
        <f>IF(tbl_main[[#This Row],[Date]]="","",YEAR(B1299))</f>
        <v>2026</v>
      </c>
      <c r="D1299" t="str">
        <f>IF(tbl_main[[#This Row],[Date]]="","",TEXT(B1299,"mmm"))</f>
        <v>Mar</v>
      </c>
      <c r="E1299" t="str">
        <f>IF(tbl_main[[#This Row],[Date]]="","",TEXT(B1299,"DDD"))</f>
        <v>Tue</v>
      </c>
      <c r="F1299" t="s">
        <v>30</v>
      </c>
      <c r="G1299" t="s">
        <v>31</v>
      </c>
      <c r="H1299" s="3" t="s">
        <v>18</v>
      </c>
      <c r="I1299" s="3" t="s">
        <v>23</v>
      </c>
      <c r="J1299" s="3" t="s">
        <v>32</v>
      </c>
      <c r="K1299" s="3">
        <f>_xlfn.XLOOKUP(tbl_main[[#This Row],[Service]],tbl_service[Service],tbl_service[Price],"")</f>
        <v>500</v>
      </c>
      <c r="L1299" s="3">
        <v>1</v>
      </c>
      <c r="M1299" s="3">
        <f>IF(AND(tbl_main[[#This Row],[Price]]="",tbl_main[[#This Row],[Qty]]=""),"",tbl_main[[#This Row],[Price]]*tbl_main[[#This Row],[Qty]])</f>
        <v>500</v>
      </c>
      <c r="N1299" s="3">
        <f>_xlfn.LET(_xlpm.x,_xlfn.XLOOKUP(tbl_main[[#This Row],[Service]],tbl_service[Service],tbl_service[Profit],""),
               IF(tbl_main[[#This Row],[Qty]]="","",_xlpm.x*tbl_main[[#This Row],[Qty]]))</f>
        <v>157</v>
      </c>
    </row>
    <row r="1300" spans="1:14" x14ac:dyDescent="0.25">
      <c r="A1300" t="s">
        <v>1342</v>
      </c>
      <c r="B1300" s="1">
        <v>46092</v>
      </c>
      <c r="C1300">
        <f>IF(tbl_main[[#This Row],[Date]]="","",YEAR(B1300))</f>
        <v>2026</v>
      </c>
      <c r="D1300" t="str">
        <f>IF(tbl_main[[#This Row],[Date]]="","",TEXT(B1300,"mmm"))</f>
        <v>Mar</v>
      </c>
      <c r="E1300" t="str">
        <f>IF(tbl_main[[#This Row],[Date]]="","",TEXT(B1300,"DDD"))</f>
        <v>Wed</v>
      </c>
      <c r="F1300" t="s">
        <v>20</v>
      </c>
      <c r="G1300" t="s">
        <v>21</v>
      </c>
      <c r="H1300" s="3" t="s">
        <v>34</v>
      </c>
      <c r="I1300" s="3" t="s">
        <v>37</v>
      </c>
      <c r="J1300" s="3" t="s">
        <v>32</v>
      </c>
      <c r="K1300" s="3">
        <f>_xlfn.XLOOKUP(tbl_main[[#This Row],[Service]],tbl_service[Service],tbl_service[Price],"")</f>
        <v>100</v>
      </c>
      <c r="L1300" s="3">
        <v>1</v>
      </c>
      <c r="M1300" s="3">
        <f>IF(AND(tbl_main[[#This Row],[Price]]="",tbl_main[[#This Row],[Qty]]=""),"",tbl_main[[#This Row],[Price]]*tbl_main[[#This Row],[Qty]])</f>
        <v>100</v>
      </c>
      <c r="N1300" s="3">
        <f>_xlfn.LET(_xlpm.x,_xlfn.XLOOKUP(tbl_main[[#This Row],[Service]],tbl_service[Service],tbl_service[Profit],""),
               IF(tbl_main[[#This Row],[Qty]]="","",_xlpm.x*tbl_main[[#This Row],[Qty]]))</f>
        <v>45</v>
      </c>
    </row>
    <row r="1301" spans="1:14" x14ac:dyDescent="0.25">
      <c r="A1301" t="s">
        <v>1343</v>
      </c>
      <c r="B1301" s="1">
        <v>46092</v>
      </c>
      <c r="C1301">
        <f>IF(tbl_main[[#This Row],[Date]]="","",YEAR(B1301))</f>
        <v>2026</v>
      </c>
      <c r="D1301" t="str">
        <f>IF(tbl_main[[#This Row],[Date]]="","",TEXT(B1301,"mmm"))</f>
        <v>Mar</v>
      </c>
      <c r="E1301" t="str">
        <f>IF(tbl_main[[#This Row],[Date]]="","",TEXT(B1301,"DDD"))</f>
        <v>Wed</v>
      </c>
      <c r="F1301" t="s">
        <v>30</v>
      </c>
      <c r="G1301" t="s">
        <v>31</v>
      </c>
      <c r="H1301" s="3" t="s">
        <v>18</v>
      </c>
      <c r="I1301" s="3" t="s">
        <v>38</v>
      </c>
      <c r="J1301" s="3" t="s">
        <v>32</v>
      </c>
      <c r="K1301" s="3">
        <f>_xlfn.XLOOKUP(tbl_main[[#This Row],[Service]],tbl_service[Service],tbl_service[Price],"")</f>
        <v>500</v>
      </c>
      <c r="L1301" s="3">
        <v>1</v>
      </c>
      <c r="M1301" s="3">
        <f>IF(AND(tbl_main[[#This Row],[Price]]="",tbl_main[[#This Row],[Qty]]=""),"",tbl_main[[#This Row],[Price]]*tbl_main[[#This Row],[Qty]])</f>
        <v>500</v>
      </c>
      <c r="N1301" s="3">
        <f>_xlfn.LET(_xlpm.x,_xlfn.XLOOKUP(tbl_main[[#This Row],[Service]],tbl_service[Service],tbl_service[Profit],""),
               IF(tbl_main[[#This Row],[Qty]]="","",_xlpm.x*tbl_main[[#This Row],[Qty]]))</f>
        <v>157</v>
      </c>
    </row>
    <row r="1302" spans="1:14" x14ac:dyDescent="0.25">
      <c r="A1302" t="s">
        <v>1344</v>
      </c>
      <c r="B1302" s="1">
        <v>46092</v>
      </c>
      <c r="C1302">
        <f>IF(tbl_main[[#This Row],[Date]]="","",YEAR(B1302))</f>
        <v>2026</v>
      </c>
      <c r="D1302" t="str">
        <f>IF(tbl_main[[#This Row],[Date]]="","",TEXT(B1302,"mmm"))</f>
        <v>Mar</v>
      </c>
      <c r="E1302" t="str">
        <f>IF(tbl_main[[#This Row],[Date]]="","",TEXT(B1302,"DDD"))</f>
        <v>Wed</v>
      </c>
      <c r="F1302" t="s">
        <v>27</v>
      </c>
      <c r="G1302" t="s">
        <v>40</v>
      </c>
      <c r="H1302" s="3" t="s">
        <v>24</v>
      </c>
      <c r="I1302" s="3" t="s">
        <v>16</v>
      </c>
      <c r="J1302" s="3" t="s">
        <v>25</v>
      </c>
      <c r="K1302" s="3">
        <f>_xlfn.XLOOKUP(tbl_main[[#This Row],[Service]],tbl_service[Service],tbl_service[Price],"")</f>
        <v>80</v>
      </c>
      <c r="L1302" s="3">
        <v>2</v>
      </c>
      <c r="M1302" s="3">
        <f>IF(AND(tbl_main[[#This Row],[Price]]="",tbl_main[[#This Row],[Qty]]=""),"",tbl_main[[#This Row],[Price]]*tbl_main[[#This Row],[Qty]])</f>
        <v>160</v>
      </c>
      <c r="N1302" s="3">
        <f>_xlfn.LET(_xlpm.x,_xlfn.XLOOKUP(tbl_main[[#This Row],[Service]],tbl_service[Service],tbl_service[Profit],""),
               IF(tbl_main[[#This Row],[Qty]]="","",_xlpm.x*tbl_main[[#This Row],[Qty]]))</f>
        <v>72</v>
      </c>
    </row>
    <row r="1303" spans="1:14" x14ac:dyDescent="0.25">
      <c r="A1303" t="s">
        <v>1345</v>
      </c>
      <c r="B1303" s="1">
        <v>46092</v>
      </c>
      <c r="C1303">
        <f>IF(tbl_main[[#This Row],[Date]]="","",YEAR(B1303))</f>
        <v>2026</v>
      </c>
      <c r="D1303" t="str">
        <f>IF(tbl_main[[#This Row],[Date]]="","",TEXT(B1303,"mmm"))</f>
        <v>Mar</v>
      </c>
      <c r="E1303" t="str">
        <f>IF(tbl_main[[#This Row],[Date]]="","",TEXT(B1303,"DDD"))</f>
        <v>Wed</v>
      </c>
      <c r="F1303" t="s">
        <v>20</v>
      </c>
      <c r="G1303" t="s">
        <v>29</v>
      </c>
      <c r="H1303" s="3" t="s">
        <v>18</v>
      </c>
      <c r="I1303" s="3" t="s">
        <v>19</v>
      </c>
      <c r="J1303" s="3" t="s">
        <v>32</v>
      </c>
      <c r="K1303" s="3">
        <f>_xlfn.XLOOKUP(tbl_main[[#This Row],[Service]],tbl_service[Service],tbl_service[Price],"")</f>
        <v>500</v>
      </c>
      <c r="L1303" s="3">
        <v>1</v>
      </c>
      <c r="M1303" s="3">
        <f>IF(AND(tbl_main[[#This Row],[Price]]="",tbl_main[[#This Row],[Qty]]=""),"",tbl_main[[#This Row],[Price]]*tbl_main[[#This Row],[Qty]])</f>
        <v>500</v>
      </c>
      <c r="N1303" s="3">
        <f>_xlfn.LET(_xlpm.x,_xlfn.XLOOKUP(tbl_main[[#This Row],[Service]],tbl_service[Service],tbl_service[Profit],""),
               IF(tbl_main[[#This Row],[Qty]]="","",_xlpm.x*tbl_main[[#This Row],[Qty]]))</f>
        <v>157</v>
      </c>
    </row>
    <row r="1304" spans="1:14" x14ac:dyDescent="0.25">
      <c r="A1304" t="s">
        <v>1346</v>
      </c>
      <c r="B1304" s="1">
        <v>46093</v>
      </c>
      <c r="C1304">
        <f>IF(tbl_main[[#This Row],[Date]]="","",YEAR(B1304))</f>
        <v>2026</v>
      </c>
      <c r="D1304" t="str">
        <f>IF(tbl_main[[#This Row],[Date]]="","",TEXT(B1304,"mmm"))</f>
        <v>Mar</v>
      </c>
      <c r="E1304" t="str">
        <f>IF(tbl_main[[#This Row],[Date]]="","",TEXT(B1304,"DDD"))</f>
        <v>Thu</v>
      </c>
      <c r="F1304" t="s">
        <v>30</v>
      </c>
      <c r="G1304" t="s">
        <v>36</v>
      </c>
      <c r="H1304" s="3" t="s">
        <v>26</v>
      </c>
      <c r="I1304" s="3" t="s">
        <v>43</v>
      </c>
      <c r="J1304" s="3" t="s">
        <v>32</v>
      </c>
      <c r="K1304" s="3">
        <f>_xlfn.XLOOKUP(tbl_main[[#This Row],[Service]],tbl_service[Service],tbl_service[Price],"")</f>
        <v>200</v>
      </c>
      <c r="L1304" s="3">
        <v>2</v>
      </c>
      <c r="M1304" s="3">
        <f>IF(AND(tbl_main[[#This Row],[Price]]="",tbl_main[[#This Row],[Qty]]=""),"",tbl_main[[#This Row],[Price]]*tbl_main[[#This Row],[Qty]])</f>
        <v>400</v>
      </c>
      <c r="N1304" s="3">
        <f>_xlfn.LET(_xlpm.x,_xlfn.XLOOKUP(tbl_main[[#This Row],[Service]],tbl_service[Service],tbl_service[Profit],""),
               IF(tbl_main[[#This Row],[Qty]]="","",_xlpm.x*tbl_main[[#This Row],[Qty]]))</f>
        <v>180</v>
      </c>
    </row>
    <row r="1305" spans="1:14" x14ac:dyDescent="0.25">
      <c r="A1305" t="s">
        <v>1347</v>
      </c>
      <c r="B1305" s="1">
        <v>46093</v>
      </c>
      <c r="C1305">
        <f>IF(tbl_main[[#This Row],[Date]]="","",YEAR(B1305))</f>
        <v>2026</v>
      </c>
      <c r="D1305" t="str">
        <f>IF(tbl_main[[#This Row],[Date]]="","",TEXT(B1305,"mmm"))</f>
        <v>Mar</v>
      </c>
      <c r="E1305" t="str">
        <f>IF(tbl_main[[#This Row],[Date]]="","",TEXT(B1305,"DDD"))</f>
        <v>Thu</v>
      </c>
      <c r="F1305" t="s">
        <v>27</v>
      </c>
      <c r="G1305" t="s">
        <v>40</v>
      </c>
      <c r="H1305" s="3" t="s">
        <v>24</v>
      </c>
      <c r="I1305" s="3" t="s">
        <v>41</v>
      </c>
      <c r="J1305" s="3" t="s">
        <v>25</v>
      </c>
      <c r="K1305" s="3">
        <f>_xlfn.XLOOKUP(tbl_main[[#This Row],[Service]],tbl_service[Service],tbl_service[Price],"")</f>
        <v>80</v>
      </c>
      <c r="L1305" s="3">
        <v>1</v>
      </c>
      <c r="M1305" s="3">
        <f>IF(AND(tbl_main[[#This Row],[Price]]="",tbl_main[[#This Row],[Qty]]=""),"",tbl_main[[#This Row],[Price]]*tbl_main[[#This Row],[Qty]])</f>
        <v>80</v>
      </c>
      <c r="N1305" s="3">
        <f>_xlfn.LET(_xlpm.x,_xlfn.XLOOKUP(tbl_main[[#This Row],[Service]],tbl_service[Service],tbl_service[Profit],""),
               IF(tbl_main[[#This Row],[Qty]]="","",_xlpm.x*tbl_main[[#This Row],[Qty]]))</f>
        <v>36</v>
      </c>
    </row>
    <row r="1306" spans="1:14" x14ac:dyDescent="0.25">
      <c r="A1306" t="s">
        <v>1348</v>
      </c>
      <c r="B1306" s="1">
        <v>46093</v>
      </c>
      <c r="C1306">
        <f>IF(tbl_main[[#This Row],[Date]]="","",YEAR(B1306))</f>
        <v>2026</v>
      </c>
      <c r="D1306" t="str">
        <f>IF(tbl_main[[#This Row],[Date]]="","",TEXT(B1306,"mmm"))</f>
        <v>Mar</v>
      </c>
      <c r="E1306" t="str">
        <f>IF(tbl_main[[#This Row],[Date]]="","",TEXT(B1306,"DDD"))</f>
        <v>Thu</v>
      </c>
      <c r="F1306" t="s">
        <v>27</v>
      </c>
      <c r="G1306" t="s">
        <v>40</v>
      </c>
      <c r="H1306" s="3" t="s">
        <v>18</v>
      </c>
      <c r="I1306" s="3" t="s">
        <v>41</v>
      </c>
      <c r="J1306" s="3" t="s">
        <v>17</v>
      </c>
      <c r="K1306" s="3">
        <f>_xlfn.XLOOKUP(tbl_main[[#This Row],[Service]],tbl_service[Service],tbl_service[Price],"")</f>
        <v>500</v>
      </c>
      <c r="L1306" s="3">
        <v>2</v>
      </c>
      <c r="M1306" s="3">
        <f>IF(AND(tbl_main[[#This Row],[Price]]="",tbl_main[[#This Row],[Qty]]=""),"",tbl_main[[#This Row],[Price]]*tbl_main[[#This Row],[Qty]])</f>
        <v>1000</v>
      </c>
      <c r="N1306" s="3">
        <f>_xlfn.LET(_xlpm.x,_xlfn.XLOOKUP(tbl_main[[#This Row],[Service]],tbl_service[Service],tbl_service[Profit],""),
               IF(tbl_main[[#This Row],[Qty]]="","",_xlpm.x*tbl_main[[#This Row],[Qty]]))</f>
        <v>314</v>
      </c>
    </row>
    <row r="1307" spans="1:14" x14ac:dyDescent="0.25">
      <c r="A1307" t="s">
        <v>1349</v>
      </c>
      <c r="B1307" s="1">
        <v>46094</v>
      </c>
      <c r="C1307">
        <f>IF(tbl_main[[#This Row],[Date]]="","",YEAR(B1307))</f>
        <v>2026</v>
      </c>
      <c r="D1307" t="str">
        <f>IF(tbl_main[[#This Row],[Date]]="","",TEXT(B1307,"mmm"))</f>
        <v>Mar</v>
      </c>
      <c r="E1307" t="str">
        <f>IF(tbl_main[[#This Row],[Date]]="","",TEXT(B1307,"DDD"))</f>
        <v>Fri</v>
      </c>
      <c r="F1307" t="s">
        <v>27</v>
      </c>
      <c r="G1307" t="s">
        <v>40</v>
      </c>
      <c r="H1307" s="3" t="s">
        <v>24</v>
      </c>
      <c r="I1307" s="3" t="s">
        <v>35</v>
      </c>
      <c r="J1307" s="3" t="s">
        <v>17</v>
      </c>
      <c r="K1307" s="3">
        <f>_xlfn.XLOOKUP(tbl_main[[#This Row],[Service]],tbl_service[Service],tbl_service[Price],"")</f>
        <v>80</v>
      </c>
      <c r="L1307" s="3">
        <v>2</v>
      </c>
      <c r="M1307" s="3">
        <f>IF(AND(tbl_main[[#This Row],[Price]]="",tbl_main[[#This Row],[Qty]]=""),"",tbl_main[[#This Row],[Price]]*tbl_main[[#This Row],[Qty]])</f>
        <v>160</v>
      </c>
      <c r="N1307" s="3">
        <f>_xlfn.LET(_xlpm.x,_xlfn.XLOOKUP(tbl_main[[#This Row],[Service]],tbl_service[Service],tbl_service[Profit],""),
               IF(tbl_main[[#This Row],[Qty]]="","",_xlpm.x*tbl_main[[#This Row],[Qty]]))</f>
        <v>72</v>
      </c>
    </row>
    <row r="1308" spans="1:14" x14ac:dyDescent="0.25">
      <c r="A1308" t="s">
        <v>1350</v>
      </c>
      <c r="B1308" s="1">
        <v>46094</v>
      </c>
      <c r="C1308">
        <f>IF(tbl_main[[#This Row],[Date]]="","",YEAR(B1308))</f>
        <v>2026</v>
      </c>
      <c r="D1308" t="str">
        <f>IF(tbl_main[[#This Row],[Date]]="","",TEXT(B1308,"mmm"))</f>
        <v>Mar</v>
      </c>
      <c r="E1308" t="str">
        <f>IF(tbl_main[[#This Row],[Date]]="","",TEXT(B1308,"DDD"))</f>
        <v>Fri</v>
      </c>
      <c r="F1308" t="s">
        <v>13</v>
      </c>
      <c r="G1308" t="s">
        <v>33</v>
      </c>
      <c r="H1308" s="3" t="s">
        <v>15</v>
      </c>
      <c r="I1308" s="3" t="s">
        <v>35</v>
      </c>
      <c r="J1308" s="3" t="s">
        <v>17</v>
      </c>
      <c r="K1308" s="3">
        <f>_xlfn.XLOOKUP(tbl_main[[#This Row],[Service]],tbl_service[Service],tbl_service[Price],"")</f>
        <v>500</v>
      </c>
      <c r="L1308" s="3">
        <v>1</v>
      </c>
      <c r="M1308" s="3">
        <f>IF(AND(tbl_main[[#This Row],[Price]]="",tbl_main[[#This Row],[Qty]]=""),"",tbl_main[[#This Row],[Price]]*tbl_main[[#This Row],[Qty]])</f>
        <v>500</v>
      </c>
      <c r="N1308" s="3">
        <f>_xlfn.LET(_xlpm.x,_xlfn.XLOOKUP(tbl_main[[#This Row],[Service]],tbl_service[Service],tbl_service[Profit],""),
               IF(tbl_main[[#This Row],[Qty]]="","",_xlpm.x*tbl_main[[#This Row],[Qty]]))</f>
        <v>225</v>
      </c>
    </row>
    <row r="1309" spans="1:14" x14ac:dyDescent="0.25">
      <c r="A1309" t="s">
        <v>1351</v>
      </c>
      <c r="B1309" s="1">
        <v>46095</v>
      </c>
      <c r="C1309">
        <f>IF(tbl_main[[#This Row],[Date]]="","",YEAR(B1309))</f>
        <v>2026</v>
      </c>
      <c r="D1309" t="str">
        <f>IF(tbl_main[[#This Row],[Date]]="","",TEXT(B1309,"mmm"))</f>
        <v>Mar</v>
      </c>
      <c r="E1309" t="str">
        <f>IF(tbl_main[[#This Row],[Date]]="","",TEXT(B1309,"DDD"))</f>
        <v>Sat</v>
      </c>
      <c r="F1309" t="s">
        <v>20</v>
      </c>
      <c r="G1309" t="s">
        <v>21</v>
      </c>
      <c r="H1309" s="3" t="s">
        <v>26</v>
      </c>
      <c r="I1309" s="3" t="s">
        <v>23</v>
      </c>
      <c r="J1309" s="3" t="s">
        <v>25</v>
      </c>
      <c r="K1309" s="3">
        <f>_xlfn.XLOOKUP(tbl_main[[#This Row],[Service]],tbl_service[Service],tbl_service[Price],"")</f>
        <v>200</v>
      </c>
      <c r="L1309" s="3">
        <v>1</v>
      </c>
      <c r="M1309" s="3">
        <f>IF(AND(tbl_main[[#This Row],[Price]]="",tbl_main[[#This Row],[Qty]]=""),"",tbl_main[[#This Row],[Price]]*tbl_main[[#This Row],[Qty]])</f>
        <v>200</v>
      </c>
      <c r="N1309" s="3">
        <f>_xlfn.LET(_xlpm.x,_xlfn.XLOOKUP(tbl_main[[#This Row],[Service]],tbl_service[Service],tbl_service[Profit],""),
               IF(tbl_main[[#This Row],[Qty]]="","",_xlpm.x*tbl_main[[#This Row],[Qty]]))</f>
        <v>90</v>
      </c>
    </row>
    <row r="1310" spans="1:14" x14ac:dyDescent="0.25">
      <c r="A1310" t="s">
        <v>1352</v>
      </c>
      <c r="B1310" s="1">
        <v>46095</v>
      </c>
      <c r="C1310">
        <f>IF(tbl_main[[#This Row],[Date]]="","",YEAR(B1310))</f>
        <v>2026</v>
      </c>
      <c r="D1310" t="str">
        <f>IF(tbl_main[[#This Row],[Date]]="","",TEXT(B1310,"mmm"))</f>
        <v>Mar</v>
      </c>
      <c r="E1310" t="str">
        <f>IF(tbl_main[[#This Row],[Date]]="","",TEXT(B1310,"DDD"))</f>
        <v>Sat</v>
      </c>
      <c r="F1310" t="s">
        <v>30</v>
      </c>
      <c r="G1310" t="s">
        <v>31</v>
      </c>
      <c r="H1310" s="3" t="s">
        <v>34</v>
      </c>
      <c r="I1310" s="3" t="s">
        <v>37</v>
      </c>
      <c r="J1310" s="3" t="s">
        <v>17</v>
      </c>
      <c r="K1310" s="3">
        <f>_xlfn.XLOOKUP(tbl_main[[#This Row],[Service]],tbl_service[Service],tbl_service[Price],"")</f>
        <v>100</v>
      </c>
      <c r="L1310" s="3">
        <v>2</v>
      </c>
      <c r="M1310" s="3">
        <f>IF(AND(tbl_main[[#This Row],[Price]]="",tbl_main[[#This Row],[Qty]]=""),"",tbl_main[[#This Row],[Price]]*tbl_main[[#This Row],[Qty]])</f>
        <v>200</v>
      </c>
      <c r="N1310" s="3">
        <f>_xlfn.LET(_xlpm.x,_xlfn.XLOOKUP(tbl_main[[#This Row],[Service]],tbl_service[Service],tbl_service[Profit],""),
               IF(tbl_main[[#This Row],[Qty]]="","",_xlpm.x*tbl_main[[#This Row],[Qty]]))</f>
        <v>90</v>
      </c>
    </row>
    <row r="1311" spans="1:14" x14ac:dyDescent="0.25">
      <c r="A1311" t="s">
        <v>1353</v>
      </c>
      <c r="B1311" s="1">
        <v>46095</v>
      </c>
      <c r="C1311">
        <f>IF(tbl_main[[#This Row],[Date]]="","",YEAR(B1311))</f>
        <v>2026</v>
      </c>
      <c r="D1311" t="str">
        <f>IF(tbl_main[[#This Row],[Date]]="","",TEXT(B1311,"mmm"))</f>
        <v>Mar</v>
      </c>
      <c r="E1311" t="str">
        <f>IF(tbl_main[[#This Row],[Date]]="","",TEXT(B1311,"DDD"))</f>
        <v>Sat</v>
      </c>
      <c r="F1311" t="s">
        <v>27</v>
      </c>
      <c r="G1311" t="s">
        <v>28</v>
      </c>
      <c r="H1311" s="3" t="s">
        <v>34</v>
      </c>
      <c r="I1311" s="3" t="s">
        <v>38</v>
      </c>
      <c r="J1311" s="3" t="s">
        <v>25</v>
      </c>
      <c r="K1311" s="3">
        <f>_xlfn.XLOOKUP(tbl_main[[#This Row],[Service]],tbl_service[Service],tbl_service[Price],"")</f>
        <v>100</v>
      </c>
      <c r="L1311" s="3">
        <v>1</v>
      </c>
      <c r="M1311" s="3">
        <f>IF(AND(tbl_main[[#This Row],[Price]]="",tbl_main[[#This Row],[Qty]]=""),"",tbl_main[[#This Row],[Price]]*tbl_main[[#This Row],[Qty]])</f>
        <v>100</v>
      </c>
      <c r="N1311" s="3">
        <f>_xlfn.LET(_xlpm.x,_xlfn.XLOOKUP(tbl_main[[#This Row],[Service]],tbl_service[Service],tbl_service[Profit],""),
               IF(tbl_main[[#This Row],[Qty]]="","",_xlpm.x*tbl_main[[#This Row],[Qty]]))</f>
        <v>45</v>
      </c>
    </row>
    <row r="1312" spans="1:14" x14ac:dyDescent="0.25">
      <c r="A1312" t="s">
        <v>1354</v>
      </c>
      <c r="B1312" s="1">
        <v>46096</v>
      </c>
      <c r="C1312">
        <f>IF(tbl_main[[#This Row],[Date]]="","",YEAR(B1312))</f>
        <v>2026</v>
      </c>
      <c r="D1312" t="str">
        <f>IF(tbl_main[[#This Row],[Date]]="","",TEXT(B1312,"mmm"))</f>
        <v>Mar</v>
      </c>
      <c r="E1312" t="str">
        <f>IF(tbl_main[[#This Row],[Date]]="","",TEXT(B1312,"DDD"))</f>
        <v>Sun</v>
      </c>
      <c r="F1312" t="s">
        <v>30</v>
      </c>
      <c r="G1312" t="s">
        <v>36</v>
      </c>
      <c r="H1312" s="3" t="s">
        <v>15</v>
      </c>
      <c r="I1312" s="3" t="s">
        <v>16</v>
      </c>
      <c r="J1312" s="3" t="s">
        <v>17</v>
      </c>
      <c r="K1312" s="3">
        <f>_xlfn.XLOOKUP(tbl_main[[#This Row],[Service]],tbl_service[Service],tbl_service[Price],"")</f>
        <v>500</v>
      </c>
      <c r="L1312" s="3">
        <v>1</v>
      </c>
      <c r="M1312" s="3">
        <f>IF(AND(tbl_main[[#This Row],[Price]]="",tbl_main[[#This Row],[Qty]]=""),"",tbl_main[[#This Row],[Price]]*tbl_main[[#This Row],[Qty]])</f>
        <v>500</v>
      </c>
      <c r="N1312" s="3">
        <f>_xlfn.LET(_xlpm.x,_xlfn.XLOOKUP(tbl_main[[#This Row],[Service]],tbl_service[Service],tbl_service[Profit],""),
               IF(tbl_main[[#This Row],[Qty]]="","",_xlpm.x*tbl_main[[#This Row],[Qty]]))</f>
        <v>225</v>
      </c>
    </row>
    <row r="1313" spans="1:14" x14ac:dyDescent="0.25">
      <c r="A1313" t="s">
        <v>1355</v>
      </c>
      <c r="B1313" s="1">
        <v>46096</v>
      </c>
      <c r="C1313">
        <f>IF(tbl_main[[#This Row],[Date]]="","",YEAR(B1313))</f>
        <v>2026</v>
      </c>
      <c r="D1313" t="str">
        <f>IF(tbl_main[[#This Row],[Date]]="","",TEXT(B1313,"mmm"))</f>
        <v>Mar</v>
      </c>
      <c r="E1313" t="str">
        <f>IF(tbl_main[[#This Row],[Date]]="","",TEXT(B1313,"DDD"))</f>
        <v>Sun</v>
      </c>
      <c r="F1313" t="s">
        <v>30</v>
      </c>
      <c r="G1313" t="s">
        <v>36</v>
      </c>
      <c r="H1313" s="3" t="s">
        <v>26</v>
      </c>
      <c r="I1313" s="3" t="s">
        <v>19</v>
      </c>
      <c r="J1313" s="3" t="s">
        <v>17</v>
      </c>
      <c r="K1313" s="3">
        <f>_xlfn.XLOOKUP(tbl_main[[#This Row],[Service]],tbl_service[Service],tbl_service[Price],"")</f>
        <v>200</v>
      </c>
      <c r="L1313" s="3">
        <v>1</v>
      </c>
      <c r="M1313" s="3">
        <f>IF(AND(tbl_main[[#This Row],[Price]]="",tbl_main[[#This Row],[Qty]]=""),"",tbl_main[[#This Row],[Price]]*tbl_main[[#This Row],[Qty]])</f>
        <v>200</v>
      </c>
      <c r="N1313" s="3">
        <f>_xlfn.LET(_xlpm.x,_xlfn.XLOOKUP(tbl_main[[#This Row],[Service]],tbl_service[Service],tbl_service[Profit],""),
               IF(tbl_main[[#This Row],[Qty]]="","",_xlpm.x*tbl_main[[#This Row],[Qty]]))</f>
        <v>90</v>
      </c>
    </row>
    <row r="1314" spans="1:14" x14ac:dyDescent="0.25">
      <c r="A1314" t="s">
        <v>1356</v>
      </c>
      <c r="B1314" s="1">
        <v>46096</v>
      </c>
      <c r="C1314">
        <f>IF(tbl_main[[#This Row],[Date]]="","",YEAR(B1314))</f>
        <v>2026</v>
      </c>
      <c r="D1314" t="str">
        <f>IF(tbl_main[[#This Row],[Date]]="","",TEXT(B1314,"mmm"))</f>
        <v>Mar</v>
      </c>
      <c r="E1314" t="str">
        <f>IF(tbl_main[[#This Row],[Date]]="","",TEXT(B1314,"DDD"))</f>
        <v>Sun</v>
      </c>
      <c r="F1314" t="s">
        <v>20</v>
      </c>
      <c r="G1314" t="s">
        <v>29</v>
      </c>
      <c r="H1314" s="3" t="s">
        <v>15</v>
      </c>
      <c r="I1314" s="3" t="s">
        <v>43</v>
      </c>
      <c r="J1314" s="3" t="s">
        <v>25</v>
      </c>
      <c r="K1314" s="3">
        <f>_xlfn.XLOOKUP(tbl_main[[#This Row],[Service]],tbl_service[Service],tbl_service[Price],"")</f>
        <v>500</v>
      </c>
      <c r="L1314" s="3">
        <v>2</v>
      </c>
      <c r="M1314" s="3">
        <f>IF(AND(tbl_main[[#This Row],[Price]]="",tbl_main[[#This Row],[Qty]]=""),"",tbl_main[[#This Row],[Price]]*tbl_main[[#This Row],[Qty]])</f>
        <v>1000</v>
      </c>
      <c r="N1314" s="3">
        <f>_xlfn.LET(_xlpm.x,_xlfn.XLOOKUP(tbl_main[[#This Row],[Service]],tbl_service[Service],tbl_service[Profit],""),
               IF(tbl_main[[#This Row],[Qty]]="","",_xlpm.x*tbl_main[[#This Row],[Qty]]))</f>
        <v>450</v>
      </c>
    </row>
    <row r="1315" spans="1:14" x14ac:dyDescent="0.25">
      <c r="A1315" t="s">
        <v>1357</v>
      </c>
      <c r="B1315" s="1">
        <v>46096</v>
      </c>
      <c r="C1315">
        <f>IF(tbl_main[[#This Row],[Date]]="","",YEAR(B1315))</f>
        <v>2026</v>
      </c>
      <c r="D1315" t="str">
        <f>IF(tbl_main[[#This Row],[Date]]="","",TEXT(B1315,"mmm"))</f>
        <v>Mar</v>
      </c>
      <c r="E1315" t="str">
        <f>IF(tbl_main[[#This Row],[Date]]="","",TEXT(B1315,"DDD"))</f>
        <v>Sun</v>
      </c>
      <c r="F1315" t="s">
        <v>20</v>
      </c>
      <c r="G1315" t="s">
        <v>29</v>
      </c>
      <c r="H1315" s="3" t="s">
        <v>22</v>
      </c>
      <c r="I1315" s="3" t="s">
        <v>41</v>
      </c>
      <c r="J1315" s="3" t="s">
        <v>32</v>
      </c>
      <c r="K1315" s="3">
        <f>_xlfn.XLOOKUP(tbl_main[[#This Row],[Service]],tbl_service[Service],tbl_service[Price],"")</f>
        <v>150</v>
      </c>
      <c r="L1315" s="3">
        <v>1</v>
      </c>
      <c r="M1315" s="3">
        <f>IF(AND(tbl_main[[#This Row],[Price]]="",tbl_main[[#This Row],[Qty]]=""),"",tbl_main[[#This Row],[Price]]*tbl_main[[#This Row],[Qty]])</f>
        <v>150</v>
      </c>
      <c r="N1315" s="3">
        <f>_xlfn.LET(_xlpm.x,_xlfn.XLOOKUP(tbl_main[[#This Row],[Service]],tbl_service[Service],tbl_service[Profit],""),
               IF(tbl_main[[#This Row],[Qty]]="","",_xlpm.x*tbl_main[[#This Row],[Qty]]))</f>
        <v>67</v>
      </c>
    </row>
    <row r="1316" spans="1:14" x14ac:dyDescent="0.25">
      <c r="A1316" t="s">
        <v>1358</v>
      </c>
      <c r="B1316" s="1">
        <v>46097</v>
      </c>
      <c r="C1316">
        <f>IF(tbl_main[[#This Row],[Date]]="","",YEAR(B1316))</f>
        <v>2026</v>
      </c>
      <c r="D1316" t="str">
        <f>IF(tbl_main[[#This Row],[Date]]="","",TEXT(B1316,"mmm"))</f>
        <v>Mar</v>
      </c>
      <c r="E1316" t="str">
        <f>IF(tbl_main[[#This Row],[Date]]="","",TEXT(B1316,"DDD"))</f>
        <v>Mon</v>
      </c>
      <c r="F1316" t="s">
        <v>27</v>
      </c>
      <c r="G1316" t="s">
        <v>28</v>
      </c>
      <c r="H1316" s="3" t="s">
        <v>24</v>
      </c>
      <c r="I1316" s="3" t="s">
        <v>41</v>
      </c>
      <c r="J1316" s="3" t="s">
        <v>32</v>
      </c>
      <c r="K1316" s="3">
        <f>_xlfn.XLOOKUP(tbl_main[[#This Row],[Service]],tbl_service[Service],tbl_service[Price],"")</f>
        <v>80</v>
      </c>
      <c r="L1316" s="3">
        <v>1</v>
      </c>
      <c r="M1316" s="3">
        <f>IF(AND(tbl_main[[#This Row],[Price]]="",tbl_main[[#This Row],[Qty]]=""),"",tbl_main[[#This Row],[Price]]*tbl_main[[#This Row],[Qty]])</f>
        <v>80</v>
      </c>
      <c r="N1316" s="3">
        <f>_xlfn.LET(_xlpm.x,_xlfn.XLOOKUP(tbl_main[[#This Row],[Service]],tbl_service[Service],tbl_service[Profit],""),
               IF(tbl_main[[#This Row],[Qty]]="","",_xlpm.x*tbl_main[[#This Row],[Qty]]))</f>
        <v>36</v>
      </c>
    </row>
    <row r="1317" spans="1:14" x14ac:dyDescent="0.25">
      <c r="A1317" t="s">
        <v>1359</v>
      </c>
      <c r="B1317" s="1">
        <v>46097</v>
      </c>
      <c r="C1317">
        <f>IF(tbl_main[[#This Row],[Date]]="","",YEAR(B1317))</f>
        <v>2026</v>
      </c>
      <c r="D1317" t="str">
        <f>IF(tbl_main[[#This Row],[Date]]="","",TEXT(B1317,"mmm"))</f>
        <v>Mar</v>
      </c>
      <c r="E1317" t="str">
        <f>IF(tbl_main[[#This Row],[Date]]="","",TEXT(B1317,"DDD"))</f>
        <v>Mon</v>
      </c>
      <c r="F1317" t="s">
        <v>30</v>
      </c>
      <c r="G1317" t="s">
        <v>36</v>
      </c>
      <c r="H1317" s="3" t="s">
        <v>18</v>
      </c>
      <c r="I1317" s="3" t="s">
        <v>35</v>
      </c>
      <c r="J1317" s="3" t="s">
        <v>25</v>
      </c>
      <c r="K1317" s="3">
        <f>_xlfn.XLOOKUP(tbl_main[[#This Row],[Service]],tbl_service[Service],tbl_service[Price],"")</f>
        <v>500</v>
      </c>
      <c r="L1317" s="3">
        <v>1</v>
      </c>
      <c r="M1317" s="3">
        <f>IF(AND(tbl_main[[#This Row],[Price]]="",tbl_main[[#This Row],[Qty]]=""),"",tbl_main[[#This Row],[Price]]*tbl_main[[#This Row],[Qty]])</f>
        <v>500</v>
      </c>
      <c r="N1317" s="3">
        <f>_xlfn.LET(_xlpm.x,_xlfn.XLOOKUP(tbl_main[[#This Row],[Service]],tbl_service[Service],tbl_service[Profit],""),
               IF(tbl_main[[#This Row],[Qty]]="","",_xlpm.x*tbl_main[[#This Row],[Qty]]))</f>
        <v>157</v>
      </c>
    </row>
    <row r="1318" spans="1:14" x14ac:dyDescent="0.25">
      <c r="A1318" t="s">
        <v>1360</v>
      </c>
      <c r="B1318" s="1">
        <v>46097</v>
      </c>
      <c r="C1318">
        <f>IF(tbl_main[[#This Row],[Date]]="","",YEAR(B1318))</f>
        <v>2026</v>
      </c>
      <c r="D1318" t="str">
        <f>IF(tbl_main[[#This Row],[Date]]="","",TEXT(B1318,"mmm"))</f>
        <v>Mar</v>
      </c>
      <c r="E1318" t="str">
        <f>IF(tbl_main[[#This Row],[Date]]="","",TEXT(B1318,"DDD"))</f>
        <v>Mon</v>
      </c>
      <c r="F1318" t="s">
        <v>13</v>
      </c>
      <c r="G1318" t="s">
        <v>14</v>
      </c>
      <c r="H1318" s="3" t="s">
        <v>26</v>
      </c>
      <c r="I1318" s="3" t="s">
        <v>35</v>
      </c>
      <c r="J1318" s="3" t="s">
        <v>25</v>
      </c>
      <c r="K1318" s="3">
        <f>_xlfn.XLOOKUP(tbl_main[[#This Row],[Service]],tbl_service[Service],tbl_service[Price],"")</f>
        <v>200</v>
      </c>
      <c r="L1318" s="3">
        <v>1</v>
      </c>
      <c r="M1318" s="3">
        <f>IF(AND(tbl_main[[#This Row],[Price]]="",tbl_main[[#This Row],[Qty]]=""),"",tbl_main[[#This Row],[Price]]*tbl_main[[#This Row],[Qty]])</f>
        <v>200</v>
      </c>
      <c r="N1318" s="3">
        <f>_xlfn.LET(_xlpm.x,_xlfn.XLOOKUP(tbl_main[[#This Row],[Service]],tbl_service[Service],tbl_service[Profit],""),
               IF(tbl_main[[#This Row],[Qty]]="","",_xlpm.x*tbl_main[[#This Row],[Qty]]))</f>
        <v>90</v>
      </c>
    </row>
    <row r="1319" spans="1:14" x14ac:dyDescent="0.25">
      <c r="A1319" t="s">
        <v>1361</v>
      </c>
      <c r="B1319" s="1">
        <v>46097</v>
      </c>
      <c r="C1319">
        <f>IF(tbl_main[[#This Row],[Date]]="","",YEAR(B1319))</f>
        <v>2026</v>
      </c>
      <c r="D1319" t="str">
        <f>IF(tbl_main[[#This Row],[Date]]="","",TEXT(B1319,"mmm"))</f>
        <v>Mar</v>
      </c>
      <c r="E1319" t="str">
        <f>IF(tbl_main[[#This Row],[Date]]="","",TEXT(B1319,"DDD"))</f>
        <v>Mon</v>
      </c>
      <c r="F1319" t="s">
        <v>30</v>
      </c>
      <c r="G1319" t="s">
        <v>36</v>
      </c>
      <c r="H1319" s="3" t="s">
        <v>26</v>
      </c>
      <c r="I1319" s="3" t="s">
        <v>23</v>
      </c>
      <c r="J1319" s="3" t="s">
        <v>17</v>
      </c>
      <c r="K1319" s="3">
        <f>_xlfn.XLOOKUP(tbl_main[[#This Row],[Service]],tbl_service[Service],tbl_service[Price],"")</f>
        <v>200</v>
      </c>
      <c r="L1319" s="3">
        <v>1</v>
      </c>
      <c r="M1319" s="3">
        <f>IF(AND(tbl_main[[#This Row],[Price]]="",tbl_main[[#This Row],[Qty]]=""),"",tbl_main[[#This Row],[Price]]*tbl_main[[#This Row],[Qty]])</f>
        <v>200</v>
      </c>
      <c r="N1319" s="3">
        <f>_xlfn.LET(_xlpm.x,_xlfn.XLOOKUP(tbl_main[[#This Row],[Service]],tbl_service[Service],tbl_service[Profit],""),
               IF(tbl_main[[#This Row],[Qty]]="","",_xlpm.x*tbl_main[[#This Row],[Qty]]))</f>
        <v>90</v>
      </c>
    </row>
    <row r="1320" spans="1:14" x14ac:dyDescent="0.25">
      <c r="A1320" t="s">
        <v>1362</v>
      </c>
      <c r="B1320" s="1">
        <v>46098</v>
      </c>
      <c r="C1320">
        <f>IF(tbl_main[[#This Row],[Date]]="","",YEAR(B1320))</f>
        <v>2026</v>
      </c>
      <c r="D1320" t="str">
        <f>IF(tbl_main[[#This Row],[Date]]="","",TEXT(B1320,"mmm"))</f>
        <v>Mar</v>
      </c>
      <c r="E1320" t="str">
        <f>IF(tbl_main[[#This Row],[Date]]="","",TEXT(B1320,"DDD"))</f>
        <v>Tue</v>
      </c>
      <c r="F1320" t="s">
        <v>30</v>
      </c>
      <c r="G1320" t="s">
        <v>36</v>
      </c>
      <c r="H1320" s="3" t="s">
        <v>18</v>
      </c>
      <c r="I1320" s="3" t="s">
        <v>37</v>
      </c>
      <c r="J1320" s="3" t="s">
        <v>17</v>
      </c>
      <c r="K1320" s="3">
        <f>_xlfn.XLOOKUP(tbl_main[[#This Row],[Service]],tbl_service[Service],tbl_service[Price],"")</f>
        <v>500</v>
      </c>
      <c r="L1320" s="3">
        <v>2</v>
      </c>
      <c r="M1320" s="3">
        <f>IF(AND(tbl_main[[#This Row],[Price]]="",tbl_main[[#This Row],[Qty]]=""),"",tbl_main[[#This Row],[Price]]*tbl_main[[#This Row],[Qty]])</f>
        <v>1000</v>
      </c>
      <c r="N1320" s="3">
        <f>_xlfn.LET(_xlpm.x,_xlfn.XLOOKUP(tbl_main[[#This Row],[Service]],tbl_service[Service],tbl_service[Profit],""),
               IF(tbl_main[[#This Row],[Qty]]="","",_xlpm.x*tbl_main[[#This Row],[Qty]]))</f>
        <v>314</v>
      </c>
    </row>
    <row r="1321" spans="1:14" x14ac:dyDescent="0.25">
      <c r="A1321" t="s">
        <v>1363</v>
      </c>
      <c r="B1321" s="1">
        <v>46098</v>
      </c>
      <c r="C1321">
        <f>IF(tbl_main[[#This Row],[Date]]="","",YEAR(B1321))</f>
        <v>2026</v>
      </c>
      <c r="D1321" t="str">
        <f>IF(tbl_main[[#This Row],[Date]]="","",TEXT(B1321,"mmm"))</f>
        <v>Mar</v>
      </c>
      <c r="E1321" t="str">
        <f>IF(tbl_main[[#This Row],[Date]]="","",TEXT(B1321,"DDD"))</f>
        <v>Tue</v>
      </c>
      <c r="F1321" t="s">
        <v>27</v>
      </c>
      <c r="G1321" t="s">
        <v>28</v>
      </c>
      <c r="H1321" s="3" t="s">
        <v>15</v>
      </c>
      <c r="I1321" s="3" t="s">
        <v>38</v>
      </c>
      <c r="J1321" s="3" t="s">
        <v>17</v>
      </c>
      <c r="K1321" s="3">
        <f>_xlfn.XLOOKUP(tbl_main[[#This Row],[Service]],tbl_service[Service],tbl_service[Price],"")</f>
        <v>500</v>
      </c>
      <c r="L1321" s="3">
        <v>2</v>
      </c>
      <c r="M1321" s="3">
        <f>IF(AND(tbl_main[[#This Row],[Price]]="",tbl_main[[#This Row],[Qty]]=""),"",tbl_main[[#This Row],[Price]]*tbl_main[[#This Row],[Qty]])</f>
        <v>1000</v>
      </c>
      <c r="N1321" s="3">
        <f>_xlfn.LET(_xlpm.x,_xlfn.XLOOKUP(tbl_main[[#This Row],[Service]],tbl_service[Service],tbl_service[Profit],""),
               IF(tbl_main[[#This Row],[Qty]]="","",_xlpm.x*tbl_main[[#This Row],[Qty]]))</f>
        <v>450</v>
      </c>
    </row>
    <row r="1322" spans="1:14" x14ac:dyDescent="0.25">
      <c r="A1322" t="s">
        <v>1364</v>
      </c>
      <c r="B1322" s="1">
        <v>46098</v>
      </c>
      <c r="C1322">
        <f>IF(tbl_main[[#This Row],[Date]]="","",YEAR(B1322))</f>
        <v>2026</v>
      </c>
      <c r="D1322" t="str">
        <f>IF(tbl_main[[#This Row],[Date]]="","",TEXT(B1322,"mmm"))</f>
        <v>Mar</v>
      </c>
      <c r="E1322" t="str">
        <f>IF(tbl_main[[#This Row],[Date]]="","",TEXT(B1322,"DDD"))</f>
        <v>Tue</v>
      </c>
      <c r="F1322" t="s">
        <v>13</v>
      </c>
      <c r="G1322" t="s">
        <v>14</v>
      </c>
      <c r="H1322" s="3" t="s">
        <v>15</v>
      </c>
      <c r="I1322" s="3" t="s">
        <v>16</v>
      </c>
      <c r="J1322" s="3" t="s">
        <v>25</v>
      </c>
      <c r="K1322" s="3">
        <f>_xlfn.XLOOKUP(tbl_main[[#This Row],[Service]],tbl_service[Service],tbl_service[Price],"")</f>
        <v>500</v>
      </c>
      <c r="L1322" s="3">
        <v>2</v>
      </c>
      <c r="M1322" s="3">
        <f>IF(AND(tbl_main[[#This Row],[Price]]="",tbl_main[[#This Row],[Qty]]=""),"",tbl_main[[#This Row],[Price]]*tbl_main[[#This Row],[Qty]])</f>
        <v>1000</v>
      </c>
      <c r="N1322" s="3">
        <f>_xlfn.LET(_xlpm.x,_xlfn.XLOOKUP(tbl_main[[#This Row],[Service]],tbl_service[Service],tbl_service[Profit],""),
               IF(tbl_main[[#This Row],[Qty]]="","",_xlpm.x*tbl_main[[#This Row],[Qty]]))</f>
        <v>450</v>
      </c>
    </row>
    <row r="1323" spans="1:14" x14ac:dyDescent="0.25">
      <c r="A1323" t="s">
        <v>1365</v>
      </c>
      <c r="B1323" s="1">
        <v>46099</v>
      </c>
      <c r="C1323">
        <f>IF(tbl_main[[#This Row],[Date]]="","",YEAR(B1323))</f>
        <v>2026</v>
      </c>
      <c r="D1323" t="str">
        <f>IF(tbl_main[[#This Row],[Date]]="","",TEXT(B1323,"mmm"))</f>
        <v>Mar</v>
      </c>
      <c r="E1323" t="str">
        <f>IF(tbl_main[[#This Row],[Date]]="","",TEXT(B1323,"DDD"))</f>
        <v>Wed</v>
      </c>
      <c r="F1323" t="s">
        <v>30</v>
      </c>
      <c r="G1323" t="s">
        <v>31</v>
      </c>
      <c r="H1323" s="3" t="s">
        <v>22</v>
      </c>
      <c r="I1323" s="3" t="s">
        <v>19</v>
      </c>
      <c r="J1323" s="3" t="s">
        <v>17</v>
      </c>
      <c r="K1323" s="3">
        <f>_xlfn.XLOOKUP(tbl_main[[#This Row],[Service]],tbl_service[Service],tbl_service[Price],"")</f>
        <v>150</v>
      </c>
      <c r="L1323" s="3">
        <v>2</v>
      </c>
      <c r="M1323" s="3">
        <f>IF(AND(tbl_main[[#This Row],[Price]]="",tbl_main[[#This Row],[Qty]]=""),"",tbl_main[[#This Row],[Price]]*tbl_main[[#This Row],[Qty]])</f>
        <v>300</v>
      </c>
      <c r="N1323" s="3">
        <f>_xlfn.LET(_xlpm.x,_xlfn.XLOOKUP(tbl_main[[#This Row],[Service]],tbl_service[Service],tbl_service[Profit],""),
               IF(tbl_main[[#This Row],[Qty]]="","",_xlpm.x*tbl_main[[#This Row],[Qty]]))</f>
        <v>134</v>
      </c>
    </row>
    <row r="1324" spans="1:14" x14ac:dyDescent="0.25">
      <c r="A1324" t="s">
        <v>1366</v>
      </c>
      <c r="B1324" s="1">
        <v>46099</v>
      </c>
      <c r="C1324">
        <f>IF(tbl_main[[#This Row],[Date]]="","",YEAR(B1324))</f>
        <v>2026</v>
      </c>
      <c r="D1324" t="str">
        <f>IF(tbl_main[[#This Row],[Date]]="","",TEXT(B1324,"mmm"))</f>
        <v>Mar</v>
      </c>
      <c r="E1324" t="str">
        <f>IF(tbl_main[[#This Row],[Date]]="","",TEXT(B1324,"DDD"))</f>
        <v>Wed</v>
      </c>
      <c r="F1324" t="s">
        <v>20</v>
      </c>
      <c r="G1324" t="s">
        <v>39</v>
      </c>
      <c r="H1324" s="3" t="s">
        <v>15</v>
      </c>
      <c r="I1324" s="3" t="s">
        <v>43</v>
      </c>
      <c r="J1324" s="3" t="s">
        <v>17</v>
      </c>
      <c r="K1324" s="3">
        <f>_xlfn.XLOOKUP(tbl_main[[#This Row],[Service]],tbl_service[Service],tbl_service[Price],"")</f>
        <v>500</v>
      </c>
      <c r="L1324" s="3">
        <v>1</v>
      </c>
      <c r="M1324" s="3">
        <f>IF(AND(tbl_main[[#This Row],[Price]]="",tbl_main[[#This Row],[Qty]]=""),"",tbl_main[[#This Row],[Price]]*tbl_main[[#This Row],[Qty]])</f>
        <v>500</v>
      </c>
      <c r="N1324" s="3">
        <f>_xlfn.LET(_xlpm.x,_xlfn.XLOOKUP(tbl_main[[#This Row],[Service]],tbl_service[Service],tbl_service[Profit],""),
               IF(tbl_main[[#This Row],[Qty]]="","",_xlpm.x*tbl_main[[#This Row],[Qty]]))</f>
        <v>225</v>
      </c>
    </row>
    <row r="1325" spans="1:14" x14ac:dyDescent="0.25">
      <c r="A1325" t="s">
        <v>1367</v>
      </c>
      <c r="B1325" s="1">
        <v>46099</v>
      </c>
      <c r="C1325">
        <f>IF(tbl_main[[#This Row],[Date]]="","",YEAR(B1325))</f>
        <v>2026</v>
      </c>
      <c r="D1325" t="str">
        <f>IF(tbl_main[[#This Row],[Date]]="","",TEXT(B1325,"mmm"))</f>
        <v>Mar</v>
      </c>
      <c r="E1325" t="str">
        <f>IF(tbl_main[[#This Row],[Date]]="","",TEXT(B1325,"DDD"))</f>
        <v>Wed</v>
      </c>
      <c r="F1325" t="s">
        <v>30</v>
      </c>
      <c r="G1325" t="s">
        <v>31</v>
      </c>
      <c r="H1325" s="3" t="s">
        <v>18</v>
      </c>
      <c r="I1325" s="3" t="s">
        <v>41</v>
      </c>
      <c r="J1325" s="3" t="s">
        <v>32</v>
      </c>
      <c r="K1325" s="3">
        <f>_xlfn.XLOOKUP(tbl_main[[#This Row],[Service]],tbl_service[Service],tbl_service[Price],"")</f>
        <v>500</v>
      </c>
      <c r="L1325" s="3">
        <v>2</v>
      </c>
      <c r="M1325" s="3">
        <f>IF(AND(tbl_main[[#This Row],[Price]]="",tbl_main[[#This Row],[Qty]]=""),"",tbl_main[[#This Row],[Price]]*tbl_main[[#This Row],[Qty]])</f>
        <v>1000</v>
      </c>
      <c r="N1325" s="3">
        <f>_xlfn.LET(_xlpm.x,_xlfn.XLOOKUP(tbl_main[[#This Row],[Service]],tbl_service[Service],tbl_service[Profit],""),
               IF(tbl_main[[#This Row],[Qty]]="","",_xlpm.x*tbl_main[[#This Row],[Qty]]))</f>
        <v>314</v>
      </c>
    </row>
    <row r="1326" spans="1:14" x14ac:dyDescent="0.25">
      <c r="A1326" t="s">
        <v>1368</v>
      </c>
      <c r="B1326" s="1">
        <v>46099</v>
      </c>
      <c r="C1326">
        <f>IF(tbl_main[[#This Row],[Date]]="","",YEAR(B1326))</f>
        <v>2026</v>
      </c>
      <c r="D1326" t="str">
        <f>IF(tbl_main[[#This Row],[Date]]="","",TEXT(B1326,"mmm"))</f>
        <v>Mar</v>
      </c>
      <c r="E1326" t="str">
        <f>IF(tbl_main[[#This Row],[Date]]="","",TEXT(B1326,"DDD"))</f>
        <v>Wed</v>
      </c>
      <c r="F1326" t="s">
        <v>30</v>
      </c>
      <c r="G1326" t="s">
        <v>36</v>
      </c>
      <c r="H1326" s="3" t="s">
        <v>18</v>
      </c>
      <c r="I1326" s="3" t="s">
        <v>41</v>
      </c>
      <c r="J1326" s="3" t="s">
        <v>17</v>
      </c>
      <c r="K1326" s="3">
        <f>_xlfn.XLOOKUP(tbl_main[[#This Row],[Service]],tbl_service[Service],tbl_service[Price],"")</f>
        <v>500</v>
      </c>
      <c r="L1326" s="3">
        <v>1</v>
      </c>
      <c r="M1326" s="3">
        <f>IF(AND(tbl_main[[#This Row],[Price]]="",tbl_main[[#This Row],[Qty]]=""),"",tbl_main[[#This Row],[Price]]*tbl_main[[#This Row],[Qty]])</f>
        <v>500</v>
      </c>
      <c r="N1326" s="3">
        <f>_xlfn.LET(_xlpm.x,_xlfn.XLOOKUP(tbl_main[[#This Row],[Service]],tbl_service[Service],tbl_service[Profit],""),
               IF(tbl_main[[#This Row],[Qty]]="","",_xlpm.x*tbl_main[[#This Row],[Qty]]))</f>
        <v>157</v>
      </c>
    </row>
    <row r="1327" spans="1:14" x14ac:dyDescent="0.25">
      <c r="A1327" t="s">
        <v>1369</v>
      </c>
      <c r="B1327" s="1">
        <v>46100</v>
      </c>
      <c r="C1327">
        <f>IF(tbl_main[[#This Row],[Date]]="","",YEAR(B1327))</f>
        <v>2026</v>
      </c>
      <c r="D1327" t="str">
        <f>IF(tbl_main[[#This Row],[Date]]="","",TEXT(B1327,"mmm"))</f>
        <v>Mar</v>
      </c>
      <c r="E1327" t="str">
        <f>IF(tbl_main[[#This Row],[Date]]="","",TEXT(B1327,"DDD"))</f>
        <v>Thu</v>
      </c>
      <c r="F1327" t="s">
        <v>20</v>
      </c>
      <c r="G1327" t="s">
        <v>39</v>
      </c>
      <c r="H1327" s="3" t="s">
        <v>22</v>
      </c>
      <c r="I1327" s="3" t="s">
        <v>35</v>
      </c>
      <c r="J1327" s="3" t="s">
        <v>32</v>
      </c>
      <c r="K1327" s="3">
        <f>_xlfn.XLOOKUP(tbl_main[[#This Row],[Service]],tbl_service[Service],tbl_service[Price],"")</f>
        <v>150</v>
      </c>
      <c r="L1327" s="3">
        <v>2</v>
      </c>
      <c r="M1327" s="3">
        <f>IF(AND(tbl_main[[#This Row],[Price]]="",tbl_main[[#This Row],[Qty]]=""),"",tbl_main[[#This Row],[Price]]*tbl_main[[#This Row],[Qty]])</f>
        <v>300</v>
      </c>
      <c r="N1327" s="3">
        <f>_xlfn.LET(_xlpm.x,_xlfn.XLOOKUP(tbl_main[[#This Row],[Service]],tbl_service[Service],tbl_service[Profit],""),
               IF(tbl_main[[#This Row],[Qty]]="","",_xlpm.x*tbl_main[[#This Row],[Qty]]))</f>
        <v>134</v>
      </c>
    </row>
    <row r="1328" spans="1:14" x14ac:dyDescent="0.25">
      <c r="A1328" t="s">
        <v>1370</v>
      </c>
      <c r="B1328" s="1">
        <v>46100</v>
      </c>
      <c r="C1328">
        <f>IF(tbl_main[[#This Row],[Date]]="","",YEAR(B1328))</f>
        <v>2026</v>
      </c>
      <c r="D1328" t="str">
        <f>IF(tbl_main[[#This Row],[Date]]="","",TEXT(B1328,"mmm"))</f>
        <v>Mar</v>
      </c>
      <c r="E1328" t="str">
        <f>IF(tbl_main[[#This Row],[Date]]="","",TEXT(B1328,"DDD"))</f>
        <v>Thu</v>
      </c>
      <c r="F1328" t="s">
        <v>13</v>
      </c>
      <c r="G1328" t="s">
        <v>33</v>
      </c>
      <c r="H1328" s="3" t="s">
        <v>24</v>
      </c>
      <c r="I1328" s="3" t="s">
        <v>35</v>
      </c>
      <c r="J1328" s="3" t="s">
        <v>25</v>
      </c>
      <c r="K1328" s="3">
        <f>_xlfn.XLOOKUP(tbl_main[[#This Row],[Service]],tbl_service[Service],tbl_service[Price],"")</f>
        <v>80</v>
      </c>
      <c r="L1328" s="3">
        <v>1</v>
      </c>
      <c r="M1328" s="3">
        <f>IF(AND(tbl_main[[#This Row],[Price]]="",tbl_main[[#This Row],[Qty]]=""),"",tbl_main[[#This Row],[Price]]*tbl_main[[#This Row],[Qty]])</f>
        <v>80</v>
      </c>
      <c r="N1328" s="3">
        <f>_xlfn.LET(_xlpm.x,_xlfn.XLOOKUP(tbl_main[[#This Row],[Service]],tbl_service[Service],tbl_service[Profit],""),
               IF(tbl_main[[#This Row],[Qty]]="","",_xlpm.x*tbl_main[[#This Row],[Qty]]))</f>
        <v>36</v>
      </c>
    </row>
    <row r="1329" spans="1:14" x14ac:dyDescent="0.25">
      <c r="A1329" t="s">
        <v>1371</v>
      </c>
      <c r="B1329" s="1">
        <v>46100</v>
      </c>
      <c r="C1329">
        <f>IF(tbl_main[[#This Row],[Date]]="","",YEAR(B1329))</f>
        <v>2026</v>
      </c>
      <c r="D1329" t="str">
        <f>IF(tbl_main[[#This Row],[Date]]="","",TEXT(B1329,"mmm"))</f>
        <v>Mar</v>
      </c>
      <c r="E1329" t="str">
        <f>IF(tbl_main[[#This Row],[Date]]="","",TEXT(B1329,"DDD"))</f>
        <v>Thu</v>
      </c>
      <c r="F1329" t="s">
        <v>13</v>
      </c>
      <c r="G1329" t="s">
        <v>14</v>
      </c>
      <c r="H1329" s="3" t="s">
        <v>24</v>
      </c>
      <c r="I1329" s="3" t="s">
        <v>23</v>
      </c>
      <c r="J1329" s="3" t="s">
        <v>25</v>
      </c>
      <c r="K1329" s="3">
        <f>_xlfn.XLOOKUP(tbl_main[[#This Row],[Service]],tbl_service[Service],tbl_service[Price],"")</f>
        <v>80</v>
      </c>
      <c r="L1329" s="3">
        <v>1</v>
      </c>
      <c r="M1329" s="3">
        <f>IF(AND(tbl_main[[#This Row],[Price]]="",tbl_main[[#This Row],[Qty]]=""),"",tbl_main[[#This Row],[Price]]*tbl_main[[#This Row],[Qty]])</f>
        <v>80</v>
      </c>
      <c r="N1329" s="3">
        <f>_xlfn.LET(_xlpm.x,_xlfn.XLOOKUP(tbl_main[[#This Row],[Service]],tbl_service[Service],tbl_service[Profit],""),
               IF(tbl_main[[#This Row],[Qty]]="","",_xlpm.x*tbl_main[[#This Row],[Qty]]))</f>
        <v>36</v>
      </c>
    </row>
    <row r="1330" spans="1:14" x14ac:dyDescent="0.25">
      <c r="A1330" t="s">
        <v>1372</v>
      </c>
      <c r="B1330" s="1">
        <v>46101</v>
      </c>
      <c r="C1330">
        <f>IF(tbl_main[[#This Row],[Date]]="","",YEAR(B1330))</f>
        <v>2026</v>
      </c>
      <c r="D1330" t="str">
        <f>IF(tbl_main[[#This Row],[Date]]="","",TEXT(B1330,"mmm"))</f>
        <v>Mar</v>
      </c>
      <c r="E1330" t="str">
        <f>IF(tbl_main[[#This Row],[Date]]="","",TEXT(B1330,"DDD"))</f>
        <v>Fri</v>
      </c>
      <c r="F1330" t="s">
        <v>27</v>
      </c>
      <c r="G1330" t="s">
        <v>28</v>
      </c>
      <c r="H1330" s="3" t="s">
        <v>18</v>
      </c>
      <c r="I1330" s="3" t="s">
        <v>37</v>
      </c>
      <c r="J1330" s="3" t="s">
        <v>32</v>
      </c>
      <c r="K1330" s="3">
        <f>_xlfn.XLOOKUP(tbl_main[[#This Row],[Service]],tbl_service[Service],tbl_service[Price],"")</f>
        <v>500</v>
      </c>
      <c r="L1330" s="3">
        <v>1</v>
      </c>
      <c r="M1330" s="3">
        <f>IF(AND(tbl_main[[#This Row],[Price]]="",tbl_main[[#This Row],[Qty]]=""),"",tbl_main[[#This Row],[Price]]*tbl_main[[#This Row],[Qty]])</f>
        <v>500</v>
      </c>
      <c r="N1330" s="3">
        <f>_xlfn.LET(_xlpm.x,_xlfn.XLOOKUP(tbl_main[[#This Row],[Service]],tbl_service[Service],tbl_service[Profit],""),
               IF(tbl_main[[#This Row],[Qty]]="","",_xlpm.x*tbl_main[[#This Row],[Qty]]))</f>
        <v>157</v>
      </c>
    </row>
    <row r="1331" spans="1:14" x14ac:dyDescent="0.25">
      <c r="A1331" t="s">
        <v>1373</v>
      </c>
      <c r="B1331" s="1">
        <v>46101</v>
      </c>
      <c r="C1331">
        <f>IF(tbl_main[[#This Row],[Date]]="","",YEAR(B1331))</f>
        <v>2026</v>
      </c>
      <c r="D1331" t="str">
        <f>IF(tbl_main[[#This Row],[Date]]="","",TEXT(B1331,"mmm"))</f>
        <v>Mar</v>
      </c>
      <c r="E1331" t="str">
        <f>IF(tbl_main[[#This Row],[Date]]="","",TEXT(B1331,"DDD"))</f>
        <v>Fri</v>
      </c>
      <c r="F1331" t="s">
        <v>27</v>
      </c>
      <c r="G1331" t="s">
        <v>40</v>
      </c>
      <c r="H1331" s="3" t="s">
        <v>26</v>
      </c>
      <c r="I1331" s="3" t="s">
        <v>38</v>
      </c>
      <c r="J1331" s="3" t="s">
        <v>25</v>
      </c>
      <c r="K1331" s="3">
        <f>_xlfn.XLOOKUP(tbl_main[[#This Row],[Service]],tbl_service[Service],tbl_service[Price],"")</f>
        <v>200</v>
      </c>
      <c r="L1331" s="3">
        <v>1</v>
      </c>
      <c r="M1331" s="3">
        <f>IF(AND(tbl_main[[#This Row],[Price]]="",tbl_main[[#This Row],[Qty]]=""),"",tbl_main[[#This Row],[Price]]*tbl_main[[#This Row],[Qty]])</f>
        <v>200</v>
      </c>
      <c r="N1331" s="3">
        <f>_xlfn.LET(_xlpm.x,_xlfn.XLOOKUP(tbl_main[[#This Row],[Service]],tbl_service[Service],tbl_service[Profit],""),
               IF(tbl_main[[#This Row],[Qty]]="","",_xlpm.x*tbl_main[[#This Row],[Qty]]))</f>
        <v>90</v>
      </c>
    </row>
    <row r="1332" spans="1:14" x14ac:dyDescent="0.25">
      <c r="A1332" t="s">
        <v>1374</v>
      </c>
      <c r="B1332" s="1">
        <v>46101</v>
      </c>
      <c r="C1332">
        <f>IF(tbl_main[[#This Row],[Date]]="","",YEAR(B1332))</f>
        <v>2026</v>
      </c>
      <c r="D1332" t="str">
        <f>IF(tbl_main[[#This Row],[Date]]="","",TEXT(B1332,"mmm"))</f>
        <v>Mar</v>
      </c>
      <c r="E1332" t="str">
        <f>IF(tbl_main[[#This Row],[Date]]="","",TEXT(B1332,"DDD"))</f>
        <v>Fri</v>
      </c>
      <c r="F1332" t="s">
        <v>13</v>
      </c>
      <c r="G1332" t="s">
        <v>14</v>
      </c>
      <c r="H1332" s="3" t="s">
        <v>15</v>
      </c>
      <c r="I1332" s="3" t="s">
        <v>16</v>
      </c>
      <c r="J1332" s="3" t="s">
        <v>25</v>
      </c>
      <c r="K1332" s="3">
        <f>_xlfn.XLOOKUP(tbl_main[[#This Row],[Service]],tbl_service[Service],tbl_service[Price],"")</f>
        <v>500</v>
      </c>
      <c r="L1332" s="3">
        <v>2</v>
      </c>
      <c r="M1332" s="3">
        <f>IF(AND(tbl_main[[#This Row],[Price]]="",tbl_main[[#This Row],[Qty]]=""),"",tbl_main[[#This Row],[Price]]*tbl_main[[#This Row],[Qty]])</f>
        <v>1000</v>
      </c>
      <c r="N1332" s="3">
        <f>_xlfn.LET(_xlpm.x,_xlfn.XLOOKUP(tbl_main[[#This Row],[Service]],tbl_service[Service],tbl_service[Profit],""),
               IF(tbl_main[[#This Row],[Qty]]="","",_xlpm.x*tbl_main[[#This Row],[Qty]]))</f>
        <v>450</v>
      </c>
    </row>
    <row r="1333" spans="1:14" x14ac:dyDescent="0.25">
      <c r="A1333" t="s">
        <v>1375</v>
      </c>
      <c r="B1333" s="1">
        <v>46102</v>
      </c>
      <c r="C1333">
        <f>IF(tbl_main[[#This Row],[Date]]="","",YEAR(B1333))</f>
        <v>2026</v>
      </c>
      <c r="D1333" t="str">
        <f>IF(tbl_main[[#This Row],[Date]]="","",TEXT(B1333,"mmm"))</f>
        <v>Mar</v>
      </c>
      <c r="E1333" t="str">
        <f>IF(tbl_main[[#This Row],[Date]]="","",TEXT(B1333,"DDD"))</f>
        <v>Sat</v>
      </c>
      <c r="F1333" t="s">
        <v>30</v>
      </c>
      <c r="G1333" t="s">
        <v>36</v>
      </c>
      <c r="H1333" s="3" t="s">
        <v>18</v>
      </c>
      <c r="I1333" s="3" t="s">
        <v>19</v>
      </c>
      <c r="J1333" s="3" t="s">
        <v>25</v>
      </c>
      <c r="K1333" s="3">
        <f>_xlfn.XLOOKUP(tbl_main[[#This Row],[Service]],tbl_service[Service],tbl_service[Price],"")</f>
        <v>500</v>
      </c>
      <c r="L1333" s="3">
        <v>1</v>
      </c>
      <c r="M1333" s="3">
        <f>IF(AND(tbl_main[[#This Row],[Price]]="",tbl_main[[#This Row],[Qty]]=""),"",tbl_main[[#This Row],[Price]]*tbl_main[[#This Row],[Qty]])</f>
        <v>500</v>
      </c>
      <c r="N1333" s="3">
        <f>_xlfn.LET(_xlpm.x,_xlfn.XLOOKUP(tbl_main[[#This Row],[Service]],tbl_service[Service],tbl_service[Profit],""),
               IF(tbl_main[[#This Row],[Qty]]="","",_xlpm.x*tbl_main[[#This Row],[Qty]]))</f>
        <v>157</v>
      </c>
    </row>
    <row r="1334" spans="1:14" x14ac:dyDescent="0.25">
      <c r="A1334" t="s">
        <v>1376</v>
      </c>
      <c r="B1334" s="1">
        <v>46102</v>
      </c>
      <c r="C1334">
        <f>IF(tbl_main[[#This Row],[Date]]="","",YEAR(B1334))</f>
        <v>2026</v>
      </c>
      <c r="D1334" t="str">
        <f>IF(tbl_main[[#This Row],[Date]]="","",TEXT(B1334,"mmm"))</f>
        <v>Mar</v>
      </c>
      <c r="E1334" t="str">
        <f>IF(tbl_main[[#This Row],[Date]]="","",TEXT(B1334,"DDD"))</f>
        <v>Sat</v>
      </c>
      <c r="F1334" t="s">
        <v>20</v>
      </c>
      <c r="G1334" t="s">
        <v>29</v>
      </c>
      <c r="H1334" s="3" t="s">
        <v>22</v>
      </c>
      <c r="I1334" s="3" t="s">
        <v>43</v>
      </c>
      <c r="J1334" s="3" t="s">
        <v>32</v>
      </c>
      <c r="K1334" s="3">
        <f>_xlfn.XLOOKUP(tbl_main[[#This Row],[Service]],tbl_service[Service],tbl_service[Price],"")</f>
        <v>150</v>
      </c>
      <c r="L1334" s="3">
        <v>2</v>
      </c>
      <c r="M1334" s="3">
        <f>IF(AND(tbl_main[[#This Row],[Price]]="",tbl_main[[#This Row],[Qty]]=""),"",tbl_main[[#This Row],[Price]]*tbl_main[[#This Row],[Qty]])</f>
        <v>300</v>
      </c>
      <c r="N1334" s="3">
        <f>_xlfn.LET(_xlpm.x,_xlfn.XLOOKUP(tbl_main[[#This Row],[Service]],tbl_service[Service],tbl_service[Profit],""),
               IF(tbl_main[[#This Row],[Qty]]="","",_xlpm.x*tbl_main[[#This Row],[Qty]]))</f>
        <v>134</v>
      </c>
    </row>
    <row r="1335" spans="1:14" x14ac:dyDescent="0.25">
      <c r="A1335" t="s">
        <v>1377</v>
      </c>
      <c r="B1335" s="1">
        <v>46102</v>
      </c>
      <c r="C1335">
        <f>IF(tbl_main[[#This Row],[Date]]="","",YEAR(B1335))</f>
        <v>2026</v>
      </c>
      <c r="D1335" t="str">
        <f>IF(tbl_main[[#This Row],[Date]]="","",TEXT(B1335,"mmm"))</f>
        <v>Mar</v>
      </c>
      <c r="E1335" t="str">
        <f>IF(tbl_main[[#This Row],[Date]]="","",TEXT(B1335,"DDD"))</f>
        <v>Sat</v>
      </c>
      <c r="F1335" t="s">
        <v>30</v>
      </c>
      <c r="G1335" t="s">
        <v>31</v>
      </c>
      <c r="H1335" s="3" t="s">
        <v>22</v>
      </c>
      <c r="I1335" s="3" t="s">
        <v>41</v>
      </c>
      <c r="J1335" s="3" t="s">
        <v>17</v>
      </c>
      <c r="K1335" s="3">
        <f>_xlfn.XLOOKUP(tbl_main[[#This Row],[Service]],tbl_service[Service],tbl_service[Price],"")</f>
        <v>150</v>
      </c>
      <c r="L1335" s="3">
        <v>1</v>
      </c>
      <c r="M1335" s="3">
        <f>IF(AND(tbl_main[[#This Row],[Price]]="",tbl_main[[#This Row],[Qty]]=""),"",tbl_main[[#This Row],[Price]]*tbl_main[[#This Row],[Qty]])</f>
        <v>150</v>
      </c>
      <c r="N1335" s="3">
        <f>_xlfn.LET(_xlpm.x,_xlfn.XLOOKUP(tbl_main[[#This Row],[Service]],tbl_service[Service],tbl_service[Profit],""),
               IF(tbl_main[[#This Row],[Qty]]="","",_xlpm.x*tbl_main[[#This Row],[Qty]]))</f>
        <v>67</v>
      </c>
    </row>
    <row r="1336" spans="1:14" x14ac:dyDescent="0.25">
      <c r="A1336" t="s">
        <v>1378</v>
      </c>
      <c r="B1336" s="1">
        <v>46102</v>
      </c>
      <c r="C1336">
        <f>IF(tbl_main[[#This Row],[Date]]="","",YEAR(B1336))</f>
        <v>2026</v>
      </c>
      <c r="D1336" t="str">
        <f>IF(tbl_main[[#This Row],[Date]]="","",TEXT(B1336,"mmm"))</f>
        <v>Mar</v>
      </c>
      <c r="E1336" t="str">
        <f>IF(tbl_main[[#This Row],[Date]]="","",TEXT(B1336,"DDD"))</f>
        <v>Sat</v>
      </c>
      <c r="F1336" t="s">
        <v>30</v>
      </c>
      <c r="G1336" t="s">
        <v>31</v>
      </c>
      <c r="H1336" s="3" t="s">
        <v>18</v>
      </c>
      <c r="I1336" s="3" t="s">
        <v>41</v>
      </c>
      <c r="J1336" s="3" t="s">
        <v>25</v>
      </c>
      <c r="K1336" s="3">
        <f>_xlfn.XLOOKUP(tbl_main[[#This Row],[Service]],tbl_service[Service],tbl_service[Price],"")</f>
        <v>500</v>
      </c>
      <c r="L1336" s="3">
        <v>2</v>
      </c>
      <c r="M1336" s="3">
        <f>IF(AND(tbl_main[[#This Row],[Price]]="",tbl_main[[#This Row],[Qty]]=""),"",tbl_main[[#This Row],[Price]]*tbl_main[[#This Row],[Qty]])</f>
        <v>1000</v>
      </c>
      <c r="N1336" s="3">
        <f>_xlfn.LET(_xlpm.x,_xlfn.XLOOKUP(tbl_main[[#This Row],[Service]],tbl_service[Service],tbl_service[Profit],""),
               IF(tbl_main[[#This Row],[Qty]]="","",_xlpm.x*tbl_main[[#This Row],[Qty]]))</f>
        <v>314</v>
      </c>
    </row>
    <row r="1337" spans="1:14" x14ac:dyDescent="0.25">
      <c r="A1337" t="s">
        <v>1379</v>
      </c>
      <c r="B1337" s="1">
        <v>46103</v>
      </c>
      <c r="C1337">
        <f>IF(tbl_main[[#This Row],[Date]]="","",YEAR(B1337))</f>
        <v>2026</v>
      </c>
      <c r="D1337" t="str">
        <f>IF(tbl_main[[#This Row],[Date]]="","",TEXT(B1337,"mmm"))</f>
        <v>Mar</v>
      </c>
      <c r="E1337" t="str">
        <f>IF(tbl_main[[#This Row],[Date]]="","",TEXT(B1337,"DDD"))</f>
        <v>Sun</v>
      </c>
      <c r="F1337" t="s">
        <v>30</v>
      </c>
      <c r="G1337" t="s">
        <v>31</v>
      </c>
      <c r="H1337" s="3" t="s">
        <v>24</v>
      </c>
      <c r="I1337" s="3" t="s">
        <v>35</v>
      </c>
      <c r="J1337" s="3" t="s">
        <v>17</v>
      </c>
      <c r="K1337" s="3">
        <f>_xlfn.XLOOKUP(tbl_main[[#This Row],[Service]],tbl_service[Service],tbl_service[Price],"")</f>
        <v>80</v>
      </c>
      <c r="L1337" s="3">
        <v>2</v>
      </c>
      <c r="M1337" s="3">
        <f>IF(AND(tbl_main[[#This Row],[Price]]="",tbl_main[[#This Row],[Qty]]=""),"",tbl_main[[#This Row],[Price]]*tbl_main[[#This Row],[Qty]])</f>
        <v>160</v>
      </c>
      <c r="N1337" s="3">
        <f>_xlfn.LET(_xlpm.x,_xlfn.XLOOKUP(tbl_main[[#This Row],[Service]],tbl_service[Service],tbl_service[Profit],""),
               IF(tbl_main[[#This Row],[Qty]]="","",_xlpm.x*tbl_main[[#This Row],[Qty]]))</f>
        <v>72</v>
      </c>
    </row>
    <row r="1338" spans="1:14" x14ac:dyDescent="0.25">
      <c r="A1338" t="s">
        <v>1380</v>
      </c>
      <c r="B1338" s="1">
        <v>46103</v>
      </c>
      <c r="C1338">
        <f>IF(tbl_main[[#This Row],[Date]]="","",YEAR(B1338))</f>
        <v>2026</v>
      </c>
      <c r="D1338" t="str">
        <f>IF(tbl_main[[#This Row],[Date]]="","",TEXT(B1338,"mmm"))</f>
        <v>Mar</v>
      </c>
      <c r="E1338" t="str">
        <f>IF(tbl_main[[#This Row],[Date]]="","",TEXT(B1338,"DDD"))</f>
        <v>Sun</v>
      </c>
      <c r="F1338" t="s">
        <v>20</v>
      </c>
      <c r="G1338" t="s">
        <v>29</v>
      </c>
      <c r="H1338" s="3" t="s">
        <v>22</v>
      </c>
      <c r="I1338" s="3" t="s">
        <v>35</v>
      </c>
      <c r="J1338" s="3" t="s">
        <v>17</v>
      </c>
      <c r="K1338" s="3">
        <f>_xlfn.XLOOKUP(tbl_main[[#This Row],[Service]],tbl_service[Service],tbl_service[Price],"")</f>
        <v>150</v>
      </c>
      <c r="L1338" s="3">
        <v>1</v>
      </c>
      <c r="M1338" s="3">
        <f>IF(AND(tbl_main[[#This Row],[Price]]="",tbl_main[[#This Row],[Qty]]=""),"",tbl_main[[#This Row],[Price]]*tbl_main[[#This Row],[Qty]])</f>
        <v>150</v>
      </c>
      <c r="N1338" s="3">
        <f>_xlfn.LET(_xlpm.x,_xlfn.XLOOKUP(tbl_main[[#This Row],[Service]],tbl_service[Service],tbl_service[Profit],""),
               IF(tbl_main[[#This Row],[Qty]]="","",_xlpm.x*tbl_main[[#This Row],[Qty]]))</f>
        <v>67</v>
      </c>
    </row>
    <row r="1339" spans="1:14" x14ac:dyDescent="0.25">
      <c r="A1339" t="s">
        <v>1381</v>
      </c>
      <c r="B1339" s="1">
        <v>46103</v>
      </c>
      <c r="C1339">
        <f>IF(tbl_main[[#This Row],[Date]]="","",YEAR(B1339))</f>
        <v>2026</v>
      </c>
      <c r="D1339" t="str">
        <f>IF(tbl_main[[#This Row],[Date]]="","",TEXT(B1339,"mmm"))</f>
        <v>Mar</v>
      </c>
      <c r="E1339" t="str">
        <f>IF(tbl_main[[#This Row],[Date]]="","",TEXT(B1339,"DDD"))</f>
        <v>Sun</v>
      </c>
      <c r="F1339" t="s">
        <v>20</v>
      </c>
      <c r="G1339" t="s">
        <v>29</v>
      </c>
      <c r="H1339" s="3" t="s">
        <v>15</v>
      </c>
      <c r="I1339" s="3" t="s">
        <v>23</v>
      </c>
      <c r="J1339" s="3" t="s">
        <v>25</v>
      </c>
      <c r="K1339" s="3">
        <f>_xlfn.XLOOKUP(tbl_main[[#This Row],[Service]],tbl_service[Service],tbl_service[Price],"")</f>
        <v>500</v>
      </c>
      <c r="L1339" s="3">
        <v>2</v>
      </c>
      <c r="M1339" s="3">
        <f>IF(AND(tbl_main[[#This Row],[Price]]="",tbl_main[[#This Row],[Qty]]=""),"",tbl_main[[#This Row],[Price]]*tbl_main[[#This Row],[Qty]])</f>
        <v>1000</v>
      </c>
      <c r="N1339" s="3">
        <f>_xlfn.LET(_xlpm.x,_xlfn.XLOOKUP(tbl_main[[#This Row],[Service]],tbl_service[Service],tbl_service[Profit],""),
               IF(tbl_main[[#This Row],[Qty]]="","",_xlpm.x*tbl_main[[#This Row],[Qty]]))</f>
        <v>450</v>
      </c>
    </row>
    <row r="1340" spans="1:14" x14ac:dyDescent="0.25">
      <c r="A1340" t="s">
        <v>1382</v>
      </c>
      <c r="B1340" s="1">
        <v>46103</v>
      </c>
      <c r="C1340">
        <f>IF(tbl_main[[#This Row],[Date]]="","",YEAR(B1340))</f>
        <v>2026</v>
      </c>
      <c r="D1340" t="str">
        <f>IF(tbl_main[[#This Row],[Date]]="","",TEXT(B1340,"mmm"))</f>
        <v>Mar</v>
      </c>
      <c r="E1340" t="str">
        <f>IF(tbl_main[[#This Row],[Date]]="","",TEXT(B1340,"DDD"))</f>
        <v>Sun</v>
      </c>
      <c r="F1340" t="s">
        <v>20</v>
      </c>
      <c r="G1340" t="s">
        <v>39</v>
      </c>
      <c r="H1340" s="3" t="s">
        <v>15</v>
      </c>
      <c r="I1340" s="3" t="s">
        <v>37</v>
      </c>
      <c r="J1340" s="3" t="s">
        <v>32</v>
      </c>
      <c r="K1340" s="3">
        <f>_xlfn.XLOOKUP(tbl_main[[#This Row],[Service]],tbl_service[Service],tbl_service[Price],"")</f>
        <v>500</v>
      </c>
      <c r="L1340" s="3">
        <v>2</v>
      </c>
      <c r="M1340" s="3">
        <f>IF(AND(tbl_main[[#This Row],[Price]]="",tbl_main[[#This Row],[Qty]]=""),"",tbl_main[[#This Row],[Price]]*tbl_main[[#This Row],[Qty]])</f>
        <v>1000</v>
      </c>
      <c r="N1340" s="3">
        <f>_xlfn.LET(_xlpm.x,_xlfn.XLOOKUP(tbl_main[[#This Row],[Service]],tbl_service[Service],tbl_service[Profit],""),
               IF(tbl_main[[#This Row],[Qty]]="","",_xlpm.x*tbl_main[[#This Row],[Qty]]))</f>
        <v>450</v>
      </c>
    </row>
    <row r="1341" spans="1:14" x14ac:dyDescent="0.25">
      <c r="A1341" t="s">
        <v>1383</v>
      </c>
      <c r="B1341" s="1">
        <v>46104</v>
      </c>
      <c r="C1341">
        <f>IF(tbl_main[[#This Row],[Date]]="","",YEAR(B1341))</f>
        <v>2026</v>
      </c>
      <c r="D1341" t="str">
        <f>IF(tbl_main[[#This Row],[Date]]="","",TEXT(B1341,"mmm"))</f>
        <v>Mar</v>
      </c>
      <c r="E1341" t="str">
        <f>IF(tbl_main[[#This Row],[Date]]="","",TEXT(B1341,"DDD"))</f>
        <v>Mon</v>
      </c>
      <c r="F1341" t="s">
        <v>27</v>
      </c>
      <c r="G1341" t="s">
        <v>40</v>
      </c>
      <c r="H1341" s="3" t="s">
        <v>24</v>
      </c>
      <c r="I1341" s="3" t="s">
        <v>38</v>
      </c>
      <c r="J1341" s="3" t="s">
        <v>17</v>
      </c>
      <c r="K1341" s="3">
        <f>_xlfn.XLOOKUP(tbl_main[[#This Row],[Service]],tbl_service[Service],tbl_service[Price],"")</f>
        <v>80</v>
      </c>
      <c r="L1341" s="3">
        <v>2</v>
      </c>
      <c r="M1341" s="3">
        <f>IF(AND(tbl_main[[#This Row],[Price]]="",tbl_main[[#This Row],[Qty]]=""),"",tbl_main[[#This Row],[Price]]*tbl_main[[#This Row],[Qty]])</f>
        <v>160</v>
      </c>
      <c r="N1341" s="3">
        <f>_xlfn.LET(_xlpm.x,_xlfn.XLOOKUP(tbl_main[[#This Row],[Service]],tbl_service[Service],tbl_service[Profit],""),
               IF(tbl_main[[#This Row],[Qty]]="","",_xlpm.x*tbl_main[[#This Row],[Qty]]))</f>
        <v>72</v>
      </c>
    </row>
    <row r="1342" spans="1:14" x14ac:dyDescent="0.25">
      <c r="A1342" t="s">
        <v>1384</v>
      </c>
      <c r="B1342" s="1">
        <v>46104</v>
      </c>
      <c r="C1342">
        <f>IF(tbl_main[[#This Row],[Date]]="","",YEAR(B1342))</f>
        <v>2026</v>
      </c>
      <c r="D1342" t="str">
        <f>IF(tbl_main[[#This Row],[Date]]="","",TEXT(B1342,"mmm"))</f>
        <v>Mar</v>
      </c>
      <c r="E1342" t="str">
        <f>IF(tbl_main[[#This Row],[Date]]="","",TEXT(B1342,"DDD"))</f>
        <v>Mon</v>
      </c>
      <c r="F1342" t="s">
        <v>20</v>
      </c>
      <c r="G1342" t="s">
        <v>39</v>
      </c>
      <c r="H1342" s="3" t="s">
        <v>34</v>
      </c>
      <c r="I1342" s="3" t="s">
        <v>16</v>
      </c>
      <c r="J1342" s="3" t="s">
        <v>25</v>
      </c>
      <c r="K1342" s="3">
        <f>_xlfn.XLOOKUP(tbl_main[[#This Row],[Service]],tbl_service[Service],tbl_service[Price],"")</f>
        <v>100</v>
      </c>
      <c r="L1342" s="3">
        <v>1</v>
      </c>
      <c r="M1342" s="3">
        <f>IF(AND(tbl_main[[#This Row],[Price]]="",tbl_main[[#This Row],[Qty]]=""),"",tbl_main[[#This Row],[Price]]*tbl_main[[#This Row],[Qty]])</f>
        <v>100</v>
      </c>
      <c r="N1342" s="3">
        <f>_xlfn.LET(_xlpm.x,_xlfn.XLOOKUP(tbl_main[[#This Row],[Service]],tbl_service[Service],tbl_service[Profit],""),
               IF(tbl_main[[#This Row],[Qty]]="","",_xlpm.x*tbl_main[[#This Row],[Qty]]))</f>
        <v>45</v>
      </c>
    </row>
    <row r="1343" spans="1:14" x14ac:dyDescent="0.25">
      <c r="A1343" t="s">
        <v>1385</v>
      </c>
      <c r="B1343" s="1">
        <v>46104</v>
      </c>
      <c r="C1343">
        <f>IF(tbl_main[[#This Row],[Date]]="","",YEAR(B1343))</f>
        <v>2026</v>
      </c>
      <c r="D1343" t="str">
        <f>IF(tbl_main[[#This Row],[Date]]="","",TEXT(B1343,"mmm"))</f>
        <v>Mar</v>
      </c>
      <c r="E1343" t="str">
        <f>IF(tbl_main[[#This Row],[Date]]="","",TEXT(B1343,"DDD"))</f>
        <v>Mon</v>
      </c>
      <c r="F1343" t="s">
        <v>20</v>
      </c>
      <c r="G1343" t="s">
        <v>29</v>
      </c>
      <c r="H1343" s="3" t="s">
        <v>22</v>
      </c>
      <c r="I1343" s="3" t="s">
        <v>19</v>
      </c>
      <c r="J1343" s="3" t="s">
        <v>17</v>
      </c>
      <c r="K1343" s="3">
        <f>_xlfn.XLOOKUP(tbl_main[[#This Row],[Service]],tbl_service[Service],tbl_service[Price],"")</f>
        <v>150</v>
      </c>
      <c r="L1343" s="3">
        <v>2</v>
      </c>
      <c r="M1343" s="3">
        <f>IF(AND(tbl_main[[#This Row],[Price]]="",tbl_main[[#This Row],[Qty]]=""),"",tbl_main[[#This Row],[Price]]*tbl_main[[#This Row],[Qty]])</f>
        <v>300</v>
      </c>
      <c r="N1343" s="3">
        <f>_xlfn.LET(_xlpm.x,_xlfn.XLOOKUP(tbl_main[[#This Row],[Service]],tbl_service[Service],tbl_service[Profit],""),
               IF(tbl_main[[#This Row],[Qty]]="","",_xlpm.x*tbl_main[[#This Row],[Qty]]))</f>
        <v>134</v>
      </c>
    </row>
    <row r="1344" spans="1:14" x14ac:dyDescent="0.25">
      <c r="A1344" t="s">
        <v>1386</v>
      </c>
      <c r="B1344" s="1">
        <v>46104</v>
      </c>
      <c r="C1344">
        <f>IF(tbl_main[[#This Row],[Date]]="","",YEAR(B1344))</f>
        <v>2026</v>
      </c>
      <c r="D1344" t="str">
        <f>IF(tbl_main[[#This Row],[Date]]="","",TEXT(B1344,"mmm"))</f>
        <v>Mar</v>
      </c>
      <c r="E1344" t="str">
        <f>IF(tbl_main[[#This Row],[Date]]="","",TEXT(B1344,"DDD"))</f>
        <v>Mon</v>
      </c>
      <c r="F1344" t="s">
        <v>20</v>
      </c>
      <c r="G1344" t="s">
        <v>21</v>
      </c>
      <c r="H1344" s="3" t="s">
        <v>34</v>
      </c>
      <c r="I1344" s="3" t="s">
        <v>43</v>
      </c>
      <c r="J1344" s="3" t="s">
        <v>25</v>
      </c>
      <c r="K1344" s="3">
        <f>_xlfn.XLOOKUP(tbl_main[[#This Row],[Service]],tbl_service[Service],tbl_service[Price],"")</f>
        <v>100</v>
      </c>
      <c r="L1344" s="3">
        <v>1</v>
      </c>
      <c r="M1344" s="3">
        <f>IF(AND(tbl_main[[#This Row],[Price]]="",tbl_main[[#This Row],[Qty]]=""),"",tbl_main[[#This Row],[Price]]*tbl_main[[#This Row],[Qty]])</f>
        <v>100</v>
      </c>
      <c r="N1344" s="3">
        <f>_xlfn.LET(_xlpm.x,_xlfn.XLOOKUP(tbl_main[[#This Row],[Service]],tbl_service[Service],tbl_service[Profit],""),
               IF(tbl_main[[#This Row],[Qty]]="","",_xlpm.x*tbl_main[[#This Row],[Qty]]))</f>
        <v>45</v>
      </c>
    </row>
    <row r="1345" spans="1:14" x14ac:dyDescent="0.25">
      <c r="A1345" t="s">
        <v>1387</v>
      </c>
      <c r="B1345" s="1">
        <v>46105</v>
      </c>
      <c r="C1345">
        <f>IF(tbl_main[[#This Row],[Date]]="","",YEAR(B1345))</f>
        <v>2026</v>
      </c>
      <c r="D1345" t="str">
        <f>IF(tbl_main[[#This Row],[Date]]="","",TEXT(B1345,"mmm"))</f>
        <v>Mar</v>
      </c>
      <c r="E1345" t="str">
        <f>IF(tbl_main[[#This Row],[Date]]="","",TEXT(B1345,"DDD"))</f>
        <v>Tue</v>
      </c>
      <c r="F1345" t="s">
        <v>13</v>
      </c>
      <c r="G1345" t="s">
        <v>14</v>
      </c>
      <c r="H1345" s="3" t="s">
        <v>26</v>
      </c>
      <c r="I1345" s="3" t="s">
        <v>41</v>
      </c>
      <c r="J1345" s="3" t="s">
        <v>17</v>
      </c>
      <c r="K1345" s="3">
        <f>_xlfn.XLOOKUP(tbl_main[[#This Row],[Service]],tbl_service[Service],tbl_service[Price],"")</f>
        <v>200</v>
      </c>
      <c r="L1345" s="3">
        <v>2</v>
      </c>
      <c r="M1345" s="3">
        <f>IF(AND(tbl_main[[#This Row],[Price]]="",tbl_main[[#This Row],[Qty]]=""),"",tbl_main[[#This Row],[Price]]*tbl_main[[#This Row],[Qty]])</f>
        <v>400</v>
      </c>
      <c r="N1345" s="3">
        <f>_xlfn.LET(_xlpm.x,_xlfn.XLOOKUP(tbl_main[[#This Row],[Service]],tbl_service[Service],tbl_service[Profit],""),
               IF(tbl_main[[#This Row],[Qty]]="","",_xlpm.x*tbl_main[[#This Row],[Qty]]))</f>
        <v>180</v>
      </c>
    </row>
    <row r="1346" spans="1:14" x14ac:dyDescent="0.25">
      <c r="A1346" t="s">
        <v>1388</v>
      </c>
      <c r="B1346" s="1">
        <v>46105</v>
      </c>
      <c r="C1346">
        <f>IF(tbl_main[[#This Row],[Date]]="","",YEAR(B1346))</f>
        <v>2026</v>
      </c>
      <c r="D1346" t="str">
        <f>IF(tbl_main[[#This Row],[Date]]="","",TEXT(B1346,"mmm"))</f>
        <v>Mar</v>
      </c>
      <c r="E1346" t="str">
        <f>IF(tbl_main[[#This Row],[Date]]="","",TEXT(B1346,"DDD"))</f>
        <v>Tue</v>
      </c>
      <c r="F1346" t="s">
        <v>13</v>
      </c>
      <c r="G1346" t="s">
        <v>14</v>
      </c>
      <c r="H1346" s="3" t="s">
        <v>24</v>
      </c>
      <c r="I1346" s="3" t="s">
        <v>41</v>
      </c>
      <c r="J1346" s="3" t="s">
        <v>25</v>
      </c>
      <c r="K1346" s="3">
        <f>_xlfn.XLOOKUP(tbl_main[[#This Row],[Service]],tbl_service[Service],tbl_service[Price],"")</f>
        <v>80</v>
      </c>
      <c r="L1346" s="3">
        <v>1</v>
      </c>
      <c r="M1346" s="3">
        <f>IF(AND(tbl_main[[#This Row],[Price]]="",tbl_main[[#This Row],[Qty]]=""),"",tbl_main[[#This Row],[Price]]*tbl_main[[#This Row],[Qty]])</f>
        <v>80</v>
      </c>
      <c r="N1346" s="3">
        <f>_xlfn.LET(_xlpm.x,_xlfn.XLOOKUP(tbl_main[[#This Row],[Service]],tbl_service[Service],tbl_service[Profit],""),
               IF(tbl_main[[#This Row],[Qty]]="","",_xlpm.x*tbl_main[[#This Row],[Qty]]))</f>
        <v>36</v>
      </c>
    </row>
    <row r="1347" spans="1:14" x14ac:dyDescent="0.25">
      <c r="A1347" t="s">
        <v>1389</v>
      </c>
      <c r="B1347" s="1">
        <v>46105</v>
      </c>
      <c r="C1347">
        <f>IF(tbl_main[[#This Row],[Date]]="","",YEAR(B1347))</f>
        <v>2026</v>
      </c>
      <c r="D1347" t="str">
        <f>IF(tbl_main[[#This Row],[Date]]="","",TEXT(B1347,"mmm"))</f>
        <v>Mar</v>
      </c>
      <c r="E1347" t="str">
        <f>IF(tbl_main[[#This Row],[Date]]="","",TEXT(B1347,"DDD"))</f>
        <v>Tue</v>
      </c>
      <c r="F1347" t="s">
        <v>30</v>
      </c>
      <c r="G1347" t="s">
        <v>36</v>
      </c>
      <c r="H1347" s="3" t="s">
        <v>22</v>
      </c>
      <c r="I1347" s="3" t="s">
        <v>35</v>
      </c>
      <c r="J1347" s="3" t="s">
        <v>25</v>
      </c>
      <c r="K1347" s="3">
        <f>_xlfn.XLOOKUP(tbl_main[[#This Row],[Service]],tbl_service[Service],tbl_service[Price],"")</f>
        <v>150</v>
      </c>
      <c r="L1347" s="3">
        <v>2</v>
      </c>
      <c r="M1347" s="3">
        <f>IF(AND(tbl_main[[#This Row],[Price]]="",tbl_main[[#This Row],[Qty]]=""),"",tbl_main[[#This Row],[Price]]*tbl_main[[#This Row],[Qty]])</f>
        <v>300</v>
      </c>
      <c r="N1347" s="3">
        <f>_xlfn.LET(_xlpm.x,_xlfn.XLOOKUP(tbl_main[[#This Row],[Service]],tbl_service[Service],tbl_service[Profit],""),
               IF(tbl_main[[#This Row],[Qty]]="","",_xlpm.x*tbl_main[[#This Row],[Qty]]))</f>
        <v>134</v>
      </c>
    </row>
    <row r="1348" spans="1:14" x14ac:dyDescent="0.25">
      <c r="A1348" t="s">
        <v>1390</v>
      </c>
      <c r="B1348" s="1">
        <v>46105</v>
      </c>
      <c r="C1348">
        <f>IF(tbl_main[[#This Row],[Date]]="","",YEAR(B1348))</f>
        <v>2026</v>
      </c>
      <c r="D1348" t="str">
        <f>IF(tbl_main[[#This Row],[Date]]="","",TEXT(B1348,"mmm"))</f>
        <v>Mar</v>
      </c>
      <c r="E1348" t="str">
        <f>IF(tbl_main[[#This Row],[Date]]="","",TEXT(B1348,"DDD"))</f>
        <v>Tue</v>
      </c>
      <c r="F1348" t="s">
        <v>20</v>
      </c>
      <c r="G1348" t="s">
        <v>21</v>
      </c>
      <c r="H1348" s="3" t="s">
        <v>15</v>
      </c>
      <c r="I1348" s="3" t="s">
        <v>35</v>
      </c>
      <c r="J1348" s="3" t="s">
        <v>32</v>
      </c>
      <c r="K1348" s="3">
        <f>_xlfn.XLOOKUP(tbl_main[[#This Row],[Service]],tbl_service[Service],tbl_service[Price],"")</f>
        <v>500</v>
      </c>
      <c r="L1348" s="3">
        <v>1</v>
      </c>
      <c r="M1348" s="3">
        <f>IF(AND(tbl_main[[#This Row],[Price]]="",tbl_main[[#This Row],[Qty]]=""),"",tbl_main[[#This Row],[Price]]*tbl_main[[#This Row],[Qty]])</f>
        <v>500</v>
      </c>
      <c r="N1348" s="3">
        <f>_xlfn.LET(_xlpm.x,_xlfn.XLOOKUP(tbl_main[[#This Row],[Service]],tbl_service[Service],tbl_service[Profit],""),
               IF(tbl_main[[#This Row],[Qty]]="","",_xlpm.x*tbl_main[[#This Row],[Qty]]))</f>
        <v>225</v>
      </c>
    </row>
    <row r="1349" spans="1:14" x14ac:dyDescent="0.25">
      <c r="A1349" t="s">
        <v>1391</v>
      </c>
      <c r="B1349" s="1">
        <v>46106</v>
      </c>
      <c r="C1349">
        <f>IF(tbl_main[[#This Row],[Date]]="","",YEAR(B1349))</f>
        <v>2026</v>
      </c>
      <c r="D1349" t="str">
        <f>IF(tbl_main[[#This Row],[Date]]="","",TEXT(B1349,"mmm"))</f>
        <v>Mar</v>
      </c>
      <c r="E1349" t="str">
        <f>IF(tbl_main[[#This Row],[Date]]="","",TEXT(B1349,"DDD"))</f>
        <v>Wed</v>
      </c>
      <c r="F1349" t="s">
        <v>27</v>
      </c>
      <c r="G1349" t="s">
        <v>28</v>
      </c>
      <c r="H1349" s="3" t="s">
        <v>22</v>
      </c>
      <c r="I1349" s="3" t="s">
        <v>23</v>
      </c>
      <c r="J1349" s="3" t="s">
        <v>25</v>
      </c>
      <c r="K1349" s="3">
        <f>_xlfn.XLOOKUP(tbl_main[[#This Row],[Service]],tbl_service[Service],tbl_service[Price],"")</f>
        <v>150</v>
      </c>
      <c r="L1349" s="3">
        <v>1</v>
      </c>
      <c r="M1349" s="3">
        <f>IF(AND(tbl_main[[#This Row],[Price]]="",tbl_main[[#This Row],[Qty]]=""),"",tbl_main[[#This Row],[Price]]*tbl_main[[#This Row],[Qty]])</f>
        <v>150</v>
      </c>
      <c r="N1349" s="3">
        <f>_xlfn.LET(_xlpm.x,_xlfn.XLOOKUP(tbl_main[[#This Row],[Service]],tbl_service[Service],tbl_service[Profit],""),
               IF(tbl_main[[#This Row],[Qty]]="","",_xlpm.x*tbl_main[[#This Row],[Qty]]))</f>
        <v>67</v>
      </c>
    </row>
    <row r="1350" spans="1:14" x14ac:dyDescent="0.25">
      <c r="A1350" t="s">
        <v>1392</v>
      </c>
      <c r="B1350" s="1">
        <v>46106</v>
      </c>
      <c r="C1350">
        <f>IF(tbl_main[[#This Row],[Date]]="","",YEAR(B1350))</f>
        <v>2026</v>
      </c>
      <c r="D1350" t="str">
        <f>IF(tbl_main[[#This Row],[Date]]="","",TEXT(B1350,"mmm"))</f>
        <v>Mar</v>
      </c>
      <c r="E1350" t="str">
        <f>IF(tbl_main[[#This Row],[Date]]="","",TEXT(B1350,"DDD"))</f>
        <v>Wed</v>
      </c>
      <c r="F1350" t="s">
        <v>20</v>
      </c>
      <c r="G1350" t="s">
        <v>29</v>
      </c>
      <c r="H1350" s="3" t="s">
        <v>24</v>
      </c>
      <c r="I1350" s="3" t="s">
        <v>37</v>
      </c>
      <c r="J1350" s="3" t="s">
        <v>17</v>
      </c>
      <c r="K1350" s="3">
        <f>_xlfn.XLOOKUP(tbl_main[[#This Row],[Service]],tbl_service[Service],tbl_service[Price],"")</f>
        <v>80</v>
      </c>
      <c r="L1350" s="3">
        <v>1</v>
      </c>
      <c r="M1350" s="3">
        <f>IF(AND(tbl_main[[#This Row],[Price]]="",tbl_main[[#This Row],[Qty]]=""),"",tbl_main[[#This Row],[Price]]*tbl_main[[#This Row],[Qty]])</f>
        <v>80</v>
      </c>
      <c r="N1350" s="3">
        <f>_xlfn.LET(_xlpm.x,_xlfn.XLOOKUP(tbl_main[[#This Row],[Service]],tbl_service[Service],tbl_service[Profit],""),
               IF(tbl_main[[#This Row],[Qty]]="","",_xlpm.x*tbl_main[[#This Row],[Qty]]))</f>
        <v>36</v>
      </c>
    </row>
    <row r="1351" spans="1:14" x14ac:dyDescent="0.25">
      <c r="A1351" t="s">
        <v>1393</v>
      </c>
      <c r="B1351" s="1">
        <v>46106</v>
      </c>
      <c r="C1351">
        <f>IF(tbl_main[[#This Row],[Date]]="","",YEAR(B1351))</f>
        <v>2026</v>
      </c>
      <c r="D1351" t="str">
        <f>IF(tbl_main[[#This Row],[Date]]="","",TEXT(B1351,"mmm"))</f>
        <v>Mar</v>
      </c>
      <c r="E1351" t="str">
        <f>IF(tbl_main[[#This Row],[Date]]="","",TEXT(B1351,"DDD"))</f>
        <v>Wed</v>
      </c>
      <c r="F1351" t="s">
        <v>30</v>
      </c>
      <c r="G1351" t="s">
        <v>36</v>
      </c>
      <c r="H1351" s="3" t="s">
        <v>15</v>
      </c>
      <c r="I1351" s="3" t="s">
        <v>38</v>
      </c>
      <c r="J1351" s="3" t="s">
        <v>17</v>
      </c>
      <c r="K1351" s="3">
        <f>_xlfn.XLOOKUP(tbl_main[[#This Row],[Service]],tbl_service[Service],tbl_service[Price],"")</f>
        <v>500</v>
      </c>
      <c r="L1351" s="3">
        <v>2</v>
      </c>
      <c r="M1351" s="3">
        <f>IF(AND(tbl_main[[#This Row],[Price]]="",tbl_main[[#This Row],[Qty]]=""),"",tbl_main[[#This Row],[Price]]*tbl_main[[#This Row],[Qty]])</f>
        <v>1000</v>
      </c>
      <c r="N1351" s="3">
        <f>_xlfn.LET(_xlpm.x,_xlfn.XLOOKUP(tbl_main[[#This Row],[Service]],tbl_service[Service],tbl_service[Profit],""),
               IF(tbl_main[[#This Row],[Qty]]="","",_xlpm.x*tbl_main[[#This Row],[Qty]]))</f>
        <v>450</v>
      </c>
    </row>
    <row r="1352" spans="1:14" x14ac:dyDescent="0.25">
      <c r="A1352" t="s">
        <v>1394</v>
      </c>
      <c r="B1352" s="1">
        <v>46107</v>
      </c>
      <c r="C1352">
        <f>IF(tbl_main[[#This Row],[Date]]="","",YEAR(B1352))</f>
        <v>2026</v>
      </c>
      <c r="D1352" t="str">
        <f>IF(tbl_main[[#This Row],[Date]]="","",TEXT(B1352,"mmm"))</f>
        <v>Mar</v>
      </c>
      <c r="E1352" t="str">
        <f>IF(tbl_main[[#This Row],[Date]]="","",TEXT(B1352,"DDD"))</f>
        <v>Thu</v>
      </c>
      <c r="F1352" t="s">
        <v>30</v>
      </c>
      <c r="G1352" t="s">
        <v>36</v>
      </c>
      <c r="H1352" s="3" t="s">
        <v>15</v>
      </c>
      <c r="I1352" s="3" t="s">
        <v>16</v>
      </c>
      <c r="J1352" s="3" t="s">
        <v>25</v>
      </c>
      <c r="K1352" s="3">
        <f>_xlfn.XLOOKUP(tbl_main[[#This Row],[Service]],tbl_service[Service],tbl_service[Price],"")</f>
        <v>500</v>
      </c>
      <c r="L1352" s="3">
        <v>2</v>
      </c>
      <c r="M1352" s="3">
        <f>IF(AND(tbl_main[[#This Row],[Price]]="",tbl_main[[#This Row],[Qty]]=""),"",tbl_main[[#This Row],[Price]]*tbl_main[[#This Row],[Qty]])</f>
        <v>1000</v>
      </c>
      <c r="N1352" s="3">
        <f>_xlfn.LET(_xlpm.x,_xlfn.XLOOKUP(tbl_main[[#This Row],[Service]],tbl_service[Service],tbl_service[Profit],""),
               IF(tbl_main[[#This Row],[Qty]]="","",_xlpm.x*tbl_main[[#This Row],[Qty]]))</f>
        <v>450</v>
      </c>
    </row>
    <row r="1353" spans="1:14" x14ac:dyDescent="0.25">
      <c r="A1353" t="s">
        <v>1395</v>
      </c>
      <c r="B1353" s="1">
        <v>46107</v>
      </c>
      <c r="C1353">
        <f>IF(tbl_main[[#This Row],[Date]]="","",YEAR(B1353))</f>
        <v>2026</v>
      </c>
      <c r="D1353" t="str">
        <f>IF(tbl_main[[#This Row],[Date]]="","",TEXT(B1353,"mmm"))</f>
        <v>Mar</v>
      </c>
      <c r="E1353" t="str">
        <f>IF(tbl_main[[#This Row],[Date]]="","",TEXT(B1353,"DDD"))</f>
        <v>Thu</v>
      </c>
      <c r="F1353" t="s">
        <v>20</v>
      </c>
      <c r="G1353" t="s">
        <v>29</v>
      </c>
      <c r="H1353" s="3" t="s">
        <v>26</v>
      </c>
      <c r="I1353" s="3" t="s">
        <v>19</v>
      </c>
      <c r="J1353" s="3" t="s">
        <v>32</v>
      </c>
      <c r="K1353" s="3">
        <f>_xlfn.XLOOKUP(tbl_main[[#This Row],[Service]],tbl_service[Service],tbl_service[Price],"")</f>
        <v>200</v>
      </c>
      <c r="L1353" s="3">
        <v>1</v>
      </c>
      <c r="M1353" s="3">
        <f>IF(AND(tbl_main[[#This Row],[Price]]="",tbl_main[[#This Row],[Qty]]=""),"",tbl_main[[#This Row],[Price]]*tbl_main[[#This Row],[Qty]])</f>
        <v>200</v>
      </c>
      <c r="N1353" s="3">
        <f>_xlfn.LET(_xlpm.x,_xlfn.XLOOKUP(tbl_main[[#This Row],[Service]],tbl_service[Service],tbl_service[Profit],""),
               IF(tbl_main[[#This Row],[Qty]]="","",_xlpm.x*tbl_main[[#This Row],[Qty]]))</f>
        <v>90</v>
      </c>
    </row>
    <row r="1354" spans="1:14" x14ac:dyDescent="0.25">
      <c r="A1354" t="s">
        <v>1396</v>
      </c>
      <c r="B1354" s="1">
        <v>46107</v>
      </c>
      <c r="C1354">
        <f>IF(tbl_main[[#This Row],[Date]]="","",YEAR(B1354))</f>
        <v>2026</v>
      </c>
      <c r="D1354" t="str">
        <f>IF(tbl_main[[#This Row],[Date]]="","",TEXT(B1354,"mmm"))</f>
        <v>Mar</v>
      </c>
      <c r="E1354" t="str">
        <f>IF(tbl_main[[#This Row],[Date]]="","",TEXT(B1354,"DDD"))</f>
        <v>Thu</v>
      </c>
      <c r="F1354" t="s">
        <v>27</v>
      </c>
      <c r="G1354" t="s">
        <v>28</v>
      </c>
      <c r="H1354" s="3" t="s">
        <v>22</v>
      </c>
      <c r="I1354" s="3" t="s">
        <v>43</v>
      </c>
      <c r="J1354" s="3" t="s">
        <v>25</v>
      </c>
      <c r="K1354" s="3">
        <f>_xlfn.XLOOKUP(tbl_main[[#This Row],[Service]],tbl_service[Service],tbl_service[Price],"")</f>
        <v>150</v>
      </c>
      <c r="L1354" s="3">
        <v>1</v>
      </c>
      <c r="M1354" s="3">
        <f>IF(AND(tbl_main[[#This Row],[Price]]="",tbl_main[[#This Row],[Qty]]=""),"",tbl_main[[#This Row],[Price]]*tbl_main[[#This Row],[Qty]])</f>
        <v>150</v>
      </c>
      <c r="N1354" s="3">
        <f>_xlfn.LET(_xlpm.x,_xlfn.XLOOKUP(tbl_main[[#This Row],[Service]],tbl_service[Service],tbl_service[Profit],""),
               IF(tbl_main[[#This Row],[Qty]]="","",_xlpm.x*tbl_main[[#This Row],[Qty]]))</f>
        <v>67</v>
      </c>
    </row>
    <row r="1355" spans="1:14" x14ac:dyDescent="0.25">
      <c r="A1355" t="s">
        <v>1397</v>
      </c>
      <c r="B1355" s="1">
        <v>46107</v>
      </c>
      <c r="C1355">
        <f>IF(tbl_main[[#This Row],[Date]]="","",YEAR(B1355))</f>
        <v>2026</v>
      </c>
      <c r="D1355" t="str">
        <f>IF(tbl_main[[#This Row],[Date]]="","",TEXT(B1355,"mmm"))</f>
        <v>Mar</v>
      </c>
      <c r="E1355" t="str">
        <f>IF(tbl_main[[#This Row],[Date]]="","",TEXT(B1355,"DDD"))</f>
        <v>Thu</v>
      </c>
      <c r="F1355" t="s">
        <v>20</v>
      </c>
      <c r="G1355" t="s">
        <v>21</v>
      </c>
      <c r="H1355" s="3" t="s">
        <v>18</v>
      </c>
      <c r="I1355" s="3" t="s">
        <v>41</v>
      </c>
      <c r="J1355" s="3" t="s">
        <v>25</v>
      </c>
      <c r="K1355" s="3">
        <f>_xlfn.XLOOKUP(tbl_main[[#This Row],[Service]],tbl_service[Service],tbl_service[Price],"")</f>
        <v>500</v>
      </c>
      <c r="L1355" s="3">
        <v>1</v>
      </c>
      <c r="M1355" s="3">
        <f>IF(AND(tbl_main[[#This Row],[Price]]="",tbl_main[[#This Row],[Qty]]=""),"",tbl_main[[#This Row],[Price]]*tbl_main[[#This Row],[Qty]])</f>
        <v>500</v>
      </c>
      <c r="N1355" s="3">
        <f>_xlfn.LET(_xlpm.x,_xlfn.XLOOKUP(tbl_main[[#This Row],[Service]],tbl_service[Service],tbl_service[Profit],""),
               IF(tbl_main[[#This Row],[Qty]]="","",_xlpm.x*tbl_main[[#This Row],[Qty]]))</f>
        <v>157</v>
      </c>
    </row>
    <row r="1356" spans="1:14" x14ac:dyDescent="0.25">
      <c r="A1356" t="s">
        <v>1398</v>
      </c>
      <c r="B1356" s="1">
        <v>46108</v>
      </c>
      <c r="C1356">
        <f>IF(tbl_main[[#This Row],[Date]]="","",YEAR(B1356))</f>
        <v>2026</v>
      </c>
      <c r="D1356" t="str">
        <f>IF(tbl_main[[#This Row],[Date]]="","",TEXT(B1356,"mmm"))</f>
        <v>Mar</v>
      </c>
      <c r="E1356" t="str">
        <f>IF(tbl_main[[#This Row],[Date]]="","",TEXT(B1356,"DDD"))</f>
        <v>Fri</v>
      </c>
      <c r="F1356" t="s">
        <v>30</v>
      </c>
      <c r="G1356" t="s">
        <v>36</v>
      </c>
      <c r="H1356" s="3" t="s">
        <v>18</v>
      </c>
      <c r="I1356" s="3" t="s">
        <v>41</v>
      </c>
      <c r="J1356" s="3" t="s">
        <v>25</v>
      </c>
      <c r="K1356" s="3">
        <f>_xlfn.XLOOKUP(tbl_main[[#This Row],[Service]],tbl_service[Service],tbl_service[Price],"")</f>
        <v>500</v>
      </c>
      <c r="L1356" s="3">
        <v>2</v>
      </c>
      <c r="M1356" s="3">
        <f>IF(AND(tbl_main[[#This Row],[Price]]="",tbl_main[[#This Row],[Qty]]=""),"",tbl_main[[#This Row],[Price]]*tbl_main[[#This Row],[Qty]])</f>
        <v>1000</v>
      </c>
      <c r="N1356" s="3">
        <f>_xlfn.LET(_xlpm.x,_xlfn.XLOOKUP(tbl_main[[#This Row],[Service]],tbl_service[Service],tbl_service[Profit],""),
               IF(tbl_main[[#This Row],[Qty]]="","",_xlpm.x*tbl_main[[#This Row],[Qty]]))</f>
        <v>314</v>
      </c>
    </row>
    <row r="1357" spans="1:14" x14ac:dyDescent="0.25">
      <c r="A1357" t="s">
        <v>1399</v>
      </c>
      <c r="B1357" s="1">
        <v>46108</v>
      </c>
      <c r="C1357">
        <f>IF(tbl_main[[#This Row],[Date]]="","",YEAR(B1357))</f>
        <v>2026</v>
      </c>
      <c r="D1357" t="str">
        <f>IF(tbl_main[[#This Row],[Date]]="","",TEXT(B1357,"mmm"))</f>
        <v>Mar</v>
      </c>
      <c r="E1357" t="str">
        <f>IF(tbl_main[[#This Row],[Date]]="","",TEXT(B1357,"DDD"))</f>
        <v>Fri</v>
      </c>
      <c r="F1357" t="s">
        <v>13</v>
      </c>
      <c r="G1357" t="s">
        <v>33</v>
      </c>
      <c r="H1357" s="3" t="s">
        <v>34</v>
      </c>
      <c r="I1357" s="3" t="s">
        <v>35</v>
      </c>
      <c r="J1357" s="3" t="s">
        <v>32</v>
      </c>
      <c r="K1357" s="3">
        <f>_xlfn.XLOOKUP(tbl_main[[#This Row],[Service]],tbl_service[Service],tbl_service[Price],"")</f>
        <v>100</v>
      </c>
      <c r="L1357" s="3">
        <v>2</v>
      </c>
      <c r="M1357" s="3">
        <f>IF(AND(tbl_main[[#This Row],[Price]]="",tbl_main[[#This Row],[Qty]]=""),"",tbl_main[[#This Row],[Price]]*tbl_main[[#This Row],[Qty]])</f>
        <v>200</v>
      </c>
      <c r="N1357" s="3">
        <f>_xlfn.LET(_xlpm.x,_xlfn.XLOOKUP(tbl_main[[#This Row],[Service]],tbl_service[Service],tbl_service[Profit],""),
               IF(tbl_main[[#This Row],[Qty]]="","",_xlpm.x*tbl_main[[#This Row],[Qty]]))</f>
        <v>90</v>
      </c>
    </row>
    <row r="1358" spans="1:14" x14ac:dyDescent="0.25">
      <c r="A1358" t="s">
        <v>1400</v>
      </c>
      <c r="B1358" s="1">
        <v>46109</v>
      </c>
      <c r="C1358">
        <f>IF(tbl_main[[#This Row],[Date]]="","",YEAR(B1358))</f>
        <v>2026</v>
      </c>
      <c r="D1358" t="str">
        <f>IF(tbl_main[[#This Row],[Date]]="","",TEXT(B1358,"mmm"))</f>
        <v>Mar</v>
      </c>
      <c r="E1358" t="str">
        <f>IF(tbl_main[[#This Row],[Date]]="","",TEXT(B1358,"DDD"))</f>
        <v>Sat</v>
      </c>
      <c r="F1358" t="s">
        <v>13</v>
      </c>
      <c r="G1358" t="s">
        <v>14</v>
      </c>
      <c r="H1358" s="3" t="s">
        <v>22</v>
      </c>
      <c r="I1358" s="3" t="s">
        <v>35</v>
      </c>
      <c r="J1358" s="3" t="s">
        <v>32</v>
      </c>
      <c r="K1358" s="3">
        <f>_xlfn.XLOOKUP(tbl_main[[#This Row],[Service]],tbl_service[Service],tbl_service[Price],"")</f>
        <v>150</v>
      </c>
      <c r="L1358" s="3">
        <v>2</v>
      </c>
      <c r="M1358" s="3">
        <f>IF(AND(tbl_main[[#This Row],[Price]]="",tbl_main[[#This Row],[Qty]]=""),"",tbl_main[[#This Row],[Price]]*tbl_main[[#This Row],[Qty]])</f>
        <v>300</v>
      </c>
      <c r="N1358" s="3">
        <f>_xlfn.LET(_xlpm.x,_xlfn.XLOOKUP(tbl_main[[#This Row],[Service]],tbl_service[Service],tbl_service[Profit],""),
               IF(tbl_main[[#This Row],[Qty]]="","",_xlpm.x*tbl_main[[#This Row],[Qty]]))</f>
        <v>134</v>
      </c>
    </row>
    <row r="1359" spans="1:14" x14ac:dyDescent="0.25">
      <c r="A1359" t="s">
        <v>1401</v>
      </c>
      <c r="B1359" s="1">
        <v>46109</v>
      </c>
      <c r="C1359">
        <f>IF(tbl_main[[#This Row],[Date]]="","",YEAR(B1359))</f>
        <v>2026</v>
      </c>
      <c r="D1359" t="str">
        <f>IF(tbl_main[[#This Row],[Date]]="","",TEXT(B1359,"mmm"))</f>
        <v>Mar</v>
      </c>
      <c r="E1359" t="str">
        <f>IF(tbl_main[[#This Row],[Date]]="","",TEXT(B1359,"DDD"))</f>
        <v>Sat</v>
      </c>
      <c r="F1359" t="s">
        <v>27</v>
      </c>
      <c r="G1359" t="s">
        <v>28</v>
      </c>
      <c r="H1359" s="3" t="s">
        <v>34</v>
      </c>
      <c r="I1359" s="3" t="s">
        <v>23</v>
      </c>
      <c r="J1359" s="3" t="s">
        <v>32</v>
      </c>
      <c r="K1359" s="3">
        <f>_xlfn.XLOOKUP(tbl_main[[#This Row],[Service]],tbl_service[Service],tbl_service[Price],"")</f>
        <v>100</v>
      </c>
      <c r="L1359" s="3">
        <v>1</v>
      </c>
      <c r="M1359" s="3">
        <f>IF(AND(tbl_main[[#This Row],[Price]]="",tbl_main[[#This Row],[Qty]]=""),"",tbl_main[[#This Row],[Price]]*tbl_main[[#This Row],[Qty]])</f>
        <v>100</v>
      </c>
      <c r="N1359" s="3">
        <f>_xlfn.LET(_xlpm.x,_xlfn.XLOOKUP(tbl_main[[#This Row],[Service]],tbl_service[Service],tbl_service[Profit],""),
               IF(tbl_main[[#This Row],[Qty]]="","",_xlpm.x*tbl_main[[#This Row],[Qty]]))</f>
        <v>45</v>
      </c>
    </row>
    <row r="1360" spans="1:14" x14ac:dyDescent="0.25">
      <c r="A1360" t="s">
        <v>1402</v>
      </c>
      <c r="B1360" s="1">
        <v>46109</v>
      </c>
      <c r="C1360">
        <f>IF(tbl_main[[#This Row],[Date]]="","",YEAR(B1360))</f>
        <v>2026</v>
      </c>
      <c r="D1360" t="str">
        <f>IF(tbl_main[[#This Row],[Date]]="","",TEXT(B1360,"mmm"))</f>
        <v>Mar</v>
      </c>
      <c r="E1360" t="str">
        <f>IF(tbl_main[[#This Row],[Date]]="","",TEXT(B1360,"DDD"))</f>
        <v>Sat</v>
      </c>
      <c r="F1360" t="s">
        <v>27</v>
      </c>
      <c r="G1360" t="s">
        <v>40</v>
      </c>
      <c r="H1360" s="3" t="s">
        <v>22</v>
      </c>
      <c r="I1360" s="3" t="s">
        <v>37</v>
      </c>
      <c r="J1360" s="3" t="s">
        <v>17</v>
      </c>
      <c r="K1360" s="3">
        <f>_xlfn.XLOOKUP(tbl_main[[#This Row],[Service]],tbl_service[Service],tbl_service[Price],"")</f>
        <v>150</v>
      </c>
      <c r="L1360" s="3">
        <v>2</v>
      </c>
      <c r="M1360" s="3">
        <f>IF(AND(tbl_main[[#This Row],[Price]]="",tbl_main[[#This Row],[Qty]]=""),"",tbl_main[[#This Row],[Price]]*tbl_main[[#This Row],[Qty]])</f>
        <v>300</v>
      </c>
      <c r="N1360" s="3">
        <f>_xlfn.LET(_xlpm.x,_xlfn.XLOOKUP(tbl_main[[#This Row],[Service]],tbl_service[Service],tbl_service[Profit],""),
               IF(tbl_main[[#This Row],[Qty]]="","",_xlpm.x*tbl_main[[#This Row],[Qty]]))</f>
        <v>134</v>
      </c>
    </row>
    <row r="1361" spans="1:14" x14ac:dyDescent="0.25">
      <c r="A1361" t="s">
        <v>1403</v>
      </c>
      <c r="B1361" s="1">
        <v>46109</v>
      </c>
      <c r="C1361">
        <f>IF(tbl_main[[#This Row],[Date]]="","",YEAR(B1361))</f>
        <v>2026</v>
      </c>
      <c r="D1361" t="str">
        <f>IF(tbl_main[[#This Row],[Date]]="","",TEXT(B1361,"mmm"))</f>
        <v>Mar</v>
      </c>
      <c r="E1361" t="str">
        <f>IF(tbl_main[[#This Row],[Date]]="","",TEXT(B1361,"DDD"))</f>
        <v>Sat</v>
      </c>
      <c r="F1361" t="s">
        <v>20</v>
      </c>
      <c r="G1361" t="s">
        <v>39</v>
      </c>
      <c r="H1361" s="3" t="s">
        <v>18</v>
      </c>
      <c r="I1361" s="3" t="s">
        <v>38</v>
      </c>
      <c r="J1361" s="3" t="s">
        <v>17</v>
      </c>
      <c r="K1361" s="3">
        <f>_xlfn.XLOOKUP(tbl_main[[#This Row],[Service]],tbl_service[Service],tbl_service[Price],"")</f>
        <v>500</v>
      </c>
      <c r="L1361" s="3">
        <v>2</v>
      </c>
      <c r="M1361" s="3">
        <f>IF(AND(tbl_main[[#This Row],[Price]]="",tbl_main[[#This Row],[Qty]]=""),"",tbl_main[[#This Row],[Price]]*tbl_main[[#This Row],[Qty]])</f>
        <v>1000</v>
      </c>
      <c r="N1361" s="3">
        <f>_xlfn.LET(_xlpm.x,_xlfn.XLOOKUP(tbl_main[[#This Row],[Service]],tbl_service[Service],tbl_service[Profit],""),
               IF(tbl_main[[#This Row],[Qty]]="","",_xlpm.x*tbl_main[[#This Row],[Qty]]))</f>
        <v>314</v>
      </c>
    </row>
    <row r="1362" spans="1:14" x14ac:dyDescent="0.25">
      <c r="A1362" t="s">
        <v>1404</v>
      </c>
      <c r="B1362" s="1">
        <v>46110</v>
      </c>
      <c r="C1362">
        <f>IF(tbl_main[[#This Row],[Date]]="","",YEAR(B1362))</f>
        <v>2026</v>
      </c>
      <c r="D1362" t="str">
        <f>IF(tbl_main[[#This Row],[Date]]="","",TEXT(B1362,"mmm"))</f>
        <v>Mar</v>
      </c>
      <c r="E1362" t="str">
        <f>IF(tbl_main[[#This Row],[Date]]="","",TEXT(B1362,"DDD"))</f>
        <v>Sun</v>
      </c>
      <c r="F1362" t="s">
        <v>30</v>
      </c>
      <c r="G1362" t="s">
        <v>31</v>
      </c>
      <c r="H1362" s="3" t="s">
        <v>15</v>
      </c>
      <c r="I1362" s="3" t="s">
        <v>16</v>
      </c>
      <c r="J1362" s="3" t="s">
        <v>32</v>
      </c>
      <c r="K1362" s="3">
        <f>_xlfn.XLOOKUP(tbl_main[[#This Row],[Service]],tbl_service[Service],tbl_service[Price],"")</f>
        <v>500</v>
      </c>
      <c r="L1362" s="3">
        <v>2</v>
      </c>
      <c r="M1362" s="3">
        <f>IF(AND(tbl_main[[#This Row],[Price]]="",tbl_main[[#This Row],[Qty]]=""),"",tbl_main[[#This Row],[Price]]*tbl_main[[#This Row],[Qty]])</f>
        <v>1000</v>
      </c>
      <c r="N1362" s="3">
        <f>_xlfn.LET(_xlpm.x,_xlfn.XLOOKUP(tbl_main[[#This Row],[Service]],tbl_service[Service],tbl_service[Profit],""),
               IF(tbl_main[[#This Row],[Qty]]="","",_xlpm.x*tbl_main[[#This Row],[Qty]]))</f>
        <v>450</v>
      </c>
    </row>
    <row r="1363" spans="1:14" x14ac:dyDescent="0.25">
      <c r="A1363" t="s">
        <v>1405</v>
      </c>
      <c r="B1363" s="1">
        <v>46110</v>
      </c>
      <c r="C1363">
        <f>IF(tbl_main[[#This Row],[Date]]="","",YEAR(B1363))</f>
        <v>2026</v>
      </c>
      <c r="D1363" t="str">
        <f>IF(tbl_main[[#This Row],[Date]]="","",TEXT(B1363,"mmm"))</f>
        <v>Mar</v>
      </c>
      <c r="E1363" t="str">
        <f>IF(tbl_main[[#This Row],[Date]]="","",TEXT(B1363,"DDD"))</f>
        <v>Sun</v>
      </c>
      <c r="F1363" t="s">
        <v>30</v>
      </c>
      <c r="G1363" t="s">
        <v>31</v>
      </c>
      <c r="H1363" s="3" t="s">
        <v>15</v>
      </c>
      <c r="I1363" s="3" t="s">
        <v>19</v>
      </c>
      <c r="J1363" s="3" t="s">
        <v>32</v>
      </c>
      <c r="K1363" s="3">
        <f>_xlfn.XLOOKUP(tbl_main[[#This Row],[Service]],tbl_service[Service],tbl_service[Price],"")</f>
        <v>500</v>
      </c>
      <c r="L1363" s="3">
        <v>2</v>
      </c>
      <c r="M1363" s="3">
        <f>IF(AND(tbl_main[[#This Row],[Price]]="",tbl_main[[#This Row],[Qty]]=""),"",tbl_main[[#This Row],[Price]]*tbl_main[[#This Row],[Qty]])</f>
        <v>1000</v>
      </c>
      <c r="N1363" s="3">
        <f>_xlfn.LET(_xlpm.x,_xlfn.XLOOKUP(tbl_main[[#This Row],[Service]],tbl_service[Service],tbl_service[Profit],""),
               IF(tbl_main[[#This Row],[Qty]]="","",_xlpm.x*tbl_main[[#This Row],[Qty]]))</f>
        <v>450</v>
      </c>
    </row>
    <row r="1364" spans="1:14" x14ac:dyDescent="0.25">
      <c r="A1364" t="s">
        <v>1406</v>
      </c>
      <c r="B1364" s="1">
        <v>46110</v>
      </c>
      <c r="C1364">
        <f>IF(tbl_main[[#This Row],[Date]]="","",YEAR(B1364))</f>
        <v>2026</v>
      </c>
      <c r="D1364" t="str">
        <f>IF(tbl_main[[#This Row],[Date]]="","",TEXT(B1364,"mmm"))</f>
        <v>Mar</v>
      </c>
      <c r="E1364" t="str">
        <f>IF(tbl_main[[#This Row],[Date]]="","",TEXT(B1364,"DDD"))</f>
        <v>Sun</v>
      </c>
      <c r="F1364" t="s">
        <v>13</v>
      </c>
      <c r="G1364" t="s">
        <v>14</v>
      </c>
      <c r="H1364" s="3" t="s">
        <v>15</v>
      </c>
      <c r="I1364" s="3" t="s">
        <v>43</v>
      </c>
      <c r="J1364" s="3" t="s">
        <v>17</v>
      </c>
      <c r="K1364" s="3">
        <f>_xlfn.XLOOKUP(tbl_main[[#This Row],[Service]],tbl_service[Service],tbl_service[Price],"")</f>
        <v>500</v>
      </c>
      <c r="L1364" s="3">
        <v>1</v>
      </c>
      <c r="M1364" s="3">
        <f>IF(AND(tbl_main[[#This Row],[Price]]="",tbl_main[[#This Row],[Qty]]=""),"",tbl_main[[#This Row],[Price]]*tbl_main[[#This Row],[Qty]])</f>
        <v>500</v>
      </c>
      <c r="N1364" s="3">
        <f>_xlfn.LET(_xlpm.x,_xlfn.XLOOKUP(tbl_main[[#This Row],[Service]],tbl_service[Service],tbl_service[Profit],""),
               IF(tbl_main[[#This Row],[Qty]]="","",_xlpm.x*tbl_main[[#This Row],[Qty]]))</f>
        <v>225</v>
      </c>
    </row>
    <row r="1365" spans="1:14" x14ac:dyDescent="0.25">
      <c r="A1365" t="s">
        <v>1407</v>
      </c>
      <c r="B1365" s="1">
        <v>46111</v>
      </c>
      <c r="C1365">
        <f>IF(tbl_main[[#This Row],[Date]]="","",YEAR(B1365))</f>
        <v>2026</v>
      </c>
      <c r="D1365" t="str">
        <f>IF(tbl_main[[#This Row],[Date]]="","",TEXT(B1365,"mmm"))</f>
        <v>Mar</v>
      </c>
      <c r="E1365" t="str">
        <f>IF(tbl_main[[#This Row],[Date]]="","",TEXT(B1365,"DDD"))</f>
        <v>Mon</v>
      </c>
      <c r="F1365" t="s">
        <v>20</v>
      </c>
      <c r="G1365" t="s">
        <v>29</v>
      </c>
      <c r="H1365" s="3" t="s">
        <v>18</v>
      </c>
      <c r="I1365" s="3" t="s">
        <v>41</v>
      </c>
      <c r="J1365" s="3" t="s">
        <v>17</v>
      </c>
      <c r="K1365" s="3">
        <f>_xlfn.XLOOKUP(tbl_main[[#This Row],[Service]],tbl_service[Service],tbl_service[Price],"")</f>
        <v>500</v>
      </c>
      <c r="L1365" s="3">
        <v>2</v>
      </c>
      <c r="M1365" s="3">
        <f>IF(AND(tbl_main[[#This Row],[Price]]="",tbl_main[[#This Row],[Qty]]=""),"",tbl_main[[#This Row],[Price]]*tbl_main[[#This Row],[Qty]])</f>
        <v>1000</v>
      </c>
      <c r="N1365" s="3">
        <f>_xlfn.LET(_xlpm.x,_xlfn.XLOOKUP(tbl_main[[#This Row],[Service]],tbl_service[Service],tbl_service[Profit],""),
               IF(tbl_main[[#This Row],[Qty]]="","",_xlpm.x*tbl_main[[#This Row],[Qty]]))</f>
        <v>314</v>
      </c>
    </row>
    <row r="1366" spans="1:14" x14ac:dyDescent="0.25">
      <c r="A1366" t="s">
        <v>1408</v>
      </c>
      <c r="B1366" s="1">
        <v>46111</v>
      </c>
      <c r="C1366">
        <f>IF(tbl_main[[#This Row],[Date]]="","",YEAR(B1366))</f>
        <v>2026</v>
      </c>
      <c r="D1366" t="str">
        <f>IF(tbl_main[[#This Row],[Date]]="","",TEXT(B1366,"mmm"))</f>
        <v>Mar</v>
      </c>
      <c r="E1366" t="str">
        <f>IF(tbl_main[[#This Row],[Date]]="","",TEXT(B1366,"DDD"))</f>
        <v>Mon</v>
      </c>
      <c r="F1366" t="s">
        <v>30</v>
      </c>
      <c r="G1366" t="s">
        <v>36</v>
      </c>
      <c r="H1366" s="3" t="s">
        <v>18</v>
      </c>
      <c r="I1366" s="3" t="s">
        <v>41</v>
      </c>
      <c r="J1366" s="3" t="s">
        <v>32</v>
      </c>
      <c r="K1366" s="3">
        <f>_xlfn.XLOOKUP(tbl_main[[#This Row],[Service]],tbl_service[Service],tbl_service[Price],"")</f>
        <v>500</v>
      </c>
      <c r="L1366" s="3">
        <v>1</v>
      </c>
      <c r="M1366" s="3">
        <f>IF(AND(tbl_main[[#This Row],[Price]]="",tbl_main[[#This Row],[Qty]]=""),"",tbl_main[[#This Row],[Price]]*tbl_main[[#This Row],[Qty]])</f>
        <v>500</v>
      </c>
      <c r="N1366" s="3">
        <f>_xlfn.LET(_xlpm.x,_xlfn.XLOOKUP(tbl_main[[#This Row],[Service]],tbl_service[Service],tbl_service[Profit],""),
               IF(tbl_main[[#This Row],[Qty]]="","",_xlpm.x*tbl_main[[#This Row],[Qty]]))</f>
        <v>157</v>
      </c>
    </row>
    <row r="1367" spans="1:14" x14ac:dyDescent="0.25">
      <c r="A1367" t="s">
        <v>1409</v>
      </c>
      <c r="B1367" s="1">
        <v>46111</v>
      </c>
      <c r="C1367">
        <f>IF(tbl_main[[#This Row],[Date]]="","",YEAR(B1367))</f>
        <v>2026</v>
      </c>
      <c r="D1367" t="str">
        <f>IF(tbl_main[[#This Row],[Date]]="","",TEXT(B1367,"mmm"))</f>
        <v>Mar</v>
      </c>
      <c r="E1367" t="str">
        <f>IF(tbl_main[[#This Row],[Date]]="","",TEXT(B1367,"DDD"))</f>
        <v>Mon</v>
      </c>
      <c r="F1367" t="s">
        <v>30</v>
      </c>
      <c r="G1367" t="s">
        <v>31</v>
      </c>
      <c r="H1367" s="3" t="s">
        <v>34</v>
      </c>
      <c r="I1367" s="3" t="s">
        <v>35</v>
      </c>
      <c r="J1367" s="3" t="s">
        <v>25</v>
      </c>
      <c r="K1367" s="3">
        <f>_xlfn.XLOOKUP(tbl_main[[#This Row],[Service]],tbl_service[Service],tbl_service[Price],"")</f>
        <v>100</v>
      </c>
      <c r="L1367" s="3">
        <v>2</v>
      </c>
      <c r="M1367" s="3">
        <f>IF(AND(tbl_main[[#This Row],[Price]]="",tbl_main[[#This Row],[Qty]]=""),"",tbl_main[[#This Row],[Price]]*tbl_main[[#This Row],[Qty]])</f>
        <v>200</v>
      </c>
      <c r="N1367" s="3">
        <f>_xlfn.LET(_xlpm.x,_xlfn.XLOOKUP(tbl_main[[#This Row],[Service]],tbl_service[Service],tbl_service[Profit],""),
               IF(tbl_main[[#This Row],[Qty]]="","",_xlpm.x*tbl_main[[#This Row],[Qty]]))</f>
        <v>90</v>
      </c>
    </row>
    <row r="1368" spans="1:14" x14ac:dyDescent="0.25">
      <c r="A1368" t="s">
        <v>1410</v>
      </c>
      <c r="B1368" s="1">
        <v>46111</v>
      </c>
      <c r="C1368">
        <f>IF(tbl_main[[#This Row],[Date]]="","",YEAR(B1368))</f>
        <v>2026</v>
      </c>
      <c r="D1368" t="str">
        <f>IF(tbl_main[[#This Row],[Date]]="","",TEXT(B1368,"mmm"))</f>
        <v>Mar</v>
      </c>
      <c r="E1368" t="str">
        <f>IF(tbl_main[[#This Row],[Date]]="","",TEXT(B1368,"DDD"))</f>
        <v>Mon</v>
      </c>
      <c r="F1368" t="s">
        <v>20</v>
      </c>
      <c r="G1368" t="s">
        <v>21</v>
      </c>
      <c r="H1368" s="3" t="s">
        <v>24</v>
      </c>
      <c r="I1368" s="3" t="s">
        <v>35</v>
      </c>
      <c r="J1368" s="3" t="s">
        <v>17</v>
      </c>
      <c r="K1368" s="3">
        <f>_xlfn.XLOOKUP(tbl_main[[#This Row],[Service]],tbl_service[Service],tbl_service[Price],"")</f>
        <v>80</v>
      </c>
      <c r="L1368" s="3">
        <v>2</v>
      </c>
      <c r="M1368" s="3">
        <f>IF(AND(tbl_main[[#This Row],[Price]]="",tbl_main[[#This Row],[Qty]]=""),"",tbl_main[[#This Row],[Price]]*tbl_main[[#This Row],[Qty]])</f>
        <v>160</v>
      </c>
      <c r="N1368" s="3">
        <f>_xlfn.LET(_xlpm.x,_xlfn.XLOOKUP(tbl_main[[#This Row],[Service]],tbl_service[Service],tbl_service[Profit],""),
               IF(tbl_main[[#This Row],[Qty]]="","",_xlpm.x*tbl_main[[#This Row],[Qty]]))</f>
        <v>72</v>
      </c>
    </row>
    <row r="1369" spans="1:14" x14ac:dyDescent="0.25">
      <c r="A1369" t="s">
        <v>1411</v>
      </c>
      <c r="B1369" s="1">
        <v>46112</v>
      </c>
      <c r="C1369">
        <f>IF(tbl_main[[#This Row],[Date]]="","",YEAR(B1369))</f>
        <v>2026</v>
      </c>
      <c r="D1369" t="str">
        <f>IF(tbl_main[[#This Row],[Date]]="","",TEXT(B1369,"mmm"))</f>
        <v>Mar</v>
      </c>
      <c r="E1369" t="str">
        <f>IF(tbl_main[[#This Row],[Date]]="","",TEXT(B1369,"DDD"))</f>
        <v>Tue</v>
      </c>
      <c r="F1369" t="s">
        <v>27</v>
      </c>
      <c r="G1369" t="s">
        <v>40</v>
      </c>
      <c r="H1369" s="3" t="s">
        <v>15</v>
      </c>
      <c r="I1369" s="3" t="s">
        <v>23</v>
      </c>
      <c r="J1369" s="3" t="s">
        <v>25</v>
      </c>
      <c r="K1369" s="3">
        <f>_xlfn.XLOOKUP(tbl_main[[#This Row],[Service]],tbl_service[Service],tbl_service[Price],"")</f>
        <v>500</v>
      </c>
      <c r="L1369" s="3">
        <v>2</v>
      </c>
      <c r="M1369" s="3">
        <f>IF(AND(tbl_main[[#This Row],[Price]]="",tbl_main[[#This Row],[Qty]]=""),"",tbl_main[[#This Row],[Price]]*tbl_main[[#This Row],[Qty]])</f>
        <v>1000</v>
      </c>
      <c r="N1369" s="3">
        <f>_xlfn.LET(_xlpm.x,_xlfn.XLOOKUP(tbl_main[[#This Row],[Service]],tbl_service[Service],tbl_service[Profit],""),
               IF(tbl_main[[#This Row],[Qty]]="","",_xlpm.x*tbl_main[[#This Row],[Qty]]))</f>
        <v>450</v>
      </c>
    </row>
    <row r="1370" spans="1:14" x14ac:dyDescent="0.25">
      <c r="A1370" t="s">
        <v>1412</v>
      </c>
      <c r="B1370" s="1">
        <v>46112</v>
      </c>
      <c r="C1370">
        <f>IF(tbl_main[[#This Row],[Date]]="","",YEAR(B1370))</f>
        <v>2026</v>
      </c>
      <c r="D1370" t="str">
        <f>IF(tbl_main[[#This Row],[Date]]="","",TEXT(B1370,"mmm"))</f>
        <v>Mar</v>
      </c>
      <c r="E1370" t="str">
        <f>IF(tbl_main[[#This Row],[Date]]="","",TEXT(B1370,"DDD"))</f>
        <v>Tue</v>
      </c>
      <c r="F1370" t="s">
        <v>27</v>
      </c>
      <c r="G1370" t="s">
        <v>28</v>
      </c>
      <c r="H1370" s="3" t="s">
        <v>26</v>
      </c>
      <c r="I1370" s="3" t="s">
        <v>37</v>
      </c>
      <c r="J1370" s="3" t="s">
        <v>17</v>
      </c>
      <c r="K1370" s="3">
        <f>_xlfn.XLOOKUP(tbl_main[[#This Row],[Service]],tbl_service[Service],tbl_service[Price],"")</f>
        <v>200</v>
      </c>
      <c r="L1370" s="3">
        <v>1</v>
      </c>
      <c r="M1370" s="3">
        <f>IF(AND(tbl_main[[#This Row],[Price]]="",tbl_main[[#This Row],[Qty]]=""),"",tbl_main[[#This Row],[Price]]*tbl_main[[#This Row],[Qty]])</f>
        <v>200</v>
      </c>
      <c r="N1370" s="3">
        <f>_xlfn.LET(_xlpm.x,_xlfn.XLOOKUP(tbl_main[[#This Row],[Service]],tbl_service[Service],tbl_service[Profit],""),
               IF(tbl_main[[#This Row],[Qty]]="","",_xlpm.x*tbl_main[[#This Row],[Qty]]))</f>
        <v>90</v>
      </c>
    </row>
    <row r="1371" spans="1:14" x14ac:dyDescent="0.25">
      <c r="A1371" t="s">
        <v>1413</v>
      </c>
      <c r="B1371" s="1">
        <v>46113</v>
      </c>
      <c r="C1371">
        <f>IF(tbl_main[[#This Row],[Date]]="","",YEAR(B1371))</f>
        <v>2026</v>
      </c>
      <c r="D1371" t="str">
        <f>IF(tbl_main[[#This Row],[Date]]="","",TEXT(B1371,"mmm"))</f>
        <v>Apr</v>
      </c>
      <c r="E1371" t="str">
        <f>IF(tbl_main[[#This Row],[Date]]="","",TEXT(B1371,"DDD"))</f>
        <v>Wed</v>
      </c>
      <c r="F1371" t="s">
        <v>30</v>
      </c>
      <c r="G1371" t="s">
        <v>36</v>
      </c>
      <c r="H1371" s="3" t="s">
        <v>18</v>
      </c>
      <c r="I1371" s="3" t="s">
        <v>38</v>
      </c>
      <c r="J1371" s="3" t="s">
        <v>25</v>
      </c>
      <c r="K1371" s="3">
        <f>_xlfn.XLOOKUP(tbl_main[[#This Row],[Service]],tbl_service[Service],tbl_service[Price],"")</f>
        <v>500</v>
      </c>
      <c r="L1371" s="3">
        <v>2</v>
      </c>
      <c r="M1371" s="3">
        <f>IF(AND(tbl_main[[#This Row],[Price]]="",tbl_main[[#This Row],[Qty]]=""),"",tbl_main[[#This Row],[Price]]*tbl_main[[#This Row],[Qty]])</f>
        <v>1000</v>
      </c>
      <c r="N1371" s="3">
        <f>_xlfn.LET(_xlpm.x,_xlfn.XLOOKUP(tbl_main[[#This Row],[Service]],tbl_service[Service],tbl_service[Profit],""),
               IF(tbl_main[[#This Row],[Qty]]="","",_xlpm.x*tbl_main[[#This Row],[Qty]]))</f>
        <v>314</v>
      </c>
    </row>
    <row r="1372" spans="1:14" x14ac:dyDescent="0.25">
      <c r="A1372" t="s">
        <v>1414</v>
      </c>
      <c r="B1372" s="1">
        <v>46113</v>
      </c>
      <c r="C1372">
        <f>IF(tbl_main[[#This Row],[Date]]="","",YEAR(B1372))</f>
        <v>2026</v>
      </c>
      <c r="D1372" t="str">
        <f>IF(tbl_main[[#This Row],[Date]]="","",TEXT(B1372,"mmm"))</f>
        <v>Apr</v>
      </c>
      <c r="E1372" t="str">
        <f>IF(tbl_main[[#This Row],[Date]]="","",TEXT(B1372,"DDD"))</f>
        <v>Wed</v>
      </c>
      <c r="F1372" t="s">
        <v>13</v>
      </c>
      <c r="G1372" t="s">
        <v>33</v>
      </c>
      <c r="H1372" s="3" t="s">
        <v>24</v>
      </c>
      <c r="I1372" s="3" t="s">
        <v>16</v>
      </c>
      <c r="J1372" s="3" t="s">
        <v>32</v>
      </c>
      <c r="K1372" s="3">
        <f>_xlfn.XLOOKUP(tbl_main[[#This Row],[Service]],tbl_service[Service],tbl_service[Price],"")</f>
        <v>80</v>
      </c>
      <c r="L1372" s="3">
        <v>1</v>
      </c>
      <c r="M1372" s="3">
        <f>IF(AND(tbl_main[[#This Row],[Price]]="",tbl_main[[#This Row],[Qty]]=""),"",tbl_main[[#This Row],[Price]]*tbl_main[[#This Row],[Qty]])</f>
        <v>80</v>
      </c>
      <c r="N1372" s="3">
        <f>_xlfn.LET(_xlpm.x,_xlfn.XLOOKUP(tbl_main[[#This Row],[Service]],tbl_service[Service],tbl_service[Profit],""),
               IF(tbl_main[[#This Row],[Qty]]="","",_xlpm.x*tbl_main[[#This Row],[Qty]]))</f>
        <v>36</v>
      </c>
    </row>
    <row r="1373" spans="1:14" x14ac:dyDescent="0.25">
      <c r="A1373" t="s">
        <v>1415</v>
      </c>
      <c r="B1373" s="1">
        <v>46113</v>
      </c>
      <c r="C1373">
        <f>IF(tbl_main[[#This Row],[Date]]="","",YEAR(B1373))</f>
        <v>2026</v>
      </c>
      <c r="D1373" t="str">
        <f>IF(tbl_main[[#This Row],[Date]]="","",TEXT(B1373,"mmm"))</f>
        <v>Apr</v>
      </c>
      <c r="E1373" t="str">
        <f>IF(tbl_main[[#This Row],[Date]]="","",TEXT(B1373,"DDD"))</f>
        <v>Wed</v>
      </c>
      <c r="F1373" t="s">
        <v>20</v>
      </c>
      <c r="G1373" t="s">
        <v>39</v>
      </c>
      <c r="H1373" s="3" t="s">
        <v>22</v>
      </c>
      <c r="I1373" s="3" t="s">
        <v>19</v>
      </c>
      <c r="J1373" s="3" t="s">
        <v>25</v>
      </c>
      <c r="K1373" s="3">
        <f>_xlfn.XLOOKUP(tbl_main[[#This Row],[Service]],tbl_service[Service],tbl_service[Price],"")</f>
        <v>150</v>
      </c>
      <c r="L1373" s="3">
        <v>1</v>
      </c>
      <c r="M1373" s="3">
        <f>IF(AND(tbl_main[[#This Row],[Price]]="",tbl_main[[#This Row],[Qty]]=""),"",tbl_main[[#This Row],[Price]]*tbl_main[[#This Row],[Qty]])</f>
        <v>150</v>
      </c>
      <c r="N1373" s="3">
        <f>_xlfn.LET(_xlpm.x,_xlfn.XLOOKUP(tbl_main[[#This Row],[Service]],tbl_service[Service],tbl_service[Profit],""),
               IF(tbl_main[[#This Row],[Qty]]="","",_xlpm.x*tbl_main[[#This Row],[Qty]]))</f>
        <v>67</v>
      </c>
    </row>
    <row r="1374" spans="1:14" x14ac:dyDescent="0.25">
      <c r="A1374" t="s">
        <v>1416</v>
      </c>
      <c r="B1374" s="1">
        <v>46114</v>
      </c>
      <c r="C1374">
        <f>IF(tbl_main[[#This Row],[Date]]="","",YEAR(B1374))</f>
        <v>2026</v>
      </c>
      <c r="D1374" t="str">
        <f>IF(tbl_main[[#This Row],[Date]]="","",TEXT(B1374,"mmm"))</f>
        <v>Apr</v>
      </c>
      <c r="E1374" t="str">
        <f>IF(tbl_main[[#This Row],[Date]]="","",TEXT(B1374,"DDD"))</f>
        <v>Thu</v>
      </c>
      <c r="F1374" t="s">
        <v>30</v>
      </c>
      <c r="G1374" t="s">
        <v>36</v>
      </c>
      <c r="H1374" s="3" t="s">
        <v>15</v>
      </c>
      <c r="I1374" s="3" t="s">
        <v>43</v>
      </c>
      <c r="J1374" s="3" t="s">
        <v>32</v>
      </c>
      <c r="K1374" s="3">
        <f>_xlfn.XLOOKUP(tbl_main[[#This Row],[Service]],tbl_service[Service],tbl_service[Price],"")</f>
        <v>500</v>
      </c>
      <c r="L1374" s="3">
        <v>2</v>
      </c>
      <c r="M1374" s="3">
        <f>IF(AND(tbl_main[[#This Row],[Price]]="",tbl_main[[#This Row],[Qty]]=""),"",tbl_main[[#This Row],[Price]]*tbl_main[[#This Row],[Qty]])</f>
        <v>1000</v>
      </c>
      <c r="N1374" s="3">
        <f>_xlfn.LET(_xlpm.x,_xlfn.XLOOKUP(tbl_main[[#This Row],[Service]],tbl_service[Service],tbl_service[Profit],""),
               IF(tbl_main[[#This Row],[Qty]]="","",_xlpm.x*tbl_main[[#This Row],[Qty]]))</f>
        <v>450</v>
      </c>
    </row>
    <row r="1375" spans="1:14" x14ac:dyDescent="0.25">
      <c r="A1375" t="s">
        <v>1417</v>
      </c>
      <c r="B1375" s="1">
        <v>46114</v>
      </c>
      <c r="C1375">
        <f>IF(tbl_main[[#This Row],[Date]]="","",YEAR(B1375))</f>
        <v>2026</v>
      </c>
      <c r="D1375" t="str">
        <f>IF(tbl_main[[#This Row],[Date]]="","",TEXT(B1375,"mmm"))</f>
        <v>Apr</v>
      </c>
      <c r="E1375" t="str">
        <f>IF(tbl_main[[#This Row],[Date]]="","",TEXT(B1375,"DDD"))</f>
        <v>Thu</v>
      </c>
      <c r="F1375" t="s">
        <v>20</v>
      </c>
      <c r="G1375" t="s">
        <v>21</v>
      </c>
      <c r="H1375" s="3" t="s">
        <v>26</v>
      </c>
      <c r="I1375" s="3" t="s">
        <v>41</v>
      </c>
      <c r="J1375" s="3" t="s">
        <v>32</v>
      </c>
      <c r="K1375" s="3">
        <f>_xlfn.XLOOKUP(tbl_main[[#This Row],[Service]],tbl_service[Service],tbl_service[Price],"")</f>
        <v>200</v>
      </c>
      <c r="L1375" s="3">
        <v>1</v>
      </c>
      <c r="M1375" s="3">
        <f>IF(AND(tbl_main[[#This Row],[Price]]="",tbl_main[[#This Row],[Qty]]=""),"",tbl_main[[#This Row],[Price]]*tbl_main[[#This Row],[Qty]])</f>
        <v>200</v>
      </c>
      <c r="N1375" s="3">
        <f>_xlfn.LET(_xlpm.x,_xlfn.XLOOKUP(tbl_main[[#This Row],[Service]],tbl_service[Service],tbl_service[Profit],""),
               IF(tbl_main[[#This Row],[Qty]]="","",_xlpm.x*tbl_main[[#This Row],[Qty]]))</f>
        <v>90</v>
      </c>
    </row>
    <row r="1376" spans="1:14" x14ac:dyDescent="0.25">
      <c r="A1376" t="s">
        <v>1418</v>
      </c>
      <c r="B1376" s="1">
        <v>46114</v>
      </c>
      <c r="C1376">
        <f>IF(tbl_main[[#This Row],[Date]]="","",YEAR(B1376))</f>
        <v>2026</v>
      </c>
      <c r="D1376" t="str">
        <f>IF(tbl_main[[#This Row],[Date]]="","",TEXT(B1376,"mmm"))</f>
        <v>Apr</v>
      </c>
      <c r="E1376" t="str">
        <f>IF(tbl_main[[#This Row],[Date]]="","",TEXT(B1376,"DDD"))</f>
        <v>Thu</v>
      </c>
      <c r="F1376" t="s">
        <v>20</v>
      </c>
      <c r="G1376" t="s">
        <v>29</v>
      </c>
      <c r="H1376" s="3" t="s">
        <v>22</v>
      </c>
      <c r="I1376" s="3" t="s">
        <v>41</v>
      </c>
      <c r="J1376" s="3" t="s">
        <v>32</v>
      </c>
      <c r="K1376" s="3">
        <f>_xlfn.XLOOKUP(tbl_main[[#This Row],[Service]],tbl_service[Service],tbl_service[Price],"")</f>
        <v>150</v>
      </c>
      <c r="L1376" s="3">
        <v>1</v>
      </c>
      <c r="M1376" s="3">
        <f>IF(AND(tbl_main[[#This Row],[Price]]="",tbl_main[[#This Row],[Qty]]=""),"",tbl_main[[#This Row],[Price]]*tbl_main[[#This Row],[Qty]])</f>
        <v>150</v>
      </c>
      <c r="N1376" s="3">
        <f>_xlfn.LET(_xlpm.x,_xlfn.XLOOKUP(tbl_main[[#This Row],[Service]],tbl_service[Service],tbl_service[Profit],""),
               IF(tbl_main[[#This Row],[Qty]]="","",_xlpm.x*tbl_main[[#This Row],[Qty]]))</f>
        <v>67</v>
      </c>
    </row>
    <row r="1377" spans="1:14" x14ac:dyDescent="0.25">
      <c r="A1377" t="s">
        <v>1419</v>
      </c>
      <c r="B1377" s="1">
        <v>46114</v>
      </c>
      <c r="C1377">
        <f>IF(tbl_main[[#This Row],[Date]]="","",YEAR(B1377))</f>
        <v>2026</v>
      </c>
      <c r="D1377" t="str">
        <f>IF(tbl_main[[#This Row],[Date]]="","",TEXT(B1377,"mmm"))</f>
        <v>Apr</v>
      </c>
      <c r="E1377" t="str">
        <f>IF(tbl_main[[#This Row],[Date]]="","",TEXT(B1377,"DDD"))</f>
        <v>Thu</v>
      </c>
      <c r="F1377" t="s">
        <v>27</v>
      </c>
      <c r="G1377" t="s">
        <v>28</v>
      </c>
      <c r="H1377" s="3" t="s">
        <v>15</v>
      </c>
      <c r="I1377" s="3" t="s">
        <v>35</v>
      </c>
      <c r="J1377" s="3" t="s">
        <v>25</v>
      </c>
      <c r="K1377" s="3">
        <f>_xlfn.XLOOKUP(tbl_main[[#This Row],[Service]],tbl_service[Service],tbl_service[Price],"")</f>
        <v>500</v>
      </c>
      <c r="L1377" s="3">
        <v>1</v>
      </c>
      <c r="M1377" s="3">
        <f>IF(AND(tbl_main[[#This Row],[Price]]="",tbl_main[[#This Row],[Qty]]=""),"",tbl_main[[#This Row],[Price]]*tbl_main[[#This Row],[Qty]])</f>
        <v>500</v>
      </c>
      <c r="N1377" s="3">
        <f>_xlfn.LET(_xlpm.x,_xlfn.XLOOKUP(tbl_main[[#This Row],[Service]],tbl_service[Service],tbl_service[Profit],""),
               IF(tbl_main[[#This Row],[Qty]]="","",_xlpm.x*tbl_main[[#This Row],[Qty]]))</f>
        <v>225</v>
      </c>
    </row>
    <row r="1378" spans="1:14" x14ac:dyDescent="0.25">
      <c r="A1378" t="s">
        <v>1420</v>
      </c>
      <c r="B1378" s="1">
        <v>46115</v>
      </c>
      <c r="C1378">
        <f>IF(tbl_main[[#This Row],[Date]]="","",YEAR(B1378))</f>
        <v>2026</v>
      </c>
      <c r="D1378" t="str">
        <f>IF(tbl_main[[#This Row],[Date]]="","",TEXT(B1378,"mmm"))</f>
        <v>Apr</v>
      </c>
      <c r="E1378" t="str">
        <f>IF(tbl_main[[#This Row],[Date]]="","",TEXT(B1378,"DDD"))</f>
        <v>Fri</v>
      </c>
      <c r="F1378" t="s">
        <v>13</v>
      </c>
      <c r="G1378" t="s">
        <v>14</v>
      </c>
      <c r="H1378" s="3" t="s">
        <v>24</v>
      </c>
      <c r="I1378" s="3" t="s">
        <v>35</v>
      </c>
      <c r="J1378" s="3" t="s">
        <v>17</v>
      </c>
      <c r="K1378" s="3">
        <f>_xlfn.XLOOKUP(tbl_main[[#This Row],[Service]],tbl_service[Service],tbl_service[Price],"")</f>
        <v>80</v>
      </c>
      <c r="L1378" s="3">
        <v>2</v>
      </c>
      <c r="M1378" s="3">
        <f>IF(AND(tbl_main[[#This Row],[Price]]="",tbl_main[[#This Row],[Qty]]=""),"",tbl_main[[#This Row],[Price]]*tbl_main[[#This Row],[Qty]])</f>
        <v>160</v>
      </c>
      <c r="N1378" s="3">
        <f>_xlfn.LET(_xlpm.x,_xlfn.XLOOKUP(tbl_main[[#This Row],[Service]],tbl_service[Service],tbl_service[Profit],""),
               IF(tbl_main[[#This Row],[Qty]]="","",_xlpm.x*tbl_main[[#This Row],[Qty]]))</f>
        <v>72</v>
      </c>
    </row>
    <row r="1379" spans="1:14" x14ac:dyDescent="0.25">
      <c r="A1379" t="s">
        <v>1421</v>
      </c>
      <c r="B1379" s="1">
        <v>46115</v>
      </c>
      <c r="C1379">
        <f>IF(tbl_main[[#This Row],[Date]]="","",YEAR(B1379))</f>
        <v>2026</v>
      </c>
      <c r="D1379" t="str">
        <f>IF(tbl_main[[#This Row],[Date]]="","",TEXT(B1379,"mmm"))</f>
        <v>Apr</v>
      </c>
      <c r="E1379" t="str">
        <f>IF(tbl_main[[#This Row],[Date]]="","",TEXT(B1379,"DDD"))</f>
        <v>Fri</v>
      </c>
      <c r="F1379" t="s">
        <v>27</v>
      </c>
      <c r="G1379" t="s">
        <v>40</v>
      </c>
      <c r="H1379" s="3" t="s">
        <v>24</v>
      </c>
      <c r="I1379" s="3" t="s">
        <v>23</v>
      </c>
      <c r="J1379" s="3" t="s">
        <v>32</v>
      </c>
      <c r="K1379" s="3">
        <f>_xlfn.XLOOKUP(tbl_main[[#This Row],[Service]],tbl_service[Service],tbl_service[Price],"")</f>
        <v>80</v>
      </c>
      <c r="L1379" s="3">
        <v>1</v>
      </c>
      <c r="M1379" s="3">
        <f>IF(AND(tbl_main[[#This Row],[Price]]="",tbl_main[[#This Row],[Qty]]=""),"",tbl_main[[#This Row],[Price]]*tbl_main[[#This Row],[Qty]])</f>
        <v>80</v>
      </c>
      <c r="N1379" s="3">
        <f>_xlfn.LET(_xlpm.x,_xlfn.XLOOKUP(tbl_main[[#This Row],[Service]],tbl_service[Service],tbl_service[Profit],""),
               IF(tbl_main[[#This Row],[Qty]]="","",_xlpm.x*tbl_main[[#This Row],[Qty]]))</f>
        <v>36</v>
      </c>
    </row>
    <row r="1380" spans="1:14" x14ac:dyDescent="0.25">
      <c r="A1380" t="s">
        <v>1422</v>
      </c>
      <c r="B1380" s="1">
        <v>46115</v>
      </c>
      <c r="C1380">
        <f>IF(tbl_main[[#This Row],[Date]]="","",YEAR(B1380))</f>
        <v>2026</v>
      </c>
      <c r="D1380" t="str">
        <f>IF(tbl_main[[#This Row],[Date]]="","",TEXT(B1380,"mmm"))</f>
        <v>Apr</v>
      </c>
      <c r="E1380" t="str">
        <f>IF(tbl_main[[#This Row],[Date]]="","",TEXT(B1380,"DDD"))</f>
        <v>Fri</v>
      </c>
      <c r="F1380" t="s">
        <v>13</v>
      </c>
      <c r="G1380" t="s">
        <v>33</v>
      </c>
      <c r="H1380" s="3" t="s">
        <v>34</v>
      </c>
      <c r="I1380" s="3" t="s">
        <v>37</v>
      </c>
      <c r="J1380" s="3" t="s">
        <v>17</v>
      </c>
      <c r="K1380" s="3">
        <f>_xlfn.XLOOKUP(tbl_main[[#This Row],[Service]],tbl_service[Service],tbl_service[Price],"")</f>
        <v>100</v>
      </c>
      <c r="L1380" s="3">
        <v>2</v>
      </c>
      <c r="M1380" s="3">
        <f>IF(AND(tbl_main[[#This Row],[Price]]="",tbl_main[[#This Row],[Qty]]=""),"",tbl_main[[#This Row],[Price]]*tbl_main[[#This Row],[Qty]])</f>
        <v>200</v>
      </c>
      <c r="N1380" s="3">
        <f>_xlfn.LET(_xlpm.x,_xlfn.XLOOKUP(tbl_main[[#This Row],[Service]],tbl_service[Service],tbl_service[Profit],""),
               IF(tbl_main[[#This Row],[Qty]]="","",_xlpm.x*tbl_main[[#This Row],[Qty]]))</f>
        <v>90</v>
      </c>
    </row>
    <row r="1381" spans="1:14" x14ac:dyDescent="0.25">
      <c r="A1381" t="s">
        <v>1423</v>
      </c>
      <c r="B1381" s="1">
        <v>46116</v>
      </c>
      <c r="C1381">
        <f>IF(tbl_main[[#This Row],[Date]]="","",YEAR(B1381))</f>
        <v>2026</v>
      </c>
      <c r="D1381" t="str">
        <f>IF(tbl_main[[#This Row],[Date]]="","",TEXT(B1381,"mmm"))</f>
        <v>Apr</v>
      </c>
      <c r="E1381" t="str">
        <f>IF(tbl_main[[#This Row],[Date]]="","",TEXT(B1381,"DDD"))</f>
        <v>Sat</v>
      </c>
      <c r="F1381" t="s">
        <v>27</v>
      </c>
      <c r="G1381" t="s">
        <v>28</v>
      </c>
      <c r="H1381" s="3" t="s">
        <v>18</v>
      </c>
      <c r="I1381" s="3" t="s">
        <v>38</v>
      </c>
      <c r="J1381" s="3" t="s">
        <v>32</v>
      </c>
      <c r="K1381" s="3">
        <f>_xlfn.XLOOKUP(tbl_main[[#This Row],[Service]],tbl_service[Service],tbl_service[Price],"")</f>
        <v>500</v>
      </c>
      <c r="L1381" s="3">
        <v>1</v>
      </c>
      <c r="M1381" s="3">
        <f>IF(AND(tbl_main[[#This Row],[Price]]="",tbl_main[[#This Row],[Qty]]=""),"",tbl_main[[#This Row],[Price]]*tbl_main[[#This Row],[Qty]])</f>
        <v>500</v>
      </c>
      <c r="N1381" s="3">
        <f>_xlfn.LET(_xlpm.x,_xlfn.XLOOKUP(tbl_main[[#This Row],[Service]],tbl_service[Service],tbl_service[Profit],""),
               IF(tbl_main[[#This Row],[Qty]]="","",_xlpm.x*tbl_main[[#This Row],[Qty]]))</f>
        <v>157</v>
      </c>
    </row>
    <row r="1382" spans="1:14" x14ac:dyDescent="0.25">
      <c r="A1382" t="s">
        <v>1424</v>
      </c>
      <c r="B1382" s="1">
        <v>46116</v>
      </c>
      <c r="C1382">
        <f>IF(tbl_main[[#This Row],[Date]]="","",YEAR(B1382))</f>
        <v>2026</v>
      </c>
      <c r="D1382" t="str">
        <f>IF(tbl_main[[#This Row],[Date]]="","",TEXT(B1382,"mmm"))</f>
        <v>Apr</v>
      </c>
      <c r="E1382" t="str">
        <f>IF(tbl_main[[#This Row],[Date]]="","",TEXT(B1382,"DDD"))</f>
        <v>Sat</v>
      </c>
      <c r="F1382" t="s">
        <v>13</v>
      </c>
      <c r="G1382" t="s">
        <v>14</v>
      </c>
      <c r="H1382" s="3" t="s">
        <v>18</v>
      </c>
      <c r="I1382" s="3" t="s">
        <v>16</v>
      </c>
      <c r="J1382" s="3" t="s">
        <v>25</v>
      </c>
      <c r="K1382" s="3">
        <f>_xlfn.XLOOKUP(tbl_main[[#This Row],[Service]],tbl_service[Service],tbl_service[Price],"")</f>
        <v>500</v>
      </c>
      <c r="L1382" s="3">
        <v>2</v>
      </c>
      <c r="M1382" s="3">
        <f>IF(AND(tbl_main[[#This Row],[Price]]="",tbl_main[[#This Row],[Qty]]=""),"",tbl_main[[#This Row],[Price]]*tbl_main[[#This Row],[Qty]])</f>
        <v>1000</v>
      </c>
      <c r="N1382" s="3">
        <f>_xlfn.LET(_xlpm.x,_xlfn.XLOOKUP(tbl_main[[#This Row],[Service]],tbl_service[Service],tbl_service[Profit],""),
               IF(tbl_main[[#This Row],[Qty]]="","",_xlpm.x*tbl_main[[#This Row],[Qty]]))</f>
        <v>314</v>
      </c>
    </row>
    <row r="1383" spans="1:14" x14ac:dyDescent="0.25">
      <c r="A1383" t="s">
        <v>1425</v>
      </c>
      <c r="B1383" s="1">
        <v>46116</v>
      </c>
      <c r="C1383">
        <f>IF(tbl_main[[#This Row],[Date]]="","",YEAR(B1383))</f>
        <v>2026</v>
      </c>
      <c r="D1383" t="str">
        <f>IF(tbl_main[[#This Row],[Date]]="","",TEXT(B1383,"mmm"))</f>
        <v>Apr</v>
      </c>
      <c r="E1383" t="str">
        <f>IF(tbl_main[[#This Row],[Date]]="","",TEXT(B1383,"DDD"))</f>
        <v>Sat</v>
      </c>
      <c r="F1383" t="s">
        <v>30</v>
      </c>
      <c r="G1383" t="s">
        <v>31</v>
      </c>
      <c r="H1383" s="3" t="s">
        <v>18</v>
      </c>
      <c r="I1383" s="3" t="s">
        <v>19</v>
      </c>
      <c r="J1383" s="3" t="s">
        <v>17</v>
      </c>
      <c r="K1383" s="3">
        <f>_xlfn.XLOOKUP(tbl_main[[#This Row],[Service]],tbl_service[Service],tbl_service[Price],"")</f>
        <v>500</v>
      </c>
      <c r="L1383" s="3">
        <v>2</v>
      </c>
      <c r="M1383" s="3">
        <f>IF(AND(tbl_main[[#This Row],[Price]]="",tbl_main[[#This Row],[Qty]]=""),"",tbl_main[[#This Row],[Price]]*tbl_main[[#This Row],[Qty]])</f>
        <v>1000</v>
      </c>
      <c r="N1383" s="3">
        <f>_xlfn.LET(_xlpm.x,_xlfn.XLOOKUP(tbl_main[[#This Row],[Service]],tbl_service[Service],tbl_service[Profit],""),
               IF(tbl_main[[#This Row],[Qty]]="","",_xlpm.x*tbl_main[[#This Row],[Qty]]))</f>
        <v>314</v>
      </c>
    </row>
    <row r="1384" spans="1:14" x14ac:dyDescent="0.25">
      <c r="A1384" t="s">
        <v>1426</v>
      </c>
      <c r="B1384" s="1">
        <v>46116</v>
      </c>
      <c r="C1384">
        <f>IF(tbl_main[[#This Row],[Date]]="","",YEAR(B1384))</f>
        <v>2026</v>
      </c>
      <c r="D1384" t="str">
        <f>IF(tbl_main[[#This Row],[Date]]="","",TEXT(B1384,"mmm"))</f>
        <v>Apr</v>
      </c>
      <c r="E1384" t="str">
        <f>IF(tbl_main[[#This Row],[Date]]="","",TEXT(B1384,"DDD"))</f>
        <v>Sat</v>
      </c>
      <c r="F1384" t="s">
        <v>27</v>
      </c>
      <c r="G1384" t="s">
        <v>28</v>
      </c>
      <c r="H1384" s="3" t="s">
        <v>24</v>
      </c>
      <c r="I1384" s="3" t="s">
        <v>43</v>
      </c>
      <c r="J1384" s="3" t="s">
        <v>25</v>
      </c>
      <c r="K1384" s="3">
        <f>_xlfn.XLOOKUP(tbl_main[[#This Row],[Service]],tbl_service[Service],tbl_service[Price],"")</f>
        <v>80</v>
      </c>
      <c r="L1384" s="3">
        <v>1</v>
      </c>
      <c r="M1384" s="3">
        <f>IF(AND(tbl_main[[#This Row],[Price]]="",tbl_main[[#This Row],[Qty]]=""),"",tbl_main[[#This Row],[Price]]*tbl_main[[#This Row],[Qty]])</f>
        <v>80</v>
      </c>
      <c r="N1384" s="3">
        <f>_xlfn.LET(_xlpm.x,_xlfn.XLOOKUP(tbl_main[[#This Row],[Service]],tbl_service[Service],tbl_service[Profit],""),
               IF(tbl_main[[#This Row],[Qty]]="","",_xlpm.x*tbl_main[[#This Row],[Qty]]))</f>
        <v>36</v>
      </c>
    </row>
    <row r="1385" spans="1:14" x14ac:dyDescent="0.25">
      <c r="A1385" t="s">
        <v>1427</v>
      </c>
      <c r="B1385" s="1">
        <v>46117</v>
      </c>
      <c r="C1385">
        <f>IF(tbl_main[[#This Row],[Date]]="","",YEAR(B1385))</f>
        <v>2026</v>
      </c>
      <c r="D1385" t="str">
        <f>IF(tbl_main[[#This Row],[Date]]="","",TEXT(B1385,"mmm"))</f>
        <v>Apr</v>
      </c>
      <c r="E1385" t="str">
        <f>IF(tbl_main[[#This Row],[Date]]="","",TEXT(B1385,"DDD"))</f>
        <v>Sun</v>
      </c>
      <c r="F1385" t="s">
        <v>30</v>
      </c>
      <c r="G1385" t="s">
        <v>36</v>
      </c>
      <c r="H1385" s="3" t="s">
        <v>26</v>
      </c>
      <c r="I1385" s="3" t="s">
        <v>41</v>
      </c>
      <c r="J1385" s="3" t="s">
        <v>17</v>
      </c>
      <c r="K1385" s="3">
        <f>_xlfn.XLOOKUP(tbl_main[[#This Row],[Service]],tbl_service[Service],tbl_service[Price],"")</f>
        <v>200</v>
      </c>
      <c r="L1385" s="3">
        <v>2</v>
      </c>
      <c r="M1385" s="3">
        <f>IF(AND(tbl_main[[#This Row],[Price]]="",tbl_main[[#This Row],[Qty]]=""),"",tbl_main[[#This Row],[Price]]*tbl_main[[#This Row],[Qty]])</f>
        <v>400</v>
      </c>
      <c r="N1385" s="3">
        <f>_xlfn.LET(_xlpm.x,_xlfn.XLOOKUP(tbl_main[[#This Row],[Service]],tbl_service[Service],tbl_service[Profit],""),
               IF(tbl_main[[#This Row],[Qty]]="","",_xlpm.x*tbl_main[[#This Row],[Qty]]))</f>
        <v>180</v>
      </c>
    </row>
    <row r="1386" spans="1:14" x14ac:dyDescent="0.25">
      <c r="A1386" t="s">
        <v>1428</v>
      </c>
      <c r="B1386" s="1">
        <v>46117</v>
      </c>
      <c r="C1386">
        <f>IF(tbl_main[[#This Row],[Date]]="","",YEAR(B1386))</f>
        <v>2026</v>
      </c>
      <c r="D1386" t="str">
        <f>IF(tbl_main[[#This Row],[Date]]="","",TEXT(B1386,"mmm"))</f>
        <v>Apr</v>
      </c>
      <c r="E1386" t="str">
        <f>IF(tbl_main[[#This Row],[Date]]="","",TEXT(B1386,"DDD"))</f>
        <v>Sun</v>
      </c>
      <c r="F1386" t="s">
        <v>13</v>
      </c>
      <c r="G1386" t="s">
        <v>14</v>
      </c>
      <c r="H1386" s="3" t="s">
        <v>18</v>
      </c>
      <c r="I1386" s="3" t="s">
        <v>41</v>
      </c>
      <c r="J1386" s="3" t="s">
        <v>17</v>
      </c>
      <c r="K1386" s="3">
        <f>_xlfn.XLOOKUP(tbl_main[[#This Row],[Service]],tbl_service[Service],tbl_service[Price],"")</f>
        <v>500</v>
      </c>
      <c r="L1386" s="3">
        <v>2</v>
      </c>
      <c r="M1386" s="3">
        <f>IF(AND(tbl_main[[#This Row],[Price]]="",tbl_main[[#This Row],[Qty]]=""),"",tbl_main[[#This Row],[Price]]*tbl_main[[#This Row],[Qty]])</f>
        <v>1000</v>
      </c>
      <c r="N1386" s="3">
        <f>_xlfn.LET(_xlpm.x,_xlfn.XLOOKUP(tbl_main[[#This Row],[Service]],tbl_service[Service],tbl_service[Profit],""),
               IF(tbl_main[[#This Row],[Qty]]="","",_xlpm.x*tbl_main[[#This Row],[Qty]]))</f>
        <v>314</v>
      </c>
    </row>
    <row r="1387" spans="1:14" x14ac:dyDescent="0.25">
      <c r="A1387" t="s">
        <v>1429</v>
      </c>
      <c r="B1387" s="1">
        <v>46117</v>
      </c>
      <c r="C1387">
        <f>IF(tbl_main[[#This Row],[Date]]="","",YEAR(B1387))</f>
        <v>2026</v>
      </c>
      <c r="D1387" t="str">
        <f>IF(tbl_main[[#This Row],[Date]]="","",TEXT(B1387,"mmm"))</f>
        <v>Apr</v>
      </c>
      <c r="E1387" t="str">
        <f>IF(tbl_main[[#This Row],[Date]]="","",TEXT(B1387,"DDD"))</f>
        <v>Sun</v>
      </c>
      <c r="F1387" t="s">
        <v>13</v>
      </c>
      <c r="G1387" t="s">
        <v>14</v>
      </c>
      <c r="H1387" s="3" t="s">
        <v>22</v>
      </c>
      <c r="I1387" s="3" t="s">
        <v>35</v>
      </c>
      <c r="J1387" s="3" t="s">
        <v>25</v>
      </c>
      <c r="K1387" s="3">
        <f>_xlfn.XLOOKUP(tbl_main[[#This Row],[Service]],tbl_service[Service],tbl_service[Price],"")</f>
        <v>150</v>
      </c>
      <c r="L1387" s="3">
        <v>2</v>
      </c>
      <c r="M1387" s="3">
        <f>IF(AND(tbl_main[[#This Row],[Price]]="",tbl_main[[#This Row],[Qty]]=""),"",tbl_main[[#This Row],[Price]]*tbl_main[[#This Row],[Qty]])</f>
        <v>300</v>
      </c>
      <c r="N1387" s="3">
        <f>_xlfn.LET(_xlpm.x,_xlfn.XLOOKUP(tbl_main[[#This Row],[Service]],tbl_service[Service],tbl_service[Profit],""),
               IF(tbl_main[[#This Row],[Qty]]="","",_xlpm.x*tbl_main[[#This Row],[Qty]]))</f>
        <v>134</v>
      </c>
    </row>
    <row r="1388" spans="1:14" x14ac:dyDescent="0.25">
      <c r="A1388" t="s">
        <v>1430</v>
      </c>
      <c r="B1388" s="1">
        <v>46117</v>
      </c>
      <c r="C1388">
        <f>IF(tbl_main[[#This Row],[Date]]="","",YEAR(B1388))</f>
        <v>2026</v>
      </c>
      <c r="D1388" t="str">
        <f>IF(tbl_main[[#This Row],[Date]]="","",TEXT(B1388,"mmm"))</f>
        <v>Apr</v>
      </c>
      <c r="E1388" t="str">
        <f>IF(tbl_main[[#This Row],[Date]]="","",TEXT(B1388,"DDD"))</f>
        <v>Sun</v>
      </c>
      <c r="F1388" t="s">
        <v>13</v>
      </c>
      <c r="G1388" t="s">
        <v>33</v>
      </c>
      <c r="H1388" s="3" t="s">
        <v>18</v>
      </c>
      <c r="I1388" s="3" t="s">
        <v>35</v>
      </c>
      <c r="J1388" s="3" t="s">
        <v>17</v>
      </c>
      <c r="K1388" s="3">
        <f>_xlfn.XLOOKUP(tbl_main[[#This Row],[Service]],tbl_service[Service],tbl_service[Price],"")</f>
        <v>500</v>
      </c>
      <c r="L1388" s="3">
        <v>1</v>
      </c>
      <c r="M1388" s="3">
        <f>IF(AND(tbl_main[[#This Row],[Price]]="",tbl_main[[#This Row],[Qty]]=""),"",tbl_main[[#This Row],[Price]]*tbl_main[[#This Row],[Qty]])</f>
        <v>500</v>
      </c>
      <c r="N1388" s="3">
        <f>_xlfn.LET(_xlpm.x,_xlfn.XLOOKUP(tbl_main[[#This Row],[Service]],tbl_service[Service],tbl_service[Profit],""),
               IF(tbl_main[[#This Row],[Qty]]="","",_xlpm.x*tbl_main[[#This Row],[Qty]]))</f>
        <v>157</v>
      </c>
    </row>
    <row r="1389" spans="1:14" x14ac:dyDescent="0.25">
      <c r="A1389" t="s">
        <v>1431</v>
      </c>
      <c r="B1389" s="1">
        <v>46118</v>
      </c>
      <c r="C1389">
        <f>IF(tbl_main[[#This Row],[Date]]="","",YEAR(B1389))</f>
        <v>2026</v>
      </c>
      <c r="D1389" t="str">
        <f>IF(tbl_main[[#This Row],[Date]]="","",TEXT(B1389,"mmm"))</f>
        <v>Apr</v>
      </c>
      <c r="E1389" t="str">
        <f>IF(tbl_main[[#This Row],[Date]]="","",TEXT(B1389,"DDD"))</f>
        <v>Mon</v>
      </c>
      <c r="F1389" t="s">
        <v>30</v>
      </c>
      <c r="G1389" t="s">
        <v>36</v>
      </c>
      <c r="H1389" s="3" t="s">
        <v>22</v>
      </c>
      <c r="I1389" s="3" t="s">
        <v>23</v>
      </c>
      <c r="J1389" s="3" t="s">
        <v>17</v>
      </c>
      <c r="K1389" s="3">
        <f>_xlfn.XLOOKUP(tbl_main[[#This Row],[Service]],tbl_service[Service],tbl_service[Price],"")</f>
        <v>150</v>
      </c>
      <c r="L1389" s="3">
        <v>1</v>
      </c>
      <c r="M1389" s="3">
        <f>IF(AND(tbl_main[[#This Row],[Price]]="",tbl_main[[#This Row],[Qty]]=""),"",tbl_main[[#This Row],[Price]]*tbl_main[[#This Row],[Qty]])</f>
        <v>150</v>
      </c>
      <c r="N1389" s="3">
        <f>_xlfn.LET(_xlpm.x,_xlfn.XLOOKUP(tbl_main[[#This Row],[Service]],tbl_service[Service],tbl_service[Profit],""),
               IF(tbl_main[[#This Row],[Qty]]="","",_xlpm.x*tbl_main[[#This Row],[Qty]]))</f>
        <v>67</v>
      </c>
    </row>
    <row r="1390" spans="1:14" x14ac:dyDescent="0.25">
      <c r="A1390" t="s">
        <v>1432</v>
      </c>
      <c r="B1390" s="1">
        <v>46118</v>
      </c>
      <c r="C1390">
        <f>IF(tbl_main[[#This Row],[Date]]="","",YEAR(B1390))</f>
        <v>2026</v>
      </c>
      <c r="D1390" t="str">
        <f>IF(tbl_main[[#This Row],[Date]]="","",TEXT(B1390,"mmm"))</f>
        <v>Apr</v>
      </c>
      <c r="E1390" t="str">
        <f>IF(tbl_main[[#This Row],[Date]]="","",TEXT(B1390,"DDD"))</f>
        <v>Mon</v>
      </c>
      <c r="F1390" t="s">
        <v>13</v>
      </c>
      <c r="G1390" t="s">
        <v>14</v>
      </c>
      <c r="H1390" s="3" t="s">
        <v>26</v>
      </c>
      <c r="I1390" s="3" t="s">
        <v>37</v>
      </c>
      <c r="J1390" s="3" t="s">
        <v>32</v>
      </c>
      <c r="K1390" s="3">
        <f>_xlfn.XLOOKUP(tbl_main[[#This Row],[Service]],tbl_service[Service],tbl_service[Price],"")</f>
        <v>200</v>
      </c>
      <c r="L1390" s="3">
        <v>2</v>
      </c>
      <c r="M1390" s="3">
        <f>IF(AND(tbl_main[[#This Row],[Price]]="",tbl_main[[#This Row],[Qty]]=""),"",tbl_main[[#This Row],[Price]]*tbl_main[[#This Row],[Qty]])</f>
        <v>400</v>
      </c>
      <c r="N1390" s="3">
        <f>_xlfn.LET(_xlpm.x,_xlfn.XLOOKUP(tbl_main[[#This Row],[Service]],tbl_service[Service],tbl_service[Profit],""),
               IF(tbl_main[[#This Row],[Qty]]="","",_xlpm.x*tbl_main[[#This Row],[Qty]]))</f>
        <v>180</v>
      </c>
    </row>
    <row r="1391" spans="1:14" x14ac:dyDescent="0.25">
      <c r="A1391" t="s">
        <v>1433</v>
      </c>
      <c r="B1391" s="1">
        <v>46118</v>
      </c>
      <c r="C1391">
        <f>IF(tbl_main[[#This Row],[Date]]="","",YEAR(B1391))</f>
        <v>2026</v>
      </c>
      <c r="D1391" t="str">
        <f>IF(tbl_main[[#This Row],[Date]]="","",TEXT(B1391,"mmm"))</f>
        <v>Apr</v>
      </c>
      <c r="E1391" t="str">
        <f>IF(tbl_main[[#This Row],[Date]]="","",TEXT(B1391,"DDD"))</f>
        <v>Mon</v>
      </c>
      <c r="F1391" t="s">
        <v>27</v>
      </c>
      <c r="G1391" t="s">
        <v>28</v>
      </c>
      <c r="H1391" s="3" t="s">
        <v>26</v>
      </c>
      <c r="I1391" s="3" t="s">
        <v>38</v>
      </c>
      <c r="J1391" s="3" t="s">
        <v>25</v>
      </c>
      <c r="K1391" s="3">
        <f>_xlfn.XLOOKUP(tbl_main[[#This Row],[Service]],tbl_service[Service],tbl_service[Price],"")</f>
        <v>200</v>
      </c>
      <c r="L1391" s="3">
        <v>1</v>
      </c>
      <c r="M1391" s="3">
        <f>IF(AND(tbl_main[[#This Row],[Price]]="",tbl_main[[#This Row],[Qty]]=""),"",tbl_main[[#This Row],[Price]]*tbl_main[[#This Row],[Qty]])</f>
        <v>200</v>
      </c>
      <c r="N1391" s="3">
        <f>_xlfn.LET(_xlpm.x,_xlfn.XLOOKUP(tbl_main[[#This Row],[Service]],tbl_service[Service],tbl_service[Profit],""),
               IF(tbl_main[[#This Row],[Qty]]="","",_xlpm.x*tbl_main[[#This Row],[Qty]]))</f>
        <v>90</v>
      </c>
    </row>
    <row r="1392" spans="1:14" x14ac:dyDescent="0.25">
      <c r="A1392" t="s">
        <v>1434</v>
      </c>
      <c r="B1392" s="1">
        <v>46118</v>
      </c>
      <c r="C1392">
        <f>IF(tbl_main[[#This Row],[Date]]="","",YEAR(B1392))</f>
        <v>2026</v>
      </c>
      <c r="D1392" t="str">
        <f>IF(tbl_main[[#This Row],[Date]]="","",TEXT(B1392,"mmm"))</f>
        <v>Apr</v>
      </c>
      <c r="E1392" t="str">
        <f>IF(tbl_main[[#This Row],[Date]]="","",TEXT(B1392,"DDD"))</f>
        <v>Mon</v>
      </c>
      <c r="F1392" t="s">
        <v>13</v>
      </c>
      <c r="G1392" t="s">
        <v>14</v>
      </c>
      <c r="H1392" s="3" t="s">
        <v>18</v>
      </c>
      <c r="I1392" s="3" t="s">
        <v>16</v>
      </c>
      <c r="J1392" s="3" t="s">
        <v>17</v>
      </c>
      <c r="K1392" s="3">
        <f>_xlfn.XLOOKUP(tbl_main[[#This Row],[Service]],tbl_service[Service],tbl_service[Price],"")</f>
        <v>500</v>
      </c>
      <c r="L1392" s="3">
        <v>1</v>
      </c>
      <c r="M1392" s="3">
        <f>IF(AND(tbl_main[[#This Row],[Price]]="",tbl_main[[#This Row],[Qty]]=""),"",tbl_main[[#This Row],[Price]]*tbl_main[[#This Row],[Qty]])</f>
        <v>500</v>
      </c>
      <c r="N1392" s="3">
        <f>_xlfn.LET(_xlpm.x,_xlfn.XLOOKUP(tbl_main[[#This Row],[Service]],tbl_service[Service],tbl_service[Profit],""),
               IF(tbl_main[[#This Row],[Qty]]="","",_xlpm.x*tbl_main[[#This Row],[Qty]]))</f>
        <v>157</v>
      </c>
    </row>
    <row r="1393" spans="1:14" x14ac:dyDescent="0.25">
      <c r="A1393" t="s">
        <v>1435</v>
      </c>
      <c r="B1393" s="1">
        <v>46119</v>
      </c>
      <c r="C1393">
        <f>IF(tbl_main[[#This Row],[Date]]="","",YEAR(B1393))</f>
        <v>2026</v>
      </c>
      <c r="D1393" t="str">
        <f>IF(tbl_main[[#This Row],[Date]]="","",TEXT(B1393,"mmm"))</f>
        <v>Apr</v>
      </c>
      <c r="E1393" t="str">
        <f>IF(tbl_main[[#This Row],[Date]]="","",TEXT(B1393,"DDD"))</f>
        <v>Tue</v>
      </c>
      <c r="F1393" t="s">
        <v>20</v>
      </c>
      <c r="G1393" t="s">
        <v>39</v>
      </c>
      <c r="H1393" s="3" t="s">
        <v>24</v>
      </c>
      <c r="I1393" s="3" t="s">
        <v>19</v>
      </c>
      <c r="J1393" s="3" t="s">
        <v>17</v>
      </c>
      <c r="K1393" s="3">
        <f>_xlfn.XLOOKUP(tbl_main[[#This Row],[Service]],tbl_service[Service],tbl_service[Price],"")</f>
        <v>80</v>
      </c>
      <c r="L1393" s="3">
        <v>2</v>
      </c>
      <c r="M1393" s="3">
        <f>IF(AND(tbl_main[[#This Row],[Price]]="",tbl_main[[#This Row],[Qty]]=""),"",tbl_main[[#This Row],[Price]]*tbl_main[[#This Row],[Qty]])</f>
        <v>160</v>
      </c>
      <c r="N1393" s="3">
        <f>_xlfn.LET(_xlpm.x,_xlfn.XLOOKUP(tbl_main[[#This Row],[Service]],tbl_service[Service],tbl_service[Profit],""),
               IF(tbl_main[[#This Row],[Qty]]="","",_xlpm.x*tbl_main[[#This Row],[Qty]]))</f>
        <v>72</v>
      </c>
    </row>
    <row r="1394" spans="1:14" x14ac:dyDescent="0.25">
      <c r="A1394" t="s">
        <v>1436</v>
      </c>
      <c r="B1394" s="1">
        <v>46119</v>
      </c>
      <c r="C1394">
        <f>IF(tbl_main[[#This Row],[Date]]="","",YEAR(B1394))</f>
        <v>2026</v>
      </c>
      <c r="D1394" t="str">
        <f>IF(tbl_main[[#This Row],[Date]]="","",TEXT(B1394,"mmm"))</f>
        <v>Apr</v>
      </c>
      <c r="E1394" t="str">
        <f>IF(tbl_main[[#This Row],[Date]]="","",TEXT(B1394,"DDD"))</f>
        <v>Tue</v>
      </c>
      <c r="F1394" t="s">
        <v>20</v>
      </c>
      <c r="G1394" t="s">
        <v>21</v>
      </c>
      <c r="H1394" s="3" t="s">
        <v>22</v>
      </c>
      <c r="I1394" s="3" t="s">
        <v>43</v>
      </c>
      <c r="J1394" s="3" t="s">
        <v>32</v>
      </c>
      <c r="K1394" s="3">
        <f>_xlfn.XLOOKUP(tbl_main[[#This Row],[Service]],tbl_service[Service],tbl_service[Price],"")</f>
        <v>150</v>
      </c>
      <c r="L1394" s="3">
        <v>1</v>
      </c>
      <c r="M1394" s="3">
        <f>IF(AND(tbl_main[[#This Row],[Price]]="",tbl_main[[#This Row],[Qty]]=""),"",tbl_main[[#This Row],[Price]]*tbl_main[[#This Row],[Qty]])</f>
        <v>150</v>
      </c>
      <c r="N1394" s="3">
        <f>_xlfn.LET(_xlpm.x,_xlfn.XLOOKUP(tbl_main[[#This Row],[Service]],tbl_service[Service],tbl_service[Profit],""),
               IF(tbl_main[[#This Row],[Qty]]="","",_xlpm.x*tbl_main[[#This Row],[Qty]]))</f>
        <v>67</v>
      </c>
    </row>
    <row r="1395" spans="1:14" x14ac:dyDescent="0.25">
      <c r="A1395" t="s">
        <v>1437</v>
      </c>
      <c r="B1395" s="1">
        <v>46120</v>
      </c>
      <c r="C1395">
        <f>IF(tbl_main[[#This Row],[Date]]="","",YEAR(B1395))</f>
        <v>2026</v>
      </c>
      <c r="D1395" t="str">
        <f>IF(tbl_main[[#This Row],[Date]]="","",TEXT(B1395,"mmm"))</f>
        <v>Apr</v>
      </c>
      <c r="E1395" t="str">
        <f>IF(tbl_main[[#This Row],[Date]]="","",TEXT(B1395,"DDD"))</f>
        <v>Wed</v>
      </c>
      <c r="F1395" t="s">
        <v>20</v>
      </c>
      <c r="G1395" t="s">
        <v>29</v>
      </c>
      <c r="H1395" s="3" t="s">
        <v>18</v>
      </c>
      <c r="I1395" s="3" t="s">
        <v>41</v>
      </c>
      <c r="J1395" s="3" t="s">
        <v>32</v>
      </c>
      <c r="K1395" s="3">
        <f>_xlfn.XLOOKUP(tbl_main[[#This Row],[Service]],tbl_service[Service],tbl_service[Price],"")</f>
        <v>500</v>
      </c>
      <c r="L1395" s="3">
        <v>2</v>
      </c>
      <c r="M1395" s="3">
        <f>IF(AND(tbl_main[[#This Row],[Price]]="",tbl_main[[#This Row],[Qty]]=""),"",tbl_main[[#This Row],[Price]]*tbl_main[[#This Row],[Qty]])</f>
        <v>1000</v>
      </c>
      <c r="N1395" s="3">
        <f>_xlfn.LET(_xlpm.x,_xlfn.XLOOKUP(tbl_main[[#This Row],[Service]],tbl_service[Service],tbl_service[Profit],""),
               IF(tbl_main[[#This Row],[Qty]]="","",_xlpm.x*tbl_main[[#This Row],[Qty]]))</f>
        <v>314</v>
      </c>
    </row>
    <row r="1396" spans="1:14" x14ac:dyDescent="0.25">
      <c r="A1396" t="s">
        <v>1438</v>
      </c>
      <c r="B1396" s="1">
        <v>46120</v>
      </c>
      <c r="C1396">
        <f>IF(tbl_main[[#This Row],[Date]]="","",YEAR(B1396))</f>
        <v>2026</v>
      </c>
      <c r="D1396" t="str">
        <f>IF(tbl_main[[#This Row],[Date]]="","",TEXT(B1396,"mmm"))</f>
        <v>Apr</v>
      </c>
      <c r="E1396" t="str">
        <f>IF(tbl_main[[#This Row],[Date]]="","",TEXT(B1396,"DDD"))</f>
        <v>Wed</v>
      </c>
      <c r="F1396" t="s">
        <v>30</v>
      </c>
      <c r="G1396" t="s">
        <v>36</v>
      </c>
      <c r="H1396" s="3" t="s">
        <v>26</v>
      </c>
      <c r="I1396" s="3" t="s">
        <v>41</v>
      </c>
      <c r="J1396" s="3" t="s">
        <v>25</v>
      </c>
      <c r="K1396" s="3">
        <f>_xlfn.XLOOKUP(tbl_main[[#This Row],[Service]],tbl_service[Service],tbl_service[Price],"")</f>
        <v>200</v>
      </c>
      <c r="L1396" s="3">
        <v>1</v>
      </c>
      <c r="M1396" s="3">
        <f>IF(AND(tbl_main[[#This Row],[Price]]="",tbl_main[[#This Row],[Qty]]=""),"",tbl_main[[#This Row],[Price]]*tbl_main[[#This Row],[Qty]])</f>
        <v>200</v>
      </c>
      <c r="N1396" s="3">
        <f>_xlfn.LET(_xlpm.x,_xlfn.XLOOKUP(tbl_main[[#This Row],[Service]],tbl_service[Service],tbl_service[Profit],""),
               IF(tbl_main[[#This Row],[Qty]]="","",_xlpm.x*tbl_main[[#This Row],[Qty]]))</f>
        <v>90</v>
      </c>
    </row>
    <row r="1397" spans="1:14" x14ac:dyDescent="0.25">
      <c r="A1397" t="s">
        <v>1439</v>
      </c>
      <c r="B1397" s="1">
        <v>46120</v>
      </c>
      <c r="C1397">
        <f>IF(tbl_main[[#This Row],[Date]]="","",YEAR(B1397))</f>
        <v>2026</v>
      </c>
      <c r="D1397" t="str">
        <f>IF(tbl_main[[#This Row],[Date]]="","",TEXT(B1397,"mmm"))</f>
        <v>Apr</v>
      </c>
      <c r="E1397" t="str">
        <f>IF(tbl_main[[#This Row],[Date]]="","",TEXT(B1397,"DDD"))</f>
        <v>Wed</v>
      </c>
      <c r="F1397" t="s">
        <v>13</v>
      </c>
      <c r="G1397" t="s">
        <v>33</v>
      </c>
      <c r="H1397" s="3" t="s">
        <v>18</v>
      </c>
      <c r="I1397" s="3" t="s">
        <v>35</v>
      </c>
      <c r="J1397" s="3" t="s">
        <v>32</v>
      </c>
      <c r="K1397" s="3">
        <f>_xlfn.XLOOKUP(tbl_main[[#This Row],[Service]],tbl_service[Service],tbl_service[Price],"")</f>
        <v>500</v>
      </c>
      <c r="L1397" s="3">
        <v>1</v>
      </c>
      <c r="M1397" s="3">
        <f>IF(AND(tbl_main[[#This Row],[Price]]="",tbl_main[[#This Row],[Qty]]=""),"",tbl_main[[#This Row],[Price]]*tbl_main[[#This Row],[Qty]])</f>
        <v>500</v>
      </c>
      <c r="N1397" s="3">
        <f>_xlfn.LET(_xlpm.x,_xlfn.XLOOKUP(tbl_main[[#This Row],[Service]],tbl_service[Service],tbl_service[Profit],""),
               IF(tbl_main[[#This Row],[Qty]]="","",_xlpm.x*tbl_main[[#This Row],[Qty]]))</f>
        <v>157</v>
      </c>
    </row>
    <row r="1398" spans="1:14" x14ac:dyDescent="0.25">
      <c r="A1398" t="s">
        <v>1440</v>
      </c>
      <c r="B1398" s="1">
        <v>46121</v>
      </c>
      <c r="C1398">
        <f>IF(tbl_main[[#This Row],[Date]]="","",YEAR(B1398))</f>
        <v>2026</v>
      </c>
      <c r="D1398" t="str">
        <f>IF(tbl_main[[#This Row],[Date]]="","",TEXT(B1398,"mmm"))</f>
        <v>Apr</v>
      </c>
      <c r="E1398" t="str">
        <f>IF(tbl_main[[#This Row],[Date]]="","",TEXT(B1398,"DDD"))</f>
        <v>Thu</v>
      </c>
      <c r="F1398" t="s">
        <v>20</v>
      </c>
      <c r="G1398" t="s">
        <v>21</v>
      </c>
      <c r="H1398" s="3" t="s">
        <v>22</v>
      </c>
      <c r="I1398" s="3" t="s">
        <v>35</v>
      </c>
      <c r="J1398" s="3" t="s">
        <v>17</v>
      </c>
      <c r="K1398" s="3">
        <f>_xlfn.XLOOKUP(tbl_main[[#This Row],[Service]],tbl_service[Service],tbl_service[Price],"")</f>
        <v>150</v>
      </c>
      <c r="L1398" s="3">
        <v>2</v>
      </c>
      <c r="M1398" s="3">
        <f>IF(AND(tbl_main[[#This Row],[Price]]="",tbl_main[[#This Row],[Qty]]=""),"",tbl_main[[#This Row],[Price]]*tbl_main[[#This Row],[Qty]])</f>
        <v>300</v>
      </c>
      <c r="N1398" s="3">
        <f>_xlfn.LET(_xlpm.x,_xlfn.XLOOKUP(tbl_main[[#This Row],[Service]],tbl_service[Service],tbl_service[Profit],""),
               IF(tbl_main[[#This Row],[Qty]]="","",_xlpm.x*tbl_main[[#This Row],[Qty]]))</f>
        <v>134</v>
      </c>
    </row>
    <row r="1399" spans="1:14" x14ac:dyDescent="0.25">
      <c r="A1399" t="s">
        <v>1441</v>
      </c>
      <c r="B1399" s="1">
        <v>46121</v>
      </c>
      <c r="C1399">
        <f>IF(tbl_main[[#This Row],[Date]]="","",YEAR(B1399))</f>
        <v>2026</v>
      </c>
      <c r="D1399" t="str">
        <f>IF(tbl_main[[#This Row],[Date]]="","",TEXT(B1399,"mmm"))</f>
        <v>Apr</v>
      </c>
      <c r="E1399" t="str">
        <f>IF(tbl_main[[#This Row],[Date]]="","",TEXT(B1399,"DDD"))</f>
        <v>Thu</v>
      </c>
      <c r="F1399" t="s">
        <v>20</v>
      </c>
      <c r="G1399" t="s">
        <v>39</v>
      </c>
      <c r="H1399" s="3" t="s">
        <v>26</v>
      </c>
      <c r="I1399" s="3" t="s">
        <v>23</v>
      </c>
      <c r="J1399" s="3" t="s">
        <v>32</v>
      </c>
      <c r="K1399" s="3">
        <f>_xlfn.XLOOKUP(tbl_main[[#This Row],[Service]],tbl_service[Service],tbl_service[Price],"")</f>
        <v>200</v>
      </c>
      <c r="L1399" s="3">
        <v>2</v>
      </c>
      <c r="M1399" s="3">
        <f>IF(AND(tbl_main[[#This Row],[Price]]="",tbl_main[[#This Row],[Qty]]=""),"",tbl_main[[#This Row],[Price]]*tbl_main[[#This Row],[Qty]])</f>
        <v>400</v>
      </c>
      <c r="N1399" s="3">
        <f>_xlfn.LET(_xlpm.x,_xlfn.XLOOKUP(tbl_main[[#This Row],[Service]],tbl_service[Service],tbl_service[Profit],""),
               IF(tbl_main[[#This Row],[Qty]]="","",_xlpm.x*tbl_main[[#This Row],[Qty]]))</f>
        <v>180</v>
      </c>
    </row>
    <row r="1400" spans="1:14" x14ac:dyDescent="0.25">
      <c r="A1400" t="s">
        <v>1442</v>
      </c>
      <c r="B1400" s="1">
        <v>46121</v>
      </c>
      <c r="C1400">
        <f>IF(tbl_main[[#This Row],[Date]]="","",YEAR(B1400))</f>
        <v>2026</v>
      </c>
      <c r="D1400" t="str">
        <f>IF(tbl_main[[#This Row],[Date]]="","",TEXT(B1400,"mmm"))</f>
        <v>Apr</v>
      </c>
      <c r="E1400" t="str">
        <f>IF(tbl_main[[#This Row],[Date]]="","",TEXT(B1400,"DDD"))</f>
        <v>Thu</v>
      </c>
      <c r="F1400" t="s">
        <v>13</v>
      </c>
      <c r="G1400" t="s">
        <v>14</v>
      </c>
      <c r="H1400" s="3" t="s">
        <v>22</v>
      </c>
      <c r="I1400" s="3" t="s">
        <v>37</v>
      </c>
      <c r="J1400" s="3" t="s">
        <v>25</v>
      </c>
      <c r="K1400" s="3">
        <f>_xlfn.XLOOKUP(tbl_main[[#This Row],[Service]],tbl_service[Service],tbl_service[Price],"")</f>
        <v>150</v>
      </c>
      <c r="L1400" s="3">
        <v>1</v>
      </c>
      <c r="M1400" s="3">
        <f>IF(AND(tbl_main[[#This Row],[Price]]="",tbl_main[[#This Row],[Qty]]=""),"",tbl_main[[#This Row],[Price]]*tbl_main[[#This Row],[Qty]])</f>
        <v>150</v>
      </c>
      <c r="N1400" s="3">
        <f>_xlfn.LET(_xlpm.x,_xlfn.XLOOKUP(tbl_main[[#This Row],[Service]],tbl_service[Service],tbl_service[Profit],""),
               IF(tbl_main[[#This Row],[Qty]]="","",_xlpm.x*tbl_main[[#This Row],[Qty]]))</f>
        <v>67</v>
      </c>
    </row>
    <row r="1401" spans="1:14" x14ac:dyDescent="0.25">
      <c r="A1401" t="s">
        <v>1443</v>
      </c>
      <c r="B1401" s="1">
        <v>46122</v>
      </c>
      <c r="C1401">
        <f>IF(tbl_main[[#This Row],[Date]]="","",YEAR(B1401))</f>
        <v>2026</v>
      </c>
      <c r="D1401" t="str">
        <f>IF(tbl_main[[#This Row],[Date]]="","",TEXT(B1401,"mmm"))</f>
        <v>Apr</v>
      </c>
      <c r="E1401" t="str">
        <f>IF(tbl_main[[#This Row],[Date]]="","",TEXT(B1401,"DDD"))</f>
        <v>Fri</v>
      </c>
      <c r="F1401" t="s">
        <v>30</v>
      </c>
      <c r="G1401" t="s">
        <v>36</v>
      </c>
      <c r="H1401" s="3" t="s">
        <v>18</v>
      </c>
      <c r="I1401" s="3" t="s">
        <v>38</v>
      </c>
      <c r="J1401" s="3" t="s">
        <v>25</v>
      </c>
      <c r="K1401" s="3">
        <f>_xlfn.XLOOKUP(tbl_main[[#This Row],[Service]],tbl_service[Service],tbl_service[Price],"")</f>
        <v>500</v>
      </c>
      <c r="L1401" s="3">
        <v>2</v>
      </c>
      <c r="M1401" s="3">
        <f>IF(AND(tbl_main[[#This Row],[Price]]="",tbl_main[[#This Row],[Qty]]=""),"",tbl_main[[#This Row],[Price]]*tbl_main[[#This Row],[Qty]])</f>
        <v>1000</v>
      </c>
      <c r="N1401" s="3">
        <f>_xlfn.LET(_xlpm.x,_xlfn.XLOOKUP(tbl_main[[#This Row],[Service]],tbl_service[Service],tbl_service[Profit],""),
               IF(tbl_main[[#This Row],[Qty]]="","",_xlpm.x*tbl_main[[#This Row],[Qty]]))</f>
        <v>314</v>
      </c>
    </row>
    <row r="1402" spans="1:14" x14ac:dyDescent="0.25">
      <c r="A1402" t="s">
        <v>1444</v>
      </c>
      <c r="B1402" s="1">
        <v>46122</v>
      </c>
      <c r="C1402">
        <f>IF(tbl_main[[#This Row],[Date]]="","",YEAR(B1402))</f>
        <v>2026</v>
      </c>
      <c r="D1402" t="str">
        <f>IF(tbl_main[[#This Row],[Date]]="","",TEXT(B1402,"mmm"))</f>
        <v>Apr</v>
      </c>
      <c r="E1402" t="str">
        <f>IF(tbl_main[[#This Row],[Date]]="","",TEXT(B1402,"DDD"))</f>
        <v>Fri</v>
      </c>
      <c r="F1402" t="s">
        <v>20</v>
      </c>
      <c r="G1402" t="s">
        <v>29</v>
      </c>
      <c r="H1402" s="3" t="s">
        <v>34</v>
      </c>
      <c r="I1402" s="3" t="s">
        <v>16</v>
      </c>
      <c r="J1402" s="3" t="s">
        <v>32</v>
      </c>
      <c r="K1402" s="3">
        <f>_xlfn.XLOOKUP(tbl_main[[#This Row],[Service]],tbl_service[Service],tbl_service[Price],"")</f>
        <v>100</v>
      </c>
      <c r="L1402" s="3">
        <v>1</v>
      </c>
      <c r="M1402" s="3">
        <f>IF(AND(tbl_main[[#This Row],[Price]]="",tbl_main[[#This Row],[Qty]]=""),"",tbl_main[[#This Row],[Price]]*tbl_main[[#This Row],[Qty]])</f>
        <v>100</v>
      </c>
      <c r="N1402" s="3">
        <f>_xlfn.LET(_xlpm.x,_xlfn.XLOOKUP(tbl_main[[#This Row],[Service]],tbl_service[Service],tbl_service[Profit],""),
               IF(tbl_main[[#This Row],[Qty]]="","",_xlpm.x*tbl_main[[#This Row],[Qty]]))</f>
        <v>45</v>
      </c>
    </row>
    <row r="1403" spans="1:14" x14ac:dyDescent="0.25">
      <c r="A1403" t="s">
        <v>1445</v>
      </c>
      <c r="B1403" s="1">
        <v>46123</v>
      </c>
      <c r="C1403">
        <f>IF(tbl_main[[#This Row],[Date]]="","",YEAR(B1403))</f>
        <v>2026</v>
      </c>
      <c r="D1403" t="str">
        <f>IF(tbl_main[[#This Row],[Date]]="","",TEXT(B1403,"mmm"))</f>
        <v>Apr</v>
      </c>
      <c r="E1403" t="str">
        <f>IF(tbl_main[[#This Row],[Date]]="","",TEXT(B1403,"DDD"))</f>
        <v>Sat</v>
      </c>
      <c r="F1403" t="s">
        <v>20</v>
      </c>
      <c r="G1403" t="s">
        <v>21</v>
      </c>
      <c r="H1403" s="3" t="s">
        <v>24</v>
      </c>
      <c r="I1403" s="3" t="s">
        <v>19</v>
      </c>
      <c r="J1403" s="3" t="s">
        <v>32</v>
      </c>
      <c r="K1403" s="3">
        <f>_xlfn.XLOOKUP(tbl_main[[#This Row],[Service]],tbl_service[Service],tbl_service[Price],"")</f>
        <v>80</v>
      </c>
      <c r="L1403" s="3">
        <v>2</v>
      </c>
      <c r="M1403" s="3">
        <f>IF(AND(tbl_main[[#This Row],[Price]]="",tbl_main[[#This Row],[Qty]]=""),"",tbl_main[[#This Row],[Price]]*tbl_main[[#This Row],[Qty]])</f>
        <v>160</v>
      </c>
      <c r="N1403" s="3">
        <f>_xlfn.LET(_xlpm.x,_xlfn.XLOOKUP(tbl_main[[#This Row],[Service]],tbl_service[Service],tbl_service[Profit],""),
               IF(tbl_main[[#This Row],[Qty]]="","",_xlpm.x*tbl_main[[#This Row],[Qty]]))</f>
        <v>72</v>
      </c>
    </row>
    <row r="1404" spans="1:14" x14ac:dyDescent="0.25">
      <c r="A1404" t="s">
        <v>1446</v>
      </c>
      <c r="B1404" s="1">
        <v>46123</v>
      </c>
      <c r="C1404">
        <f>IF(tbl_main[[#This Row],[Date]]="","",YEAR(B1404))</f>
        <v>2026</v>
      </c>
      <c r="D1404" t="str">
        <f>IF(tbl_main[[#This Row],[Date]]="","",TEXT(B1404,"mmm"))</f>
        <v>Apr</v>
      </c>
      <c r="E1404" t="str">
        <f>IF(tbl_main[[#This Row],[Date]]="","",TEXT(B1404,"DDD"))</f>
        <v>Sat</v>
      </c>
      <c r="F1404" t="s">
        <v>20</v>
      </c>
      <c r="G1404" t="s">
        <v>29</v>
      </c>
      <c r="H1404" s="3" t="s">
        <v>34</v>
      </c>
      <c r="I1404" s="3" t="s">
        <v>43</v>
      </c>
      <c r="J1404" s="3" t="s">
        <v>32</v>
      </c>
      <c r="K1404" s="3">
        <f>_xlfn.XLOOKUP(tbl_main[[#This Row],[Service]],tbl_service[Service],tbl_service[Price],"")</f>
        <v>100</v>
      </c>
      <c r="L1404" s="3">
        <v>1</v>
      </c>
      <c r="M1404" s="3">
        <f>IF(AND(tbl_main[[#This Row],[Price]]="",tbl_main[[#This Row],[Qty]]=""),"",tbl_main[[#This Row],[Price]]*tbl_main[[#This Row],[Qty]])</f>
        <v>100</v>
      </c>
      <c r="N1404" s="3">
        <f>_xlfn.LET(_xlpm.x,_xlfn.XLOOKUP(tbl_main[[#This Row],[Service]],tbl_service[Service],tbl_service[Profit],""),
               IF(tbl_main[[#This Row],[Qty]]="","",_xlpm.x*tbl_main[[#This Row],[Qty]]))</f>
        <v>45</v>
      </c>
    </row>
    <row r="1405" spans="1:14" x14ac:dyDescent="0.25">
      <c r="A1405" t="s">
        <v>1447</v>
      </c>
      <c r="B1405" s="1">
        <v>46123</v>
      </c>
      <c r="C1405">
        <f>IF(tbl_main[[#This Row],[Date]]="","",YEAR(B1405))</f>
        <v>2026</v>
      </c>
      <c r="D1405" t="str">
        <f>IF(tbl_main[[#This Row],[Date]]="","",TEXT(B1405,"mmm"))</f>
        <v>Apr</v>
      </c>
      <c r="E1405" t="str">
        <f>IF(tbl_main[[#This Row],[Date]]="","",TEXT(B1405,"DDD"))</f>
        <v>Sat</v>
      </c>
      <c r="F1405" t="s">
        <v>30</v>
      </c>
      <c r="G1405" t="s">
        <v>31</v>
      </c>
      <c r="H1405" s="3" t="s">
        <v>18</v>
      </c>
      <c r="I1405" s="3" t="s">
        <v>41</v>
      </c>
      <c r="J1405" s="3" t="s">
        <v>17</v>
      </c>
      <c r="K1405" s="3">
        <f>_xlfn.XLOOKUP(tbl_main[[#This Row],[Service]],tbl_service[Service],tbl_service[Price],"")</f>
        <v>500</v>
      </c>
      <c r="L1405" s="3">
        <v>2</v>
      </c>
      <c r="M1405" s="3">
        <f>IF(AND(tbl_main[[#This Row],[Price]]="",tbl_main[[#This Row],[Qty]]=""),"",tbl_main[[#This Row],[Price]]*tbl_main[[#This Row],[Qty]])</f>
        <v>1000</v>
      </c>
      <c r="N1405" s="3">
        <f>_xlfn.LET(_xlpm.x,_xlfn.XLOOKUP(tbl_main[[#This Row],[Service]],tbl_service[Service],tbl_service[Profit],""),
               IF(tbl_main[[#This Row],[Qty]]="","",_xlpm.x*tbl_main[[#This Row],[Qty]]))</f>
        <v>314</v>
      </c>
    </row>
    <row r="1406" spans="1:14" x14ac:dyDescent="0.25">
      <c r="A1406" t="s">
        <v>1448</v>
      </c>
      <c r="B1406" s="1">
        <v>46123</v>
      </c>
      <c r="C1406">
        <f>IF(tbl_main[[#This Row],[Date]]="","",YEAR(B1406))</f>
        <v>2026</v>
      </c>
      <c r="D1406" t="str">
        <f>IF(tbl_main[[#This Row],[Date]]="","",TEXT(B1406,"mmm"))</f>
        <v>Apr</v>
      </c>
      <c r="E1406" t="str">
        <f>IF(tbl_main[[#This Row],[Date]]="","",TEXT(B1406,"DDD"))</f>
        <v>Sat</v>
      </c>
      <c r="F1406" t="s">
        <v>20</v>
      </c>
      <c r="G1406" t="s">
        <v>29</v>
      </c>
      <c r="H1406" s="3" t="s">
        <v>22</v>
      </c>
      <c r="I1406" s="3" t="s">
        <v>41</v>
      </c>
      <c r="J1406" s="3" t="s">
        <v>25</v>
      </c>
      <c r="K1406" s="3">
        <f>_xlfn.XLOOKUP(tbl_main[[#This Row],[Service]],tbl_service[Service],tbl_service[Price],"")</f>
        <v>150</v>
      </c>
      <c r="L1406" s="3">
        <v>2</v>
      </c>
      <c r="M1406" s="3">
        <f>IF(AND(tbl_main[[#This Row],[Price]]="",tbl_main[[#This Row],[Qty]]=""),"",tbl_main[[#This Row],[Price]]*tbl_main[[#This Row],[Qty]])</f>
        <v>300</v>
      </c>
      <c r="N1406" s="3">
        <f>_xlfn.LET(_xlpm.x,_xlfn.XLOOKUP(tbl_main[[#This Row],[Service]],tbl_service[Service],tbl_service[Profit],""),
               IF(tbl_main[[#This Row],[Qty]]="","",_xlpm.x*tbl_main[[#This Row],[Qty]]))</f>
        <v>134</v>
      </c>
    </row>
    <row r="1407" spans="1:14" x14ac:dyDescent="0.25">
      <c r="A1407" t="s">
        <v>1449</v>
      </c>
      <c r="B1407" s="1">
        <v>46124</v>
      </c>
      <c r="C1407">
        <f>IF(tbl_main[[#This Row],[Date]]="","",YEAR(B1407))</f>
        <v>2026</v>
      </c>
      <c r="D1407" t="str">
        <f>IF(tbl_main[[#This Row],[Date]]="","",TEXT(B1407,"mmm"))</f>
        <v>Apr</v>
      </c>
      <c r="E1407" t="str">
        <f>IF(tbl_main[[#This Row],[Date]]="","",TEXT(B1407,"DDD"))</f>
        <v>Sun</v>
      </c>
      <c r="F1407" t="s">
        <v>30</v>
      </c>
      <c r="G1407" t="s">
        <v>36</v>
      </c>
      <c r="H1407" s="3" t="s">
        <v>26</v>
      </c>
      <c r="I1407" s="3" t="s">
        <v>35</v>
      </c>
      <c r="J1407" s="3" t="s">
        <v>25</v>
      </c>
      <c r="K1407" s="3">
        <f>_xlfn.XLOOKUP(tbl_main[[#This Row],[Service]],tbl_service[Service],tbl_service[Price],"")</f>
        <v>200</v>
      </c>
      <c r="L1407" s="3">
        <v>2</v>
      </c>
      <c r="M1407" s="3">
        <f>IF(AND(tbl_main[[#This Row],[Price]]="",tbl_main[[#This Row],[Qty]]=""),"",tbl_main[[#This Row],[Price]]*tbl_main[[#This Row],[Qty]])</f>
        <v>400</v>
      </c>
      <c r="N1407" s="3">
        <f>_xlfn.LET(_xlpm.x,_xlfn.XLOOKUP(tbl_main[[#This Row],[Service]],tbl_service[Service],tbl_service[Profit],""),
               IF(tbl_main[[#This Row],[Qty]]="","",_xlpm.x*tbl_main[[#This Row],[Qty]]))</f>
        <v>180</v>
      </c>
    </row>
    <row r="1408" spans="1:14" x14ac:dyDescent="0.25">
      <c r="A1408" t="s">
        <v>1450</v>
      </c>
      <c r="B1408" s="1">
        <v>46124</v>
      </c>
      <c r="C1408">
        <f>IF(tbl_main[[#This Row],[Date]]="","",YEAR(B1408))</f>
        <v>2026</v>
      </c>
      <c r="D1408" t="str">
        <f>IF(tbl_main[[#This Row],[Date]]="","",TEXT(B1408,"mmm"))</f>
        <v>Apr</v>
      </c>
      <c r="E1408" t="str">
        <f>IF(tbl_main[[#This Row],[Date]]="","",TEXT(B1408,"DDD"))</f>
        <v>Sun</v>
      </c>
      <c r="F1408" t="s">
        <v>27</v>
      </c>
      <c r="G1408" t="s">
        <v>28</v>
      </c>
      <c r="H1408" s="3" t="s">
        <v>26</v>
      </c>
      <c r="I1408" s="3" t="s">
        <v>35</v>
      </c>
      <c r="J1408" s="3" t="s">
        <v>17</v>
      </c>
      <c r="K1408" s="3">
        <f>_xlfn.XLOOKUP(tbl_main[[#This Row],[Service]],tbl_service[Service],tbl_service[Price],"")</f>
        <v>200</v>
      </c>
      <c r="L1408" s="3">
        <v>1</v>
      </c>
      <c r="M1408" s="3">
        <f>IF(AND(tbl_main[[#This Row],[Price]]="",tbl_main[[#This Row],[Qty]]=""),"",tbl_main[[#This Row],[Price]]*tbl_main[[#This Row],[Qty]])</f>
        <v>200</v>
      </c>
      <c r="N1408" s="3">
        <f>_xlfn.LET(_xlpm.x,_xlfn.XLOOKUP(tbl_main[[#This Row],[Service]],tbl_service[Service],tbl_service[Profit],""),
               IF(tbl_main[[#This Row],[Qty]]="","",_xlpm.x*tbl_main[[#This Row],[Qty]]))</f>
        <v>90</v>
      </c>
    </row>
    <row r="1409" spans="1:14" x14ac:dyDescent="0.25">
      <c r="A1409" t="s">
        <v>1451</v>
      </c>
      <c r="B1409" s="1">
        <v>46124</v>
      </c>
      <c r="C1409">
        <f>IF(tbl_main[[#This Row],[Date]]="","",YEAR(B1409))</f>
        <v>2026</v>
      </c>
      <c r="D1409" t="str">
        <f>IF(tbl_main[[#This Row],[Date]]="","",TEXT(B1409,"mmm"))</f>
        <v>Apr</v>
      </c>
      <c r="E1409" t="str">
        <f>IF(tbl_main[[#This Row],[Date]]="","",TEXT(B1409,"DDD"))</f>
        <v>Sun</v>
      </c>
      <c r="F1409" t="s">
        <v>30</v>
      </c>
      <c r="G1409" t="s">
        <v>31</v>
      </c>
      <c r="H1409" s="3" t="s">
        <v>18</v>
      </c>
      <c r="I1409" s="3" t="s">
        <v>23</v>
      </c>
      <c r="J1409" s="3" t="s">
        <v>25</v>
      </c>
      <c r="K1409" s="3">
        <f>_xlfn.XLOOKUP(tbl_main[[#This Row],[Service]],tbl_service[Service],tbl_service[Price],"")</f>
        <v>500</v>
      </c>
      <c r="L1409" s="3">
        <v>2</v>
      </c>
      <c r="M1409" s="3">
        <f>IF(AND(tbl_main[[#This Row],[Price]]="",tbl_main[[#This Row],[Qty]]=""),"",tbl_main[[#This Row],[Price]]*tbl_main[[#This Row],[Qty]])</f>
        <v>1000</v>
      </c>
      <c r="N1409" s="3">
        <f>_xlfn.LET(_xlpm.x,_xlfn.XLOOKUP(tbl_main[[#This Row],[Service]],tbl_service[Service],tbl_service[Profit],""),
               IF(tbl_main[[#This Row],[Qty]]="","",_xlpm.x*tbl_main[[#This Row],[Qty]]))</f>
        <v>314</v>
      </c>
    </row>
    <row r="1410" spans="1:14" x14ac:dyDescent="0.25">
      <c r="A1410" t="s">
        <v>1452</v>
      </c>
      <c r="B1410" s="1">
        <v>46124</v>
      </c>
      <c r="C1410">
        <f>IF(tbl_main[[#This Row],[Date]]="","",YEAR(B1410))</f>
        <v>2026</v>
      </c>
      <c r="D1410" t="str">
        <f>IF(tbl_main[[#This Row],[Date]]="","",TEXT(B1410,"mmm"))</f>
        <v>Apr</v>
      </c>
      <c r="E1410" t="str">
        <f>IF(tbl_main[[#This Row],[Date]]="","",TEXT(B1410,"DDD"))</f>
        <v>Sun</v>
      </c>
      <c r="F1410" t="s">
        <v>13</v>
      </c>
      <c r="G1410" t="s">
        <v>14</v>
      </c>
      <c r="H1410" s="3" t="s">
        <v>15</v>
      </c>
      <c r="I1410" s="3" t="s">
        <v>37</v>
      </c>
      <c r="J1410" s="3" t="s">
        <v>17</v>
      </c>
      <c r="K1410" s="3">
        <f>_xlfn.XLOOKUP(tbl_main[[#This Row],[Service]],tbl_service[Service],tbl_service[Price],"")</f>
        <v>500</v>
      </c>
      <c r="L1410" s="3">
        <v>2</v>
      </c>
      <c r="M1410" s="3">
        <f>IF(AND(tbl_main[[#This Row],[Price]]="",tbl_main[[#This Row],[Qty]]=""),"",tbl_main[[#This Row],[Price]]*tbl_main[[#This Row],[Qty]])</f>
        <v>1000</v>
      </c>
      <c r="N1410" s="3">
        <f>_xlfn.LET(_xlpm.x,_xlfn.XLOOKUP(tbl_main[[#This Row],[Service]],tbl_service[Service],tbl_service[Profit],""),
               IF(tbl_main[[#This Row],[Qty]]="","",_xlpm.x*tbl_main[[#This Row],[Qty]]))</f>
        <v>450</v>
      </c>
    </row>
    <row r="1411" spans="1:14" x14ac:dyDescent="0.25">
      <c r="A1411" t="s">
        <v>1453</v>
      </c>
      <c r="B1411" s="1">
        <v>46125</v>
      </c>
      <c r="C1411">
        <f>IF(tbl_main[[#This Row],[Date]]="","",YEAR(B1411))</f>
        <v>2026</v>
      </c>
      <c r="D1411" t="str">
        <f>IF(tbl_main[[#This Row],[Date]]="","",TEXT(B1411,"mmm"))</f>
        <v>Apr</v>
      </c>
      <c r="E1411" t="str">
        <f>IF(tbl_main[[#This Row],[Date]]="","",TEXT(B1411,"DDD"))</f>
        <v>Mon</v>
      </c>
      <c r="F1411" t="s">
        <v>20</v>
      </c>
      <c r="G1411" t="s">
        <v>39</v>
      </c>
      <c r="H1411" s="3" t="s">
        <v>24</v>
      </c>
      <c r="I1411" s="3" t="s">
        <v>38</v>
      </c>
      <c r="J1411" s="3" t="s">
        <v>32</v>
      </c>
      <c r="K1411" s="3">
        <f>_xlfn.XLOOKUP(tbl_main[[#This Row],[Service]],tbl_service[Service],tbl_service[Price],"")</f>
        <v>80</v>
      </c>
      <c r="L1411" s="3">
        <v>2</v>
      </c>
      <c r="M1411" s="3">
        <f>IF(AND(tbl_main[[#This Row],[Price]]="",tbl_main[[#This Row],[Qty]]=""),"",tbl_main[[#This Row],[Price]]*tbl_main[[#This Row],[Qty]])</f>
        <v>160</v>
      </c>
      <c r="N1411" s="3">
        <f>_xlfn.LET(_xlpm.x,_xlfn.XLOOKUP(tbl_main[[#This Row],[Service]],tbl_service[Service],tbl_service[Profit],""),
               IF(tbl_main[[#This Row],[Qty]]="","",_xlpm.x*tbl_main[[#This Row],[Qty]]))</f>
        <v>72</v>
      </c>
    </row>
    <row r="1412" spans="1:14" x14ac:dyDescent="0.25">
      <c r="A1412" t="s">
        <v>1454</v>
      </c>
      <c r="B1412" s="1">
        <v>46125</v>
      </c>
      <c r="C1412">
        <f>IF(tbl_main[[#This Row],[Date]]="","",YEAR(B1412))</f>
        <v>2026</v>
      </c>
      <c r="D1412" t="str">
        <f>IF(tbl_main[[#This Row],[Date]]="","",TEXT(B1412,"mmm"))</f>
        <v>Apr</v>
      </c>
      <c r="E1412" t="str">
        <f>IF(tbl_main[[#This Row],[Date]]="","",TEXT(B1412,"DDD"))</f>
        <v>Mon</v>
      </c>
      <c r="F1412" t="s">
        <v>20</v>
      </c>
      <c r="G1412" t="s">
        <v>29</v>
      </c>
      <c r="H1412" s="3" t="s">
        <v>18</v>
      </c>
      <c r="I1412" s="3" t="s">
        <v>16</v>
      </c>
      <c r="J1412" s="3" t="s">
        <v>25</v>
      </c>
      <c r="K1412" s="3">
        <f>_xlfn.XLOOKUP(tbl_main[[#This Row],[Service]],tbl_service[Service],tbl_service[Price],"")</f>
        <v>500</v>
      </c>
      <c r="L1412" s="3">
        <v>1</v>
      </c>
      <c r="M1412" s="3">
        <f>IF(AND(tbl_main[[#This Row],[Price]]="",tbl_main[[#This Row],[Qty]]=""),"",tbl_main[[#This Row],[Price]]*tbl_main[[#This Row],[Qty]])</f>
        <v>500</v>
      </c>
      <c r="N1412" s="3">
        <f>_xlfn.LET(_xlpm.x,_xlfn.XLOOKUP(tbl_main[[#This Row],[Service]],tbl_service[Service],tbl_service[Profit],""),
               IF(tbl_main[[#This Row],[Qty]]="","",_xlpm.x*tbl_main[[#This Row],[Qty]]))</f>
        <v>157</v>
      </c>
    </row>
    <row r="1413" spans="1:14" x14ac:dyDescent="0.25">
      <c r="A1413" t="s">
        <v>1455</v>
      </c>
      <c r="B1413" s="1">
        <v>46126</v>
      </c>
      <c r="C1413">
        <f>IF(tbl_main[[#This Row],[Date]]="","",YEAR(B1413))</f>
        <v>2026</v>
      </c>
      <c r="D1413" t="str">
        <f>IF(tbl_main[[#This Row],[Date]]="","",TEXT(B1413,"mmm"))</f>
        <v>Apr</v>
      </c>
      <c r="E1413" t="str">
        <f>IF(tbl_main[[#This Row],[Date]]="","",TEXT(B1413,"DDD"))</f>
        <v>Tue</v>
      </c>
      <c r="F1413" t="s">
        <v>30</v>
      </c>
      <c r="G1413" t="s">
        <v>31</v>
      </c>
      <c r="H1413" s="3" t="s">
        <v>15</v>
      </c>
      <c r="I1413" s="3" t="s">
        <v>19</v>
      </c>
      <c r="J1413" s="3" t="s">
        <v>25</v>
      </c>
      <c r="K1413" s="3">
        <f>_xlfn.XLOOKUP(tbl_main[[#This Row],[Service]],tbl_service[Service],tbl_service[Price],"")</f>
        <v>500</v>
      </c>
      <c r="L1413" s="3">
        <v>1</v>
      </c>
      <c r="M1413" s="3">
        <f>IF(AND(tbl_main[[#This Row],[Price]]="",tbl_main[[#This Row],[Qty]]=""),"",tbl_main[[#This Row],[Price]]*tbl_main[[#This Row],[Qty]])</f>
        <v>500</v>
      </c>
      <c r="N1413" s="3">
        <f>_xlfn.LET(_xlpm.x,_xlfn.XLOOKUP(tbl_main[[#This Row],[Service]],tbl_service[Service],tbl_service[Profit],""),
               IF(tbl_main[[#This Row],[Qty]]="","",_xlpm.x*tbl_main[[#This Row],[Qty]]))</f>
        <v>225</v>
      </c>
    </row>
    <row r="1414" spans="1:14" x14ac:dyDescent="0.25">
      <c r="A1414" t="s">
        <v>1456</v>
      </c>
      <c r="B1414" s="1">
        <v>46126</v>
      </c>
      <c r="C1414">
        <f>IF(tbl_main[[#This Row],[Date]]="","",YEAR(B1414))</f>
        <v>2026</v>
      </c>
      <c r="D1414" t="str">
        <f>IF(tbl_main[[#This Row],[Date]]="","",TEXT(B1414,"mmm"))</f>
        <v>Apr</v>
      </c>
      <c r="E1414" t="str">
        <f>IF(tbl_main[[#This Row],[Date]]="","",TEXT(B1414,"DDD"))</f>
        <v>Tue</v>
      </c>
      <c r="F1414" t="s">
        <v>20</v>
      </c>
      <c r="G1414" t="s">
        <v>21</v>
      </c>
      <c r="H1414" s="3" t="s">
        <v>26</v>
      </c>
      <c r="I1414" s="3" t="s">
        <v>43</v>
      </c>
      <c r="J1414" s="3" t="s">
        <v>25</v>
      </c>
      <c r="K1414" s="3">
        <f>_xlfn.XLOOKUP(tbl_main[[#This Row],[Service]],tbl_service[Service],tbl_service[Price],"")</f>
        <v>200</v>
      </c>
      <c r="L1414" s="3">
        <v>2</v>
      </c>
      <c r="M1414" s="3">
        <f>IF(AND(tbl_main[[#This Row],[Price]]="",tbl_main[[#This Row],[Qty]]=""),"",tbl_main[[#This Row],[Price]]*tbl_main[[#This Row],[Qty]])</f>
        <v>400</v>
      </c>
      <c r="N1414" s="3">
        <f>_xlfn.LET(_xlpm.x,_xlfn.XLOOKUP(tbl_main[[#This Row],[Service]],tbl_service[Service],tbl_service[Profit],""),
               IF(tbl_main[[#This Row],[Qty]]="","",_xlpm.x*tbl_main[[#This Row],[Qty]]))</f>
        <v>180</v>
      </c>
    </row>
    <row r="1415" spans="1:14" x14ac:dyDescent="0.25">
      <c r="A1415" t="s">
        <v>1457</v>
      </c>
      <c r="B1415" s="1">
        <v>46126</v>
      </c>
      <c r="C1415">
        <f>IF(tbl_main[[#This Row],[Date]]="","",YEAR(B1415))</f>
        <v>2026</v>
      </c>
      <c r="D1415" t="str">
        <f>IF(tbl_main[[#This Row],[Date]]="","",TEXT(B1415,"mmm"))</f>
        <v>Apr</v>
      </c>
      <c r="E1415" t="str">
        <f>IF(tbl_main[[#This Row],[Date]]="","",TEXT(B1415,"DDD"))</f>
        <v>Tue</v>
      </c>
      <c r="F1415" t="s">
        <v>27</v>
      </c>
      <c r="G1415" t="s">
        <v>28</v>
      </c>
      <c r="H1415" s="3" t="s">
        <v>22</v>
      </c>
      <c r="I1415" s="3" t="s">
        <v>41</v>
      </c>
      <c r="J1415" s="3" t="s">
        <v>32</v>
      </c>
      <c r="K1415" s="3">
        <f>_xlfn.XLOOKUP(tbl_main[[#This Row],[Service]],tbl_service[Service],tbl_service[Price],"")</f>
        <v>150</v>
      </c>
      <c r="L1415" s="3">
        <v>2</v>
      </c>
      <c r="M1415" s="3">
        <f>IF(AND(tbl_main[[#This Row],[Price]]="",tbl_main[[#This Row],[Qty]]=""),"",tbl_main[[#This Row],[Price]]*tbl_main[[#This Row],[Qty]])</f>
        <v>300</v>
      </c>
      <c r="N1415" s="3">
        <f>_xlfn.LET(_xlpm.x,_xlfn.XLOOKUP(tbl_main[[#This Row],[Service]],tbl_service[Service],tbl_service[Profit],""),
               IF(tbl_main[[#This Row],[Qty]]="","",_xlpm.x*tbl_main[[#This Row],[Qty]]))</f>
        <v>134</v>
      </c>
    </row>
    <row r="1416" spans="1:14" x14ac:dyDescent="0.25">
      <c r="A1416" t="s">
        <v>1458</v>
      </c>
      <c r="B1416" s="1">
        <v>46127</v>
      </c>
      <c r="C1416">
        <f>IF(tbl_main[[#This Row],[Date]]="","",YEAR(B1416))</f>
        <v>2026</v>
      </c>
      <c r="D1416" t="str">
        <f>IF(tbl_main[[#This Row],[Date]]="","",TEXT(B1416,"mmm"))</f>
        <v>Apr</v>
      </c>
      <c r="E1416" t="str">
        <f>IF(tbl_main[[#This Row],[Date]]="","",TEXT(B1416,"DDD"))</f>
        <v>Wed</v>
      </c>
      <c r="F1416" t="s">
        <v>13</v>
      </c>
      <c r="G1416" t="s">
        <v>14</v>
      </c>
      <c r="H1416" s="3" t="s">
        <v>24</v>
      </c>
      <c r="I1416" s="3" t="s">
        <v>41</v>
      </c>
      <c r="J1416" s="3" t="s">
        <v>17</v>
      </c>
      <c r="K1416" s="3">
        <f>_xlfn.XLOOKUP(tbl_main[[#This Row],[Service]],tbl_service[Service],tbl_service[Price],"")</f>
        <v>80</v>
      </c>
      <c r="L1416" s="3">
        <v>1</v>
      </c>
      <c r="M1416" s="3">
        <f>IF(AND(tbl_main[[#This Row],[Price]]="",tbl_main[[#This Row],[Qty]]=""),"",tbl_main[[#This Row],[Price]]*tbl_main[[#This Row],[Qty]])</f>
        <v>80</v>
      </c>
      <c r="N1416" s="3">
        <f>_xlfn.LET(_xlpm.x,_xlfn.XLOOKUP(tbl_main[[#This Row],[Service]],tbl_service[Service],tbl_service[Profit],""),
               IF(tbl_main[[#This Row],[Qty]]="","",_xlpm.x*tbl_main[[#This Row],[Qty]]))</f>
        <v>36</v>
      </c>
    </row>
    <row r="1417" spans="1:14" x14ac:dyDescent="0.25">
      <c r="A1417" t="s">
        <v>1459</v>
      </c>
      <c r="B1417" s="1">
        <v>46127</v>
      </c>
      <c r="C1417">
        <f>IF(tbl_main[[#This Row],[Date]]="","",YEAR(B1417))</f>
        <v>2026</v>
      </c>
      <c r="D1417" t="str">
        <f>IF(tbl_main[[#This Row],[Date]]="","",TEXT(B1417,"mmm"))</f>
        <v>Apr</v>
      </c>
      <c r="E1417" t="str">
        <f>IF(tbl_main[[#This Row],[Date]]="","",TEXT(B1417,"DDD"))</f>
        <v>Wed</v>
      </c>
      <c r="F1417" t="s">
        <v>13</v>
      </c>
      <c r="G1417" t="s">
        <v>33</v>
      </c>
      <c r="H1417" s="3" t="s">
        <v>22</v>
      </c>
      <c r="I1417" s="3" t="s">
        <v>35</v>
      </c>
      <c r="J1417" s="3" t="s">
        <v>32</v>
      </c>
      <c r="K1417" s="3">
        <f>_xlfn.XLOOKUP(tbl_main[[#This Row],[Service]],tbl_service[Service],tbl_service[Price],"")</f>
        <v>150</v>
      </c>
      <c r="L1417" s="3">
        <v>1</v>
      </c>
      <c r="M1417" s="3">
        <f>IF(AND(tbl_main[[#This Row],[Price]]="",tbl_main[[#This Row],[Qty]]=""),"",tbl_main[[#This Row],[Price]]*tbl_main[[#This Row],[Qty]])</f>
        <v>150</v>
      </c>
      <c r="N1417" s="3">
        <f>_xlfn.LET(_xlpm.x,_xlfn.XLOOKUP(tbl_main[[#This Row],[Service]],tbl_service[Service],tbl_service[Profit],""),
               IF(tbl_main[[#This Row],[Qty]]="","",_xlpm.x*tbl_main[[#This Row],[Qty]]))</f>
        <v>67</v>
      </c>
    </row>
    <row r="1418" spans="1:14" x14ac:dyDescent="0.25">
      <c r="A1418" t="s">
        <v>1460</v>
      </c>
      <c r="B1418" s="1">
        <v>46127</v>
      </c>
      <c r="C1418">
        <f>IF(tbl_main[[#This Row],[Date]]="","",YEAR(B1418))</f>
        <v>2026</v>
      </c>
      <c r="D1418" t="str">
        <f>IF(tbl_main[[#This Row],[Date]]="","",TEXT(B1418,"mmm"))</f>
        <v>Apr</v>
      </c>
      <c r="E1418" t="str">
        <f>IF(tbl_main[[#This Row],[Date]]="","",TEXT(B1418,"DDD"))</f>
        <v>Wed</v>
      </c>
      <c r="F1418" t="s">
        <v>30</v>
      </c>
      <c r="G1418" t="s">
        <v>36</v>
      </c>
      <c r="H1418" s="3" t="s">
        <v>18</v>
      </c>
      <c r="I1418" s="3" t="s">
        <v>35</v>
      </c>
      <c r="J1418" s="3" t="s">
        <v>32</v>
      </c>
      <c r="K1418" s="3">
        <f>_xlfn.XLOOKUP(tbl_main[[#This Row],[Service]],tbl_service[Service],tbl_service[Price],"")</f>
        <v>500</v>
      </c>
      <c r="L1418" s="3">
        <v>1</v>
      </c>
      <c r="M1418" s="3">
        <f>IF(AND(tbl_main[[#This Row],[Price]]="",tbl_main[[#This Row],[Qty]]=""),"",tbl_main[[#This Row],[Price]]*tbl_main[[#This Row],[Qty]])</f>
        <v>500</v>
      </c>
      <c r="N1418" s="3">
        <f>_xlfn.LET(_xlpm.x,_xlfn.XLOOKUP(tbl_main[[#This Row],[Service]],tbl_service[Service],tbl_service[Profit],""),
               IF(tbl_main[[#This Row],[Qty]]="","",_xlpm.x*tbl_main[[#This Row],[Qty]]))</f>
        <v>157</v>
      </c>
    </row>
    <row r="1419" spans="1:14" x14ac:dyDescent="0.25">
      <c r="A1419" t="s">
        <v>1461</v>
      </c>
      <c r="B1419" s="1">
        <v>46128</v>
      </c>
      <c r="C1419">
        <f>IF(tbl_main[[#This Row],[Date]]="","",YEAR(B1419))</f>
        <v>2026</v>
      </c>
      <c r="D1419" t="str">
        <f>IF(tbl_main[[#This Row],[Date]]="","",TEXT(B1419,"mmm"))</f>
        <v>Apr</v>
      </c>
      <c r="E1419" t="str">
        <f>IF(tbl_main[[#This Row],[Date]]="","",TEXT(B1419,"DDD"))</f>
        <v>Thu</v>
      </c>
      <c r="F1419" t="s">
        <v>13</v>
      </c>
      <c r="G1419" t="s">
        <v>14</v>
      </c>
      <c r="H1419" s="3" t="s">
        <v>22</v>
      </c>
      <c r="I1419" s="3" t="s">
        <v>23</v>
      </c>
      <c r="J1419" s="3" t="s">
        <v>17</v>
      </c>
      <c r="K1419" s="3">
        <f>_xlfn.XLOOKUP(tbl_main[[#This Row],[Service]],tbl_service[Service],tbl_service[Price],"")</f>
        <v>150</v>
      </c>
      <c r="L1419" s="3">
        <v>2</v>
      </c>
      <c r="M1419" s="3">
        <f>IF(AND(tbl_main[[#This Row],[Price]]="",tbl_main[[#This Row],[Qty]]=""),"",tbl_main[[#This Row],[Price]]*tbl_main[[#This Row],[Qty]])</f>
        <v>300</v>
      </c>
      <c r="N1419" s="3">
        <f>_xlfn.LET(_xlpm.x,_xlfn.XLOOKUP(tbl_main[[#This Row],[Service]],tbl_service[Service],tbl_service[Profit],""),
               IF(tbl_main[[#This Row],[Qty]]="","",_xlpm.x*tbl_main[[#This Row],[Qty]]))</f>
        <v>134</v>
      </c>
    </row>
    <row r="1420" spans="1:14" x14ac:dyDescent="0.25">
      <c r="A1420" t="s">
        <v>1462</v>
      </c>
      <c r="B1420" s="1">
        <v>46128</v>
      </c>
      <c r="C1420">
        <f>IF(tbl_main[[#This Row],[Date]]="","",YEAR(B1420))</f>
        <v>2026</v>
      </c>
      <c r="D1420" t="str">
        <f>IF(tbl_main[[#This Row],[Date]]="","",TEXT(B1420,"mmm"))</f>
        <v>Apr</v>
      </c>
      <c r="E1420" t="str">
        <f>IF(tbl_main[[#This Row],[Date]]="","",TEXT(B1420,"DDD"))</f>
        <v>Thu</v>
      </c>
      <c r="F1420" t="s">
        <v>13</v>
      </c>
      <c r="G1420" t="s">
        <v>33</v>
      </c>
      <c r="H1420" s="3" t="s">
        <v>15</v>
      </c>
      <c r="I1420" s="3" t="s">
        <v>37</v>
      </c>
      <c r="J1420" s="3" t="s">
        <v>32</v>
      </c>
      <c r="K1420" s="3">
        <f>_xlfn.XLOOKUP(tbl_main[[#This Row],[Service]],tbl_service[Service],tbl_service[Price],"")</f>
        <v>500</v>
      </c>
      <c r="L1420" s="3">
        <v>1</v>
      </c>
      <c r="M1420" s="3">
        <f>IF(AND(tbl_main[[#This Row],[Price]]="",tbl_main[[#This Row],[Qty]]=""),"",tbl_main[[#This Row],[Price]]*tbl_main[[#This Row],[Qty]])</f>
        <v>500</v>
      </c>
      <c r="N1420" s="3">
        <f>_xlfn.LET(_xlpm.x,_xlfn.XLOOKUP(tbl_main[[#This Row],[Service]],tbl_service[Service],tbl_service[Profit],""),
               IF(tbl_main[[#This Row],[Qty]]="","",_xlpm.x*tbl_main[[#This Row],[Qty]]))</f>
        <v>225</v>
      </c>
    </row>
    <row r="1421" spans="1:14" x14ac:dyDescent="0.25">
      <c r="A1421" t="s">
        <v>1463</v>
      </c>
      <c r="B1421" s="1">
        <v>46129</v>
      </c>
      <c r="C1421">
        <f>IF(tbl_main[[#This Row],[Date]]="","",YEAR(B1421))</f>
        <v>2026</v>
      </c>
      <c r="D1421" t="str">
        <f>IF(tbl_main[[#This Row],[Date]]="","",TEXT(B1421,"mmm"))</f>
        <v>Apr</v>
      </c>
      <c r="E1421" t="str">
        <f>IF(tbl_main[[#This Row],[Date]]="","",TEXT(B1421,"DDD"))</f>
        <v>Fri</v>
      </c>
      <c r="F1421" t="s">
        <v>30</v>
      </c>
      <c r="G1421" t="s">
        <v>36</v>
      </c>
      <c r="H1421" s="3" t="s">
        <v>22</v>
      </c>
      <c r="I1421" s="3" t="s">
        <v>38</v>
      </c>
      <c r="J1421" s="3" t="s">
        <v>17</v>
      </c>
      <c r="K1421" s="3">
        <f>_xlfn.XLOOKUP(tbl_main[[#This Row],[Service]],tbl_service[Service],tbl_service[Price],"")</f>
        <v>150</v>
      </c>
      <c r="L1421" s="3">
        <v>1</v>
      </c>
      <c r="M1421" s="3">
        <f>IF(AND(tbl_main[[#This Row],[Price]]="",tbl_main[[#This Row],[Qty]]=""),"",tbl_main[[#This Row],[Price]]*tbl_main[[#This Row],[Qty]])</f>
        <v>150</v>
      </c>
      <c r="N1421" s="3">
        <f>_xlfn.LET(_xlpm.x,_xlfn.XLOOKUP(tbl_main[[#This Row],[Service]],tbl_service[Service],tbl_service[Profit],""),
               IF(tbl_main[[#This Row],[Qty]]="","",_xlpm.x*tbl_main[[#This Row],[Qty]]))</f>
        <v>67</v>
      </c>
    </row>
    <row r="1422" spans="1:14" x14ac:dyDescent="0.25">
      <c r="A1422" t="s">
        <v>1464</v>
      </c>
      <c r="B1422" s="1">
        <v>46129</v>
      </c>
      <c r="C1422">
        <f>IF(tbl_main[[#This Row],[Date]]="","",YEAR(B1422))</f>
        <v>2026</v>
      </c>
      <c r="D1422" t="str">
        <f>IF(tbl_main[[#This Row],[Date]]="","",TEXT(B1422,"mmm"))</f>
        <v>Apr</v>
      </c>
      <c r="E1422" t="str">
        <f>IF(tbl_main[[#This Row],[Date]]="","",TEXT(B1422,"DDD"))</f>
        <v>Fri</v>
      </c>
      <c r="F1422" t="s">
        <v>13</v>
      </c>
      <c r="G1422" t="s">
        <v>14</v>
      </c>
      <c r="H1422" s="3" t="s">
        <v>34</v>
      </c>
      <c r="I1422" s="3" t="s">
        <v>16</v>
      </c>
      <c r="J1422" s="3" t="s">
        <v>25</v>
      </c>
      <c r="K1422" s="3">
        <f>_xlfn.XLOOKUP(tbl_main[[#This Row],[Service]],tbl_service[Service],tbl_service[Price],"")</f>
        <v>100</v>
      </c>
      <c r="L1422" s="3">
        <v>1</v>
      </c>
      <c r="M1422" s="3">
        <f>IF(AND(tbl_main[[#This Row],[Price]]="",tbl_main[[#This Row],[Qty]]=""),"",tbl_main[[#This Row],[Price]]*tbl_main[[#This Row],[Qty]])</f>
        <v>100</v>
      </c>
      <c r="N1422" s="3">
        <f>_xlfn.LET(_xlpm.x,_xlfn.XLOOKUP(tbl_main[[#This Row],[Service]],tbl_service[Service],tbl_service[Profit],""),
               IF(tbl_main[[#This Row],[Qty]]="","",_xlpm.x*tbl_main[[#This Row],[Qty]]))</f>
        <v>45</v>
      </c>
    </row>
    <row r="1423" spans="1:14" x14ac:dyDescent="0.25">
      <c r="A1423" t="s">
        <v>1465</v>
      </c>
      <c r="B1423" s="1">
        <v>46130</v>
      </c>
      <c r="C1423">
        <f>IF(tbl_main[[#This Row],[Date]]="","",YEAR(B1423))</f>
        <v>2026</v>
      </c>
      <c r="D1423" t="str">
        <f>IF(tbl_main[[#This Row],[Date]]="","",TEXT(B1423,"mmm"))</f>
        <v>Apr</v>
      </c>
      <c r="E1423" t="str">
        <f>IF(tbl_main[[#This Row],[Date]]="","",TEXT(B1423,"DDD"))</f>
        <v>Sat</v>
      </c>
      <c r="F1423" t="s">
        <v>13</v>
      </c>
      <c r="G1423" t="s">
        <v>33</v>
      </c>
      <c r="H1423" s="3" t="s">
        <v>15</v>
      </c>
      <c r="I1423" s="3" t="s">
        <v>19</v>
      </c>
      <c r="J1423" s="3" t="s">
        <v>17</v>
      </c>
      <c r="K1423" s="3">
        <f>_xlfn.XLOOKUP(tbl_main[[#This Row],[Service]],tbl_service[Service],tbl_service[Price],"")</f>
        <v>500</v>
      </c>
      <c r="L1423" s="3">
        <v>2</v>
      </c>
      <c r="M1423" s="3">
        <f>IF(AND(tbl_main[[#This Row],[Price]]="",tbl_main[[#This Row],[Qty]]=""),"",tbl_main[[#This Row],[Price]]*tbl_main[[#This Row],[Qty]])</f>
        <v>1000</v>
      </c>
      <c r="N1423" s="3">
        <f>_xlfn.LET(_xlpm.x,_xlfn.XLOOKUP(tbl_main[[#This Row],[Service]],tbl_service[Service],tbl_service[Profit],""),
               IF(tbl_main[[#This Row],[Qty]]="","",_xlpm.x*tbl_main[[#This Row],[Qty]]))</f>
        <v>450</v>
      </c>
    </row>
    <row r="1424" spans="1:14" x14ac:dyDescent="0.25">
      <c r="A1424" t="s">
        <v>1466</v>
      </c>
      <c r="B1424" s="1">
        <v>46130</v>
      </c>
      <c r="C1424">
        <f>IF(tbl_main[[#This Row],[Date]]="","",YEAR(B1424))</f>
        <v>2026</v>
      </c>
      <c r="D1424" t="str">
        <f>IF(tbl_main[[#This Row],[Date]]="","",TEXT(B1424,"mmm"))</f>
        <v>Apr</v>
      </c>
      <c r="E1424" t="str">
        <f>IF(tbl_main[[#This Row],[Date]]="","",TEXT(B1424,"DDD"))</f>
        <v>Sat</v>
      </c>
      <c r="F1424" t="s">
        <v>20</v>
      </c>
      <c r="G1424" t="s">
        <v>29</v>
      </c>
      <c r="H1424" s="3" t="s">
        <v>26</v>
      </c>
      <c r="I1424" s="3" t="s">
        <v>43</v>
      </c>
      <c r="J1424" s="3" t="s">
        <v>25</v>
      </c>
      <c r="K1424" s="3">
        <f>_xlfn.XLOOKUP(tbl_main[[#This Row],[Service]],tbl_service[Service],tbl_service[Price],"")</f>
        <v>200</v>
      </c>
      <c r="L1424" s="3">
        <v>2</v>
      </c>
      <c r="M1424" s="3">
        <f>IF(AND(tbl_main[[#This Row],[Price]]="",tbl_main[[#This Row],[Qty]]=""),"",tbl_main[[#This Row],[Price]]*tbl_main[[#This Row],[Qty]])</f>
        <v>400</v>
      </c>
      <c r="N1424" s="3">
        <f>_xlfn.LET(_xlpm.x,_xlfn.XLOOKUP(tbl_main[[#This Row],[Service]],tbl_service[Service],tbl_service[Profit],""),
               IF(tbl_main[[#This Row],[Qty]]="","",_xlpm.x*tbl_main[[#This Row],[Qty]]))</f>
        <v>180</v>
      </c>
    </row>
    <row r="1425" spans="1:14" x14ac:dyDescent="0.25">
      <c r="A1425" t="s">
        <v>1467</v>
      </c>
      <c r="B1425" s="1">
        <v>46131</v>
      </c>
      <c r="C1425">
        <f>IF(tbl_main[[#This Row],[Date]]="","",YEAR(B1425))</f>
        <v>2026</v>
      </c>
      <c r="D1425" t="str">
        <f>IF(tbl_main[[#This Row],[Date]]="","",TEXT(B1425,"mmm"))</f>
        <v>Apr</v>
      </c>
      <c r="E1425" t="str">
        <f>IF(tbl_main[[#This Row],[Date]]="","",TEXT(B1425,"DDD"))</f>
        <v>Sun</v>
      </c>
      <c r="F1425" t="s">
        <v>20</v>
      </c>
      <c r="G1425" t="s">
        <v>39</v>
      </c>
      <c r="H1425" s="3" t="s">
        <v>34</v>
      </c>
      <c r="I1425" s="3" t="s">
        <v>41</v>
      </c>
      <c r="J1425" s="3" t="s">
        <v>17</v>
      </c>
      <c r="K1425" s="3">
        <f>_xlfn.XLOOKUP(tbl_main[[#This Row],[Service]],tbl_service[Service],tbl_service[Price],"")</f>
        <v>100</v>
      </c>
      <c r="L1425" s="3">
        <v>2</v>
      </c>
      <c r="M1425" s="3">
        <f>IF(AND(tbl_main[[#This Row],[Price]]="",tbl_main[[#This Row],[Qty]]=""),"",tbl_main[[#This Row],[Price]]*tbl_main[[#This Row],[Qty]])</f>
        <v>200</v>
      </c>
      <c r="N1425" s="3">
        <f>_xlfn.LET(_xlpm.x,_xlfn.XLOOKUP(tbl_main[[#This Row],[Service]],tbl_service[Service],tbl_service[Profit],""),
               IF(tbl_main[[#This Row],[Qty]]="","",_xlpm.x*tbl_main[[#This Row],[Qty]]))</f>
        <v>90</v>
      </c>
    </row>
    <row r="1426" spans="1:14" x14ac:dyDescent="0.25">
      <c r="A1426" t="s">
        <v>1468</v>
      </c>
      <c r="B1426" s="1">
        <v>46131</v>
      </c>
      <c r="C1426">
        <f>IF(tbl_main[[#This Row],[Date]]="","",YEAR(B1426))</f>
        <v>2026</v>
      </c>
      <c r="D1426" t="str">
        <f>IF(tbl_main[[#This Row],[Date]]="","",TEXT(B1426,"mmm"))</f>
        <v>Apr</v>
      </c>
      <c r="E1426" t="str">
        <f>IF(tbl_main[[#This Row],[Date]]="","",TEXT(B1426,"DDD"))</f>
        <v>Sun</v>
      </c>
      <c r="F1426" t="s">
        <v>20</v>
      </c>
      <c r="G1426" t="s">
        <v>39</v>
      </c>
      <c r="H1426" s="3" t="s">
        <v>24</v>
      </c>
      <c r="I1426" s="3" t="s">
        <v>41</v>
      </c>
      <c r="J1426" s="3" t="s">
        <v>17</v>
      </c>
      <c r="K1426" s="3">
        <f>_xlfn.XLOOKUP(tbl_main[[#This Row],[Service]],tbl_service[Service],tbl_service[Price],"")</f>
        <v>80</v>
      </c>
      <c r="L1426" s="3">
        <v>2</v>
      </c>
      <c r="M1426" s="3">
        <f>IF(AND(tbl_main[[#This Row],[Price]]="",tbl_main[[#This Row],[Qty]]=""),"",tbl_main[[#This Row],[Price]]*tbl_main[[#This Row],[Qty]])</f>
        <v>160</v>
      </c>
      <c r="N1426" s="3">
        <f>_xlfn.LET(_xlpm.x,_xlfn.XLOOKUP(tbl_main[[#This Row],[Service]],tbl_service[Service],tbl_service[Profit],""),
               IF(tbl_main[[#This Row],[Qty]]="","",_xlpm.x*tbl_main[[#This Row],[Qty]]))</f>
        <v>72</v>
      </c>
    </row>
    <row r="1427" spans="1:14" x14ac:dyDescent="0.25">
      <c r="A1427" t="s">
        <v>1469</v>
      </c>
      <c r="B1427" s="1">
        <v>46131</v>
      </c>
      <c r="C1427">
        <f>IF(tbl_main[[#This Row],[Date]]="","",YEAR(B1427))</f>
        <v>2026</v>
      </c>
      <c r="D1427" t="str">
        <f>IF(tbl_main[[#This Row],[Date]]="","",TEXT(B1427,"mmm"))</f>
        <v>Apr</v>
      </c>
      <c r="E1427" t="str">
        <f>IF(tbl_main[[#This Row],[Date]]="","",TEXT(B1427,"DDD"))</f>
        <v>Sun</v>
      </c>
      <c r="F1427" t="s">
        <v>27</v>
      </c>
      <c r="G1427" t="s">
        <v>40</v>
      </c>
      <c r="H1427" s="3" t="s">
        <v>15</v>
      </c>
      <c r="I1427" s="3" t="s">
        <v>35</v>
      </c>
      <c r="J1427" s="3" t="s">
        <v>25</v>
      </c>
      <c r="K1427" s="3">
        <f>_xlfn.XLOOKUP(tbl_main[[#This Row],[Service]],tbl_service[Service],tbl_service[Price],"")</f>
        <v>500</v>
      </c>
      <c r="L1427" s="3">
        <v>1</v>
      </c>
      <c r="M1427" s="3">
        <f>IF(AND(tbl_main[[#This Row],[Price]]="",tbl_main[[#This Row],[Qty]]=""),"",tbl_main[[#This Row],[Price]]*tbl_main[[#This Row],[Qty]])</f>
        <v>500</v>
      </c>
      <c r="N1427" s="3">
        <f>_xlfn.LET(_xlpm.x,_xlfn.XLOOKUP(tbl_main[[#This Row],[Service]],tbl_service[Service],tbl_service[Profit],""),
               IF(tbl_main[[#This Row],[Qty]]="","",_xlpm.x*tbl_main[[#This Row],[Qty]]))</f>
        <v>225</v>
      </c>
    </row>
    <row r="1428" spans="1:14" x14ac:dyDescent="0.25">
      <c r="A1428" t="s">
        <v>1470</v>
      </c>
      <c r="B1428" s="1">
        <v>46131</v>
      </c>
      <c r="C1428">
        <f>IF(tbl_main[[#This Row],[Date]]="","",YEAR(B1428))</f>
        <v>2026</v>
      </c>
      <c r="D1428" t="str">
        <f>IF(tbl_main[[#This Row],[Date]]="","",TEXT(B1428,"mmm"))</f>
        <v>Apr</v>
      </c>
      <c r="E1428" t="str">
        <f>IF(tbl_main[[#This Row],[Date]]="","",TEXT(B1428,"DDD"))</f>
        <v>Sun</v>
      </c>
      <c r="F1428" t="s">
        <v>20</v>
      </c>
      <c r="G1428" t="s">
        <v>29</v>
      </c>
      <c r="H1428" s="3" t="s">
        <v>24</v>
      </c>
      <c r="I1428" s="3" t="s">
        <v>35</v>
      </c>
      <c r="J1428" s="3" t="s">
        <v>32</v>
      </c>
      <c r="K1428" s="3">
        <f>_xlfn.XLOOKUP(tbl_main[[#This Row],[Service]],tbl_service[Service],tbl_service[Price],"")</f>
        <v>80</v>
      </c>
      <c r="L1428" s="3">
        <v>2</v>
      </c>
      <c r="M1428" s="3">
        <f>IF(AND(tbl_main[[#This Row],[Price]]="",tbl_main[[#This Row],[Qty]]=""),"",tbl_main[[#This Row],[Price]]*tbl_main[[#This Row],[Qty]])</f>
        <v>160</v>
      </c>
      <c r="N1428" s="3">
        <f>_xlfn.LET(_xlpm.x,_xlfn.XLOOKUP(tbl_main[[#This Row],[Service]],tbl_service[Service],tbl_service[Profit],""),
               IF(tbl_main[[#This Row],[Qty]]="","",_xlpm.x*tbl_main[[#This Row],[Qty]]))</f>
        <v>72</v>
      </c>
    </row>
    <row r="1429" spans="1:14" x14ac:dyDescent="0.25">
      <c r="A1429" t="s">
        <v>1471</v>
      </c>
      <c r="B1429" s="1">
        <v>46132</v>
      </c>
      <c r="C1429">
        <f>IF(tbl_main[[#This Row],[Date]]="","",YEAR(B1429))</f>
        <v>2026</v>
      </c>
      <c r="D1429" t="str">
        <f>IF(tbl_main[[#This Row],[Date]]="","",TEXT(B1429,"mmm"))</f>
        <v>Apr</v>
      </c>
      <c r="E1429" t="str">
        <f>IF(tbl_main[[#This Row],[Date]]="","",TEXT(B1429,"DDD"))</f>
        <v>Mon</v>
      </c>
      <c r="F1429" t="s">
        <v>27</v>
      </c>
      <c r="G1429" t="s">
        <v>28</v>
      </c>
      <c r="H1429" s="3" t="s">
        <v>22</v>
      </c>
      <c r="I1429" s="3" t="s">
        <v>23</v>
      </c>
      <c r="J1429" s="3" t="s">
        <v>32</v>
      </c>
      <c r="K1429" s="3">
        <f>_xlfn.XLOOKUP(tbl_main[[#This Row],[Service]],tbl_service[Service],tbl_service[Price],"")</f>
        <v>150</v>
      </c>
      <c r="L1429" s="3">
        <v>2</v>
      </c>
      <c r="M1429" s="3">
        <f>IF(AND(tbl_main[[#This Row],[Price]]="",tbl_main[[#This Row],[Qty]]=""),"",tbl_main[[#This Row],[Price]]*tbl_main[[#This Row],[Qty]])</f>
        <v>300</v>
      </c>
      <c r="N1429" s="3">
        <f>_xlfn.LET(_xlpm.x,_xlfn.XLOOKUP(tbl_main[[#This Row],[Service]],tbl_service[Service],tbl_service[Profit],""),
               IF(tbl_main[[#This Row],[Qty]]="","",_xlpm.x*tbl_main[[#This Row],[Qty]]))</f>
        <v>134</v>
      </c>
    </row>
    <row r="1430" spans="1:14" x14ac:dyDescent="0.25">
      <c r="A1430" t="s">
        <v>1472</v>
      </c>
      <c r="B1430" s="1">
        <v>46132</v>
      </c>
      <c r="C1430">
        <f>IF(tbl_main[[#This Row],[Date]]="","",YEAR(B1430))</f>
        <v>2026</v>
      </c>
      <c r="D1430" t="str">
        <f>IF(tbl_main[[#This Row],[Date]]="","",TEXT(B1430,"mmm"))</f>
        <v>Apr</v>
      </c>
      <c r="E1430" t="str">
        <f>IF(tbl_main[[#This Row],[Date]]="","",TEXT(B1430,"DDD"))</f>
        <v>Mon</v>
      </c>
      <c r="F1430" t="s">
        <v>27</v>
      </c>
      <c r="G1430" t="s">
        <v>28</v>
      </c>
      <c r="H1430" s="3" t="s">
        <v>15</v>
      </c>
      <c r="I1430" s="3" t="s">
        <v>37</v>
      </c>
      <c r="J1430" s="3" t="s">
        <v>25</v>
      </c>
      <c r="K1430" s="3">
        <f>_xlfn.XLOOKUP(tbl_main[[#This Row],[Service]],tbl_service[Service],tbl_service[Price],"")</f>
        <v>500</v>
      </c>
      <c r="L1430" s="3">
        <v>2</v>
      </c>
      <c r="M1430" s="3">
        <f>IF(AND(tbl_main[[#This Row],[Price]]="",tbl_main[[#This Row],[Qty]]=""),"",tbl_main[[#This Row],[Price]]*tbl_main[[#This Row],[Qty]])</f>
        <v>1000</v>
      </c>
      <c r="N1430" s="3">
        <f>_xlfn.LET(_xlpm.x,_xlfn.XLOOKUP(tbl_main[[#This Row],[Service]],tbl_service[Service],tbl_service[Profit],""),
               IF(tbl_main[[#This Row],[Qty]]="","",_xlpm.x*tbl_main[[#This Row],[Qty]]))</f>
        <v>450</v>
      </c>
    </row>
    <row r="1431" spans="1:14" x14ac:dyDescent="0.25">
      <c r="A1431" t="s">
        <v>1473</v>
      </c>
      <c r="B1431" s="1">
        <v>46132</v>
      </c>
      <c r="C1431">
        <f>IF(tbl_main[[#This Row],[Date]]="","",YEAR(B1431))</f>
        <v>2026</v>
      </c>
      <c r="D1431" t="str">
        <f>IF(tbl_main[[#This Row],[Date]]="","",TEXT(B1431,"mmm"))</f>
        <v>Apr</v>
      </c>
      <c r="E1431" t="str">
        <f>IF(tbl_main[[#This Row],[Date]]="","",TEXT(B1431,"DDD"))</f>
        <v>Mon</v>
      </c>
      <c r="F1431" t="s">
        <v>20</v>
      </c>
      <c r="G1431" t="s">
        <v>21</v>
      </c>
      <c r="H1431" s="3" t="s">
        <v>22</v>
      </c>
      <c r="I1431" s="3" t="s">
        <v>38</v>
      </c>
      <c r="J1431" s="3" t="s">
        <v>17</v>
      </c>
      <c r="K1431" s="3">
        <f>_xlfn.XLOOKUP(tbl_main[[#This Row],[Service]],tbl_service[Service],tbl_service[Price],"")</f>
        <v>150</v>
      </c>
      <c r="L1431" s="3">
        <v>2</v>
      </c>
      <c r="M1431" s="3">
        <f>IF(AND(tbl_main[[#This Row],[Price]]="",tbl_main[[#This Row],[Qty]]=""),"",tbl_main[[#This Row],[Price]]*tbl_main[[#This Row],[Qty]])</f>
        <v>300</v>
      </c>
      <c r="N1431" s="3">
        <f>_xlfn.LET(_xlpm.x,_xlfn.XLOOKUP(tbl_main[[#This Row],[Service]],tbl_service[Service],tbl_service[Profit],""),
               IF(tbl_main[[#This Row],[Qty]]="","",_xlpm.x*tbl_main[[#This Row],[Qty]]))</f>
        <v>134</v>
      </c>
    </row>
    <row r="1432" spans="1:14" x14ac:dyDescent="0.25">
      <c r="A1432" t="s">
        <v>1474</v>
      </c>
      <c r="B1432" s="1">
        <v>46133</v>
      </c>
      <c r="C1432">
        <f>IF(tbl_main[[#This Row],[Date]]="","",YEAR(B1432))</f>
        <v>2026</v>
      </c>
      <c r="D1432" t="str">
        <f>IF(tbl_main[[#This Row],[Date]]="","",TEXT(B1432,"mmm"))</f>
        <v>Apr</v>
      </c>
      <c r="E1432" t="str">
        <f>IF(tbl_main[[#This Row],[Date]]="","",TEXT(B1432,"DDD"))</f>
        <v>Tue</v>
      </c>
      <c r="F1432" t="s">
        <v>30</v>
      </c>
      <c r="G1432" t="s">
        <v>36</v>
      </c>
      <c r="H1432" s="3" t="s">
        <v>18</v>
      </c>
      <c r="I1432" s="3" t="s">
        <v>16</v>
      </c>
      <c r="J1432" s="3" t="s">
        <v>32</v>
      </c>
      <c r="K1432" s="3">
        <f>_xlfn.XLOOKUP(tbl_main[[#This Row],[Service]],tbl_service[Service],tbl_service[Price],"")</f>
        <v>500</v>
      </c>
      <c r="L1432" s="3">
        <v>1</v>
      </c>
      <c r="M1432" s="3">
        <f>IF(AND(tbl_main[[#This Row],[Price]]="",tbl_main[[#This Row],[Qty]]=""),"",tbl_main[[#This Row],[Price]]*tbl_main[[#This Row],[Qty]])</f>
        <v>500</v>
      </c>
      <c r="N1432" s="3">
        <f>_xlfn.LET(_xlpm.x,_xlfn.XLOOKUP(tbl_main[[#This Row],[Service]],tbl_service[Service],tbl_service[Profit],""),
               IF(tbl_main[[#This Row],[Qty]]="","",_xlpm.x*tbl_main[[#This Row],[Qty]]))</f>
        <v>157</v>
      </c>
    </row>
    <row r="1433" spans="1:14" x14ac:dyDescent="0.25">
      <c r="A1433" t="s">
        <v>1475</v>
      </c>
      <c r="B1433" s="1">
        <v>46133</v>
      </c>
      <c r="C1433">
        <f>IF(tbl_main[[#This Row],[Date]]="","",YEAR(B1433))</f>
        <v>2026</v>
      </c>
      <c r="D1433" t="str">
        <f>IF(tbl_main[[#This Row],[Date]]="","",TEXT(B1433,"mmm"))</f>
        <v>Apr</v>
      </c>
      <c r="E1433" t="str">
        <f>IF(tbl_main[[#This Row],[Date]]="","",TEXT(B1433,"DDD"))</f>
        <v>Tue</v>
      </c>
      <c r="F1433" t="s">
        <v>30</v>
      </c>
      <c r="G1433" t="s">
        <v>31</v>
      </c>
      <c r="H1433" s="3" t="s">
        <v>18</v>
      </c>
      <c r="I1433" s="3" t="s">
        <v>19</v>
      </c>
      <c r="J1433" s="3" t="s">
        <v>25</v>
      </c>
      <c r="K1433" s="3">
        <f>_xlfn.XLOOKUP(tbl_main[[#This Row],[Service]],tbl_service[Service],tbl_service[Price],"")</f>
        <v>500</v>
      </c>
      <c r="L1433" s="3">
        <v>1</v>
      </c>
      <c r="M1433" s="3">
        <f>IF(AND(tbl_main[[#This Row],[Price]]="",tbl_main[[#This Row],[Qty]]=""),"",tbl_main[[#This Row],[Price]]*tbl_main[[#This Row],[Qty]])</f>
        <v>500</v>
      </c>
      <c r="N1433" s="3">
        <f>_xlfn.LET(_xlpm.x,_xlfn.XLOOKUP(tbl_main[[#This Row],[Service]],tbl_service[Service],tbl_service[Profit],""),
               IF(tbl_main[[#This Row],[Qty]]="","",_xlpm.x*tbl_main[[#This Row],[Qty]]))</f>
        <v>157</v>
      </c>
    </row>
    <row r="1434" spans="1:14" x14ac:dyDescent="0.25">
      <c r="A1434" t="s">
        <v>1476</v>
      </c>
      <c r="B1434" s="1">
        <v>46134</v>
      </c>
      <c r="C1434">
        <f>IF(tbl_main[[#This Row],[Date]]="","",YEAR(B1434))</f>
        <v>2026</v>
      </c>
      <c r="D1434" t="str">
        <f>IF(tbl_main[[#This Row],[Date]]="","",TEXT(B1434,"mmm"))</f>
        <v>Apr</v>
      </c>
      <c r="E1434" t="str">
        <f>IF(tbl_main[[#This Row],[Date]]="","",TEXT(B1434,"DDD"))</f>
        <v>Wed</v>
      </c>
      <c r="F1434" t="s">
        <v>13</v>
      </c>
      <c r="G1434" t="s">
        <v>14</v>
      </c>
      <c r="H1434" s="3" t="s">
        <v>26</v>
      </c>
      <c r="I1434" s="3" t="s">
        <v>43</v>
      </c>
      <c r="J1434" s="3" t="s">
        <v>17</v>
      </c>
      <c r="K1434" s="3">
        <f>_xlfn.XLOOKUP(tbl_main[[#This Row],[Service]],tbl_service[Service],tbl_service[Price],"")</f>
        <v>200</v>
      </c>
      <c r="L1434" s="3">
        <v>2</v>
      </c>
      <c r="M1434" s="3">
        <f>IF(AND(tbl_main[[#This Row],[Price]]="",tbl_main[[#This Row],[Qty]]=""),"",tbl_main[[#This Row],[Price]]*tbl_main[[#This Row],[Qty]])</f>
        <v>400</v>
      </c>
      <c r="N1434" s="3">
        <f>_xlfn.LET(_xlpm.x,_xlfn.XLOOKUP(tbl_main[[#This Row],[Service]],tbl_service[Service],tbl_service[Profit],""),
               IF(tbl_main[[#This Row],[Qty]]="","",_xlpm.x*tbl_main[[#This Row],[Qty]]))</f>
        <v>180</v>
      </c>
    </row>
    <row r="1435" spans="1:14" x14ac:dyDescent="0.25">
      <c r="A1435" t="s">
        <v>1477</v>
      </c>
      <c r="B1435" s="1">
        <v>46134</v>
      </c>
      <c r="C1435">
        <f>IF(tbl_main[[#This Row],[Date]]="","",YEAR(B1435))</f>
        <v>2026</v>
      </c>
      <c r="D1435" t="str">
        <f>IF(tbl_main[[#This Row],[Date]]="","",TEXT(B1435,"mmm"))</f>
        <v>Apr</v>
      </c>
      <c r="E1435" t="str">
        <f>IF(tbl_main[[#This Row],[Date]]="","",TEXT(B1435,"DDD"))</f>
        <v>Wed</v>
      </c>
      <c r="F1435" t="s">
        <v>13</v>
      </c>
      <c r="G1435" t="s">
        <v>14</v>
      </c>
      <c r="H1435" s="3" t="s">
        <v>18</v>
      </c>
      <c r="I1435" s="3" t="s">
        <v>41</v>
      </c>
      <c r="J1435" s="3" t="s">
        <v>32</v>
      </c>
      <c r="K1435" s="3">
        <f>_xlfn.XLOOKUP(tbl_main[[#This Row],[Service]],tbl_service[Service],tbl_service[Price],"")</f>
        <v>500</v>
      </c>
      <c r="L1435" s="3">
        <v>2</v>
      </c>
      <c r="M1435" s="3">
        <f>IF(AND(tbl_main[[#This Row],[Price]]="",tbl_main[[#This Row],[Qty]]=""),"",tbl_main[[#This Row],[Price]]*tbl_main[[#This Row],[Qty]])</f>
        <v>1000</v>
      </c>
      <c r="N1435" s="3">
        <f>_xlfn.LET(_xlpm.x,_xlfn.XLOOKUP(tbl_main[[#This Row],[Service]],tbl_service[Service],tbl_service[Profit],""),
               IF(tbl_main[[#This Row],[Qty]]="","",_xlpm.x*tbl_main[[#This Row],[Qty]]))</f>
        <v>314</v>
      </c>
    </row>
    <row r="1436" spans="1:14" x14ac:dyDescent="0.25">
      <c r="A1436" t="s">
        <v>1478</v>
      </c>
      <c r="B1436" s="1">
        <v>46134</v>
      </c>
      <c r="C1436">
        <f>IF(tbl_main[[#This Row],[Date]]="","",YEAR(B1436))</f>
        <v>2026</v>
      </c>
      <c r="D1436" t="str">
        <f>IF(tbl_main[[#This Row],[Date]]="","",TEXT(B1436,"mmm"))</f>
        <v>Apr</v>
      </c>
      <c r="E1436" t="str">
        <f>IF(tbl_main[[#This Row],[Date]]="","",TEXT(B1436,"DDD"))</f>
        <v>Wed</v>
      </c>
      <c r="F1436" t="s">
        <v>30</v>
      </c>
      <c r="G1436" t="s">
        <v>31</v>
      </c>
      <c r="H1436" s="3" t="s">
        <v>18</v>
      </c>
      <c r="I1436" s="3" t="s">
        <v>41</v>
      </c>
      <c r="J1436" s="3" t="s">
        <v>25</v>
      </c>
      <c r="K1436" s="3">
        <f>_xlfn.XLOOKUP(tbl_main[[#This Row],[Service]],tbl_service[Service],tbl_service[Price],"")</f>
        <v>500</v>
      </c>
      <c r="L1436" s="3">
        <v>1</v>
      </c>
      <c r="M1436" s="3">
        <f>IF(AND(tbl_main[[#This Row],[Price]]="",tbl_main[[#This Row],[Qty]]=""),"",tbl_main[[#This Row],[Price]]*tbl_main[[#This Row],[Qty]])</f>
        <v>500</v>
      </c>
      <c r="N1436" s="3">
        <f>_xlfn.LET(_xlpm.x,_xlfn.XLOOKUP(tbl_main[[#This Row],[Service]],tbl_service[Service],tbl_service[Profit],""),
               IF(tbl_main[[#This Row],[Qty]]="","",_xlpm.x*tbl_main[[#This Row],[Qty]]))</f>
        <v>157</v>
      </c>
    </row>
    <row r="1437" spans="1:14" x14ac:dyDescent="0.25">
      <c r="A1437" t="s">
        <v>1479</v>
      </c>
      <c r="B1437" s="1">
        <v>46135</v>
      </c>
      <c r="C1437">
        <f>IF(tbl_main[[#This Row],[Date]]="","",YEAR(B1437))</f>
        <v>2026</v>
      </c>
      <c r="D1437" t="str">
        <f>IF(tbl_main[[#This Row],[Date]]="","",TEXT(B1437,"mmm"))</f>
        <v>Apr</v>
      </c>
      <c r="E1437" t="str">
        <f>IF(tbl_main[[#This Row],[Date]]="","",TEXT(B1437,"DDD"))</f>
        <v>Thu</v>
      </c>
      <c r="F1437" t="s">
        <v>27</v>
      </c>
      <c r="G1437" t="s">
        <v>40</v>
      </c>
      <c r="H1437" s="3" t="s">
        <v>26</v>
      </c>
      <c r="I1437" s="3" t="s">
        <v>35</v>
      </c>
      <c r="J1437" s="3" t="s">
        <v>25</v>
      </c>
      <c r="K1437" s="3">
        <f>_xlfn.XLOOKUP(tbl_main[[#This Row],[Service]],tbl_service[Service],tbl_service[Price],"")</f>
        <v>200</v>
      </c>
      <c r="L1437" s="3">
        <v>1</v>
      </c>
      <c r="M1437" s="3">
        <f>IF(AND(tbl_main[[#This Row],[Price]]="",tbl_main[[#This Row],[Qty]]=""),"",tbl_main[[#This Row],[Price]]*tbl_main[[#This Row],[Qty]])</f>
        <v>200</v>
      </c>
      <c r="N1437" s="3">
        <f>_xlfn.LET(_xlpm.x,_xlfn.XLOOKUP(tbl_main[[#This Row],[Service]],tbl_service[Service],tbl_service[Profit],""),
               IF(tbl_main[[#This Row],[Qty]]="","",_xlpm.x*tbl_main[[#This Row],[Qty]]))</f>
        <v>90</v>
      </c>
    </row>
    <row r="1438" spans="1:14" x14ac:dyDescent="0.25">
      <c r="A1438" t="s">
        <v>1480</v>
      </c>
      <c r="B1438" s="1">
        <v>46135</v>
      </c>
      <c r="C1438">
        <f>IF(tbl_main[[#This Row],[Date]]="","",YEAR(B1438))</f>
        <v>2026</v>
      </c>
      <c r="D1438" t="str">
        <f>IF(tbl_main[[#This Row],[Date]]="","",TEXT(B1438,"mmm"))</f>
        <v>Apr</v>
      </c>
      <c r="E1438" t="str">
        <f>IF(tbl_main[[#This Row],[Date]]="","",TEXT(B1438,"DDD"))</f>
        <v>Thu</v>
      </c>
      <c r="F1438" t="s">
        <v>20</v>
      </c>
      <c r="G1438" t="s">
        <v>39</v>
      </c>
      <c r="H1438" s="3" t="s">
        <v>15</v>
      </c>
      <c r="I1438" s="3" t="s">
        <v>35</v>
      </c>
      <c r="J1438" s="3" t="s">
        <v>17</v>
      </c>
      <c r="K1438" s="3">
        <f>_xlfn.XLOOKUP(tbl_main[[#This Row],[Service]],tbl_service[Service],tbl_service[Price],"")</f>
        <v>500</v>
      </c>
      <c r="L1438" s="3">
        <v>1</v>
      </c>
      <c r="M1438" s="3">
        <f>IF(AND(tbl_main[[#This Row],[Price]]="",tbl_main[[#This Row],[Qty]]=""),"",tbl_main[[#This Row],[Price]]*tbl_main[[#This Row],[Qty]])</f>
        <v>500</v>
      </c>
      <c r="N1438" s="3">
        <f>_xlfn.LET(_xlpm.x,_xlfn.XLOOKUP(tbl_main[[#This Row],[Service]],tbl_service[Service],tbl_service[Profit],""),
               IF(tbl_main[[#This Row],[Qty]]="","",_xlpm.x*tbl_main[[#This Row],[Qty]]))</f>
        <v>225</v>
      </c>
    </row>
    <row r="1439" spans="1:14" x14ac:dyDescent="0.25">
      <c r="A1439" t="s">
        <v>1481</v>
      </c>
      <c r="B1439" s="1">
        <v>46135</v>
      </c>
      <c r="C1439">
        <f>IF(tbl_main[[#This Row],[Date]]="","",YEAR(B1439))</f>
        <v>2026</v>
      </c>
      <c r="D1439" t="str">
        <f>IF(tbl_main[[#This Row],[Date]]="","",TEXT(B1439,"mmm"))</f>
        <v>Apr</v>
      </c>
      <c r="E1439" t="str">
        <f>IF(tbl_main[[#This Row],[Date]]="","",TEXT(B1439,"DDD"))</f>
        <v>Thu</v>
      </c>
      <c r="F1439" t="s">
        <v>30</v>
      </c>
      <c r="G1439" t="s">
        <v>36</v>
      </c>
      <c r="H1439" s="3" t="s">
        <v>24</v>
      </c>
      <c r="I1439" s="3" t="s">
        <v>23</v>
      </c>
      <c r="J1439" s="3" t="s">
        <v>25</v>
      </c>
      <c r="K1439" s="3">
        <f>_xlfn.XLOOKUP(tbl_main[[#This Row],[Service]],tbl_service[Service],tbl_service[Price],"")</f>
        <v>80</v>
      </c>
      <c r="L1439" s="3">
        <v>1</v>
      </c>
      <c r="M1439" s="3">
        <f>IF(AND(tbl_main[[#This Row],[Price]]="",tbl_main[[#This Row],[Qty]]=""),"",tbl_main[[#This Row],[Price]]*tbl_main[[#This Row],[Qty]])</f>
        <v>80</v>
      </c>
      <c r="N1439" s="3">
        <f>_xlfn.LET(_xlpm.x,_xlfn.XLOOKUP(tbl_main[[#This Row],[Service]],tbl_service[Service],tbl_service[Profit],""),
               IF(tbl_main[[#This Row],[Qty]]="","",_xlpm.x*tbl_main[[#This Row],[Qty]]))</f>
        <v>36</v>
      </c>
    </row>
    <row r="1440" spans="1:14" x14ac:dyDescent="0.25">
      <c r="A1440" t="s">
        <v>1482</v>
      </c>
      <c r="B1440" s="1">
        <v>46136</v>
      </c>
      <c r="C1440">
        <f>IF(tbl_main[[#This Row],[Date]]="","",YEAR(B1440))</f>
        <v>2026</v>
      </c>
      <c r="D1440" t="str">
        <f>IF(tbl_main[[#This Row],[Date]]="","",TEXT(B1440,"mmm"))</f>
        <v>Apr</v>
      </c>
      <c r="E1440" t="str">
        <f>IF(tbl_main[[#This Row],[Date]]="","",TEXT(B1440,"DDD"))</f>
        <v>Fri</v>
      </c>
      <c r="F1440" t="s">
        <v>30</v>
      </c>
      <c r="G1440" t="s">
        <v>31</v>
      </c>
      <c r="H1440" s="3" t="s">
        <v>34</v>
      </c>
      <c r="I1440" s="3" t="s">
        <v>37</v>
      </c>
      <c r="J1440" s="3" t="s">
        <v>32</v>
      </c>
      <c r="K1440" s="3">
        <f>_xlfn.XLOOKUP(tbl_main[[#This Row],[Service]],tbl_service[Service],tbl_service[Price],"")</f>
        <v>100</v>
      </c>
      <c r="L1440" s="3">
        <v>2</v>
      </c>
      <c r="M1440" s="3">
        <f>IF(AND(tbl_main[[#This Row],[Price]]="",tbl_main[[#This Row],[Qty]]=""),"",tbl_main[[#This Row],[Price]]*tbl_main[[#This Row],[Qty]])</f>
        <v>200</v>
      </c>
      <c r="N1440" s="3">
        <f>_xlfn.LET(_xlpm.x,_xlfn.XLOOKUP(tbl_main[[#This Row],[Service]],tbl_service[Service],tbl_service[Profit],""),
               IF(tbl_main[[#This Row],[Qty]]="","",_xlpm.x*tbl_main[[#This Row],[Qty]]))</f>
        <v>90</v>
      </c>
    </row>
    <row r="1441" spans="1:14" x14ac:dyDescent="0.25">
      <c r="A1441" t="s">
        <v>1483</v>
      </c>
      <c r="B1441" s="1">
        <v>46136</v>
      </c>
      <c r="C1441">
        <f>IF(tbl_main[[#This Row],[Date]]="","",YEAR(B1441))</f>
        <v>2026</v>
      </c>
      <c r="D1441" t="str">
        <f>IF(tbl_main[[#This Row],[Date]]="","",TEXT(B1441,"mmm"))</f>
        <v>Apr</v>
      </c>
      <c r="E1441" t="str">
        <f>IF(tbl_main[[#This Row],[Date]]="","",TEXT(B1441,"DDD"))</f>
        <v>Fri</v>
      </c>
      <c r="F1441" t="s">
        <v>13</v>
      </c>
      <c r="G1441" t="s">
        <v>14</v>
      </c>
      <c r="H1441" s="3" t="s">
        <v>24</v>
      </c>
      <c r="I1441" s="3" t="s">
        <v>38</v>
      </c>
      <c r="J1441" s="3" t="s">
        <v>25</v>
      </c>
      <c r="K1441" s="3">
        <f>_xlfn.XLOOKUP(tbl_main[[#This Row],[Service]],tbl_service[Service],tbl_service[Price],"")</f>
        <v>80</v>
      </c>
      <c r="L1441" s="3">
        <v>2</v>
      </c>
      <c r="M1441" s="3">
        <f>IF(AND(tbl_main[[#This Row],[Price]]="",tbl_main[[#This Row],[Qty]]=""),"",tbl_main[[#This Row],[Price]]*tbl_main[[#This Row],[Qty]])</f>
        <v>160</v>
      </c>
      <c r="N1441" s="3">
        <f>_xlfn.LET(_xlpm.x,_xlfn.XLOOKUP(tbl_main[[#This Row],[Service]],tbl_service[Service],tbl_service[Profit],""),
               IF(tbl_main[[#This Row],[Qty]]="","",_xlpm.x*tbl_main[[#This Row],[Qty]]))</f>
        <v>72</v>
      </c>
    </row>
    <row r="1442" spans="1:14" x14ac:dyDescent="0.25">
      <c r="A1442" t="s">
        <v>1484</v>
      </c>
      <c r="B1442" s="1">
        <v>46136</v>
      </c>
      <c r="C1442">
        <f>IF(tbl_main[[#This Row],[Date]]="","",YEAR(B1442))</f>
        <v>2026</v>
      </c>
      <c r="D1442" t="str">
        <f>IF(tbl_main[[#This Row],[Date]]="","",TEXT(B1442,"mmm"))</f>
        <v>Apr</v>
      </c>
      <c r="E1442" t="str">
        <f>IF(tbl_main[[#This Row],[Date]]="","",TEXT(B1442,"DDD"))</f>
        <v>Fri</v>
      </c>
      <c r="F1442" t="s">
        <v>20</v>
      </c>
      <c r="G1442" t="s">
        <v>29</v>
      </c>
      <c r="H1442" s="3" t="s">
        <v>34</v>
      </c>
      <c r="I1442" s="3" t="s">
        <v>16</v>
      </c>
      <c r="J1442" s="3" t="s">
        <v>25</v>
      </c>
      <c r="K1442" s="3">
        <f>_xlfn.XLOOKUP(tbl_main[[#This Row],[Service]],tbl_service[Service],tbl_service[Price],"")</f>
        <v>100</v>
      </c>
      <c r="L1442" s="3">
        <v>2</v>
      </c>
      <c r="M1442" s="3">
        <f>IF(AND(tbl_main[[#This Row],[Price]]="",tbl_main[[#This Row],[Qty]]=""),"",tbl_main[[#This Row],[Price]]*tbl_main[[#This Row],[Qty]])</f>
        <v>200</v>
      </c>
      <c r="N1442" s="3">
        <f>_xlfn.LET(_xlpm.x,_xlfn.XLOOKUP(tbl_main[[#This Row],[Service]],tbl_service[Service],tbl_service[Profit],""),
               IF(tbl_main[[#This Row],[Qty]]="","",_xlpm.x*tbl_main[[#This Row],[Qty]]))</f>
        <v>90</v>
      </c>
    </row>
    <row r="1443" spans="1:14" x14ac:dyDescent="0.25">
      <c r="A1443" t="s">
        <v>1485</v>
      </c>
      <c r="B1443" s="1">
        <v>46137</v>
      </c>
      <c r="C1443">
        <f>IF(tbl_main[[#This Row],[Date]]="","",YEAR(B1443))</f>
        <v>2026</v>
      </c>
      <c r="D1443" t="str">
        <f>IF(tbl_main[[#This Row],[Date]]="","",TEXT(B1443,"mmm"))</f>
        <v>Apr</v>
      </c>
      <c r="E1443" t="str">
        <f>IF(tbl_main[[#This Row],[Date]]="","",TEXT(B1443,"DDD"))</f>
        <v>Sat</v>
      </c>
      <c r="F1443" t="s">
        <v>30</v>
      </c>
      <c r="G1443" t="s">
        <v>36</v>
      </c>
      <c r="H1443" s="3" t="s">
        <v>15</v>
      </c>
      <c r="I1443" s="3" t="s">
        <v>19</v>
      </c>
      <c r="J1443" s="3" t="s">
        <v>17</v>
      </c>
      <c r="K1443" s="3">
        <f>_xlfn.XLOOKUP(tbl_main[[#This Row],[Service]],tbl_service[Service],tbl_service[Price],"")</f>
        <v>500</v>
      </c>
      <c r="L1443" s="3">
        <v>1</v>
      </c>
      <c r="M1443" s="3">
        <f>IF(AND(tbl_main[[#This Row],[Price]]="",tbl_main[[#This Row],[Qty]]=""),"",tbl_main[[#This Row],[Price]]*tbl_main[[#This Row],[Qty]])</f>
        <v>500</v>
      </c>
      <c r="N1443" s="3">
        <f>_xlfn.LET(_xlpm.x,_xlfn.XLOOKUP(tbl_main[[#This Row],[Service]],tbl_service[Service],tbl_service[Profit],""),
               IF(tbl_main[[#This Row],[Qty]]="","",_xlpm.x*tbl_main[[#This Row],[Qty]]))</f>
        <v>225</v>
      </c>
    </row>
    <row r="1444" spans="1:14" x14ac:dyDescent="0.25">
      <c r="A1444" t="s">
        <v>1486</v>
      </c>
      <c r="B1444" s="1">
        <v>46137</v>
      </c>
      <c r="C1444">
        <f>IF(tbl_main[[#This Row],[Date]]="","",YEAR(B1444))</f>
        <v>2026</v>
      </c>
      <c r="D1444" t="str">
        <f>IF(tbl_main[[#This Row],[Date]]="","",TEXT(B1444,"mmm"))</f>
        <v>Apr</v>
      </c>
      <c r="E1444" t="str">
        <f>IF(tbl_main[[#This Row],[Date]]="","",TEXT(B1444,"DDD"))</f>
        <v>Sat</v>
      </c>
      <c r="F1444" t="s">
        <v>20</v>
      </c>
      <c r="G1444" t="s">
        <v>29</v>
      </c>
      <c r="H1444" s="3" t="s">
        <v>26</v>
      </c>
      <c r="I1444" s="3" t="s">
        <v>43</v>
      </c>
      <c r="J1444" s="3" t="s">
        <v>32</v>
      </c>
      <c r="K1444" s="3">
        <f>_xlfn.XLOOKUP(tbl_main[[#This Row],[Service]],tbl_service[Service],tbl_service[Price],"")</f>
        <v>200</v>
      </c>
      <c r="L1444" s="3">
        <v>1</v>
      </c>
      <c r="M1444" s="3">
        <f>IF(AND(tbl_main[[#This Row],[Price]]="",tbl_main[[#This Row],[Qty]]=""),"",tbl_main[[#This Row],[Price]]*tbl_main[[#This Row],[Qty]])</f>
        <v>200</v>
      </c>
      <c r="N1444" s="3">
        <f>_xlfn.LET(_xlpm.x,_xlfn.XLOOKUP(tbl_main[[#This Row],[Service]],tbl_service[Service],tbl_service[Profit],""),
               IF(tbl_main[[#This Row],[Qty]]="","",_xlpm.x*tbl_main[[#This Row],[Qty]]))</f>
        <v>90</v>
      </c>
    </row>
    <row r="1445" spans="1:14" x14ac:dyDescent="0.25">
      <c r="A1445" t="s">
        <v>1487</v>
      </c>
      <c r="B1445" s="1">
        <v>46137</v>
      </c>
      <c r="C1445">
        <f>IF(tbl_main[[#This Row],[Date]]="","",YEAR(B1445))</f>
        <v>2026</v>
      </c>
      <c r="D1445" t="str">
        <f>IF(tbl_main[[#This Row],[Date]]="","",TEXT(B1445,"mmm"))</f>
        <v>Apr</v>
      </c>
      <c r="E1445" t="str">
        <f>IF(tbl_main[[#This Row],[Date]]="","",TEXT(B1445,"DDD"))</f>
        <v>Sat</v>
      </c>
      <c r="F1445" t="s">
        <v>20</v>
      </c>
      <c r="G1445" t="s">
        <v>21</v>
      </c>
      <c r="H1445" s="3" t="s">
        <v>24</v>
      </c>
      <c r="I1445" s="3" t="s">
        <v>41</v>
      </c>
      <c r="J1445" s="3" t="s">
        <v>17</v>
      </c>
      <c r="K1445" s="3">
        <f>_xlfn.XLOOKUP(tbl_main[[#This Row],[Service]],tbl_service[Service],tbl_service[Price],"")</f>
        <v>80</v>
      </c>
      <c r="L1445" s="3">
        <v>2</v>
      </c>
      <c r="M1445" s="3">
        <f>IF(AND(tbl_main[[#This Row],[Price]]="",tbl_main[[#This Row],[Qty]]=""),"",tbl_main[[#This Row],[Price]]*tbl_main[[#This Row],[Qty]])</f>
        <v>160</v>
      </c>
      <c r="N1445" s="3">
        <f>_xlfn.LET(_xlpm.x,_xlfn.XLOOKUP(tbl_main[[#This Row],[Service]],tbl_service[Service],tbl_service[Profit],""),
               IF(tbl_main[[#This Row],[Qty]]="","",_xlpm.x*tbl_main[[#This Row],[Qty]]))</f>
        <v>72</v>
      </c>
    </row>
    <row r="1446" spans="1:14" x14ac:dyDescent="0.25">
      <c r="A1446" t="s">
        <v>1488</v>
      </c>
      <c r="B1446" s="1">
        <v>46138</v>
      </c>
      <c r="C1446">
        <f>IF(tbl_main[[#This Row],[Date]]="","",YEAR(B1446))</f>
        <v>2026</v>
      </c>
      <c r="D1446" t="str">
        <f>IF(tbl_main[[#This Row],[Date]]="","",TEXT(B1446,"mmm"))</f>
        <v>Apr</v>
      </c>
      <c r="E1446" t="str">
        <f>IF(tbl_main[[#This Row],[Date]]="","",TEXT(B1446,"DDD"))</f>
        <v>Sun</v>
      </c>
      <c r="F1446" t="s">
        <v>13</v>
      </c>
      <c r="G1446" t="s">
        <v>33</v>
      </c>
      <c r="H1446" s="3" t="s">
        <v>26</v>
      </c>
      <c r="I1446" s="3" t="s">
        <v>41</v>
      </c>
      <c r="J1446" s="3" t="s">
        <v>17</v>
      </c>
      <c r="K1446" s="3">
        <f>_xlfn.XLOOKUP(tbl_main[[#This Row],[Service]],tbl_service[Service],tbl_service[Price],"")</f>
        <v>200</v>
      </c>
      <c r="L1446" s="3">
        <v>1</v>
      </c>
      <c r="M1446" s="3">
        <f>IF(AND(tbl_main[[#This Row],[Price]]="",tbl_main[[#This Row],[Qty]]=""),"",tbl_main[[#This Row],[Price]]*tbl_main[[#This Row],[Qty]])</f>
        <v>200</v>
      </c>
      <c r="N1446" s="3">
        <f>_xlfn.LET(_xlpm.x,_xlfn.XLOOKUP(tbl_main[[#This Row],[Service]],tbl_service[Service],tbl_service[Profit],""),
               IF(tbl_main[[#This Row],[Qty]]="","",_xlpm.x*tbl_main[[#This Row],[Qty]]))</f>
        <v>90</v>
      </c>
    </row>
    <row r="1447" spans="1:14" x14ac:dyDescent="0.25">
      <c r="A1447" t="s">
        <v>1489</v>
      </c>
      <c r="B1447" s="1">
        <v>46138</v>
      </c>
      <c r="C1447">
        <f>IF(tbl_main[[#This Row],[Date]]="","",YEAR(B1447))</f>
        <v>2026</v>
      </c>
      <c r="D1447" t="str">
        <f>IF(tbl_main[[#This Row],[Date]]="","",TEXT(B1447,"mmm"))</f>
        <v>Apr</v>
      </c>
      <c r="E1447" t="str">
        <f>IF(tbl_main[[#This Row],[Date]]="","",TEXT(B1447,"DDD"))</f>
        <v>Sun</v>
      </c>
      <c r="F1447" t="s">
        <v>30</v>
      </c>
      <c r="G1447" t="s">
        <v>36</v>
      </c>
      <c r="H1447" s="3" t="s">
        <v>34</v>
      </c>
      <c r="I1447" s="3" t="s">
        <v>35</v>
      </c>
      <c r="J1447" s="3" t="s">
        <v>32</v>
      </c>
      <c r="K1447" s="3">
        <f>_xlfn.XLOOKUP(tbl_main[[#This Row],[Service]],tbl_service[Service],tbl_service[Price],"")</f>
        <v>100</v>
      </c>
      <c r="L1447" s="3">
        <v>2</v>
      </c>
      <c r="M1447" s="3">
        <f>IF(AND(tbl_main[[#This Row],[Price]]="",tbl_main[[#This Row],[Qty]]=""),"",tbl_main[[#This Row],[Price]]*tbl_main[[#This Row],[Qty]])</f>
        <v>200</v>
      </c>
      <c r="N1447" s="3">
        <f>_xlfn.LET(_xlpm.x,_xlfn.XLOOKUP(tbl_main[[#This Row],[Service]],tbl_service[Service],tbl_service[Profit],""),
               IF(tbl_main[[#This Row],[Qty]]="","",_xlpm.x*tbl_main[[#This Row],[Qty]]))</f>
        <v>90</v>
      </c>
    </row>
    <row r="1448" spans="1:14" x14ac:dyDescent="0.25">
      <c r="A1448" t="s">
        <v>1490</v>
      </c>
      <c r="B1448" s="1">
        <v>46138</v>
      </c>
      <c r="C1448">
        <f>IF(tbl_main[[#This Row],[Date]]="","",YEAR(B1448))</f>
        <v>2026</v>
      </c>
      <c r="D1448" t="str">
        <f>IF(tbl_main[[#This Row],[Date]]="","",TEXT(B1448,"mmm"))</f>
        <v>Apr</v>
      </c>
      <c r="E1448" t="str">
        <f>IF(tbl_main[[#This Row],[Date]]="","",TEXT(B1448,"DDD"))</f>
        <v>Sun</v>
      </c>
      <c r="F1448" t="s">
        <v>30</v>
      </c>
      <c r="G1448" t="s">
        <v>36</v>
      </c>
      <c r="H1448" s="3" t="s">
        <v>24</v>
      </c>
      <c r="I1448" s="3" t="s">
        <v>35</v>
      </c>
      <c r="J1448" s="3" t="s">
        <v>32</v>
      </c>
      <c r="K1448" s="3">
        <f>_xlfn.XLOOKUP(tbl_main[[#This Row],[Service]],tbl_service[Service],tbl_service[Price],"")</f>
        <v>80</v>
      </c>
      <c r="L1448" s="3">
        <v>1</v>
      </c>
      <c r="M1448" s="3">
        <f>IF(AND(tbl_main[[#This Row],[Price]]="",tbl_main[[#This Row],[Qty]]=""),"",tbl_main[[#This Row],[Price]]*tbl_main[[#This Row],[Qty]])</f>
        <v>80</v>
      </c>
      <c r="N1448" s="3">
        <f>_xlfn.LET(_xlpm.x,_xlfn.XLOOKUP(tbl_main[[#This Row],[Service]],tbl_service[Service],tbl_service[Profit],""),
               IF(tbl_main[[#This Row],[Qty]]="","",_xlpm.x*tbl_main[[#This Row],[Qty]]))</f>
        <v>36</v>
      </c>
    </row>
    <row r="1449" spans="1:14" x14ac:dyDescent="0.25">
      <c r="A1449" t="s">
        <v>1491</v>
      </c>
      <c r="B1449" s="1">
        <v>46138</v>
      </c>
      <c r="C1449">
        <f>IF(tbl_main[[#This Row],[Date]]="","",YEAR(B1449))</f>
        <v>2026</v>
      </c>
      <c r="D1449" t="str">
        <f>IF(tbl_main[[#This Row],[Date]]="","",TEXT(B1449,"mmm"))</f>
        <v>Apr</v>
      </c>
      <c r="E1449" t="str">
        <f>IF(tbl_main[[#This Row],[Date]]="","",TEXT(B1449,"DDD"))</f>
        <v>Sun</v>
      </c>
      <c r="F1449" t="s">
        <v>30</v>
      </c>
      <c r="G1449" t="s">
        <v>36</v>
      </c>
      <c r="H1449" s="3" t="s">
        <v>15</v>
      </c>
      <c r="I1449" s="3" t="s">
        <v>23</v>
      </c>
      <c r="J1449" s="3" t="s">
        <v>17</v>
      </c>
      <c r="K1449" s="3">
        <f>_xlfn.XLOOKUP(tbl_main[[#This Row],[Service]],tbl_service[Service],tbl_service[Price],"")</f>
        <v>500</v>
      </c>
      <c r="L1449" s="3">
        <v>1</v>
      </c>
      <c r="M1449" s="3">
        <f>IF(AND(tbl_main[[#This Row],[Price]]="",tbl_main[[#This Row],[Qty]]=""),"",tbl_main[[#This Row],[Price]]*tbl_main[[#This Row],[Qty]])</f>
        <v>500</v>
      </c>
      <c r="N1449" s="3">
        <f>_xlfn.LET(_xlpm.x,_xlfn.XLOOKUP(tbl_main[[#This Row],[Service]],tbl_service[Service],tbl_service[Profit],""),
               IF(tbl_main[[#This Row],[Qty]]="","",_xlpm.x*tbl_main[[#This Row],[Qty]]))</f>
        <v>225</v>
      </c>
    </row>
    <row r="1450" spans="1:14" x14ac:dyDescent="0.25">
      <c r="A1450" t="s">
        <v>1492</v>
      </c>
      <c r="B1450" s="1">
        <v>46139</v>
      </c>
      <c r="C1450">
        <f>IF(tbl_main[[#This Row],[Date]]="","",YEAR(B1450))</f>
        <v>2026</v>
      </c>
      <c r="D1450" t="str">
        <f>IF(tbl_main[[#This Row],[Date]]="","",TEXT(B1450,"mmm"))</f>
        <v>Apr</v>
      </c>
      <c r="E1450" t="str">
        <f>IF(tbl_main[[#This Row],[Date]]="","",TEXT(B1450,"DDD"))</f>
        <v>Mon</v>
      </c>
      <c r="F1450" t="s">
        <v>27</v>
      </c>
      <c r="G1450" t="s">
        <v>40</v>
      </c>
      <c r="H1450" s="3" t="s">
        <v>34</v>
      </c>
      <c r="I1450" s="3" t="s">
        <v>37</v>
      </c>
      <c r="J1450" s="3" t="s">
        <v>17</v>
      </c>
      <c r="K1450" s="3">
        <f>_xlfn.XLOOKUP(tbl_main[[#This Row],[Service]],tbl_service[Service],tbl_service[Price],"")</f>
        <v>100</v>
      </c>
      <c r="L1450" s="3">
        <v>1</v>
      </c>
      <c r="M1450" s="3">
        <f>IF(AND(tbl_main[[#This Row],[Price]]="",tbl_main[[#This Row],[Qty]]=""),"",tbl_main[[#This Row],[Price]]*tbl_main[[#This Row],[Qty]])</f>
        <v>100</v>
      </c>
      <c r="N1450" s="3">
        <f>_xlfn.LET(_xlpm.x,_xlfn.XLOOKUP(tbl_main[[#This Row],[Service]],tbl_service[Service],tbl_service[Profit],""),
               IF(tbl_main[[#This Row],[Qty]]="","",_xlpm.x*tbl_main[[#This Row],[Qty]]))</f>
        <v>45</v>
      </c>
    </row>
    <row r="1451" spans="1:14" x14ac:dyDescent="0.25">
      <c r="A1451" t="s">
        <v>1493</v>
      </c>
      <c r="B1451" s="1">
        <v>46139</v>
      </c>
      <c r="C1451">
        <f>IF(tbl_main[[#This Row],[Date]]="","",YEAR(B1451))</f>
        <v>2026</v>
      </c>
      <c r="D1451" t="str">
        <f>IF(tbl_main[[#This Row],[Date]]="","",TEXT(B1451,"mmm"))</f>
        <v>Apr</v>
      </c>
      <c r="E1451" t="str">
        <f>IF(tbl_main[[#This Row],[Date]]="","",TEXT(B1451,"DDD"))</f>
        <v>Mon</v>
      </c>
      <c r="F1451" t="s">
        <v>27</v>
      </c>
      <c r="G1451" t="s">
        <v>40</v>
      </c>
      <c r="H1451" s="3" t="s">
        <v>26</v>
      </c>
      <c r="I1451" s="3" t="s">
        <v>38</v>
      </c>
      <c r="J1451" s="3" t="s">
        <v>17</v>
      </c>
      <c r="K1451" s="3">
        <f>_xlfn.XLOOKUP(tbl_main[[#This Row],[Service]],tbl_service[Service],tbl_service[Price],"")</f>
        <v>200</v>
      </c>
      <c r="L1451" s="3">
        <v>1</v>
      </c>
      <c r="M1451" s="3">
        <f>IF(AND(tbl_main[[#This Row],[Price]]="",tbl_main[[#This Row],[Qty]]=""),"",tbl_main[[#This Row],[Price]]*tbl_main[[#This Row],[Qty]])</f>
        <v>200</v>
      </c>
      <c r="N1451" s="3">
        <f>_xlfn.LET(_xlpm.x,_xlfn.XLOOKUP(tbl_main[[#This Row],[Service]],tbl_service[Service],tbl_service[Profit],""),
               IF(tbl_main[[#This Row],[Qty]]="","",_xlpm.x*tbl_main[[#This Row],[Qty]]))</f>
        <v>90</v>
      </c>
    </row>
    <row r="1452" spans="1:14" x14ac:dyDescent="0.25">
      <c r="A1452" t="s">
        <v>1494</v>
      </c>
      <c r="B1452" s="1">
        <v>46139</v>
      </c>
      <c r="C1452">
        <f>IF(tbl_main[[#This Row],[Date]]="","",YEAR(B1452))</f>
        <v>2026</v>
      </c>
      <c r="D1452" t="str">
        <f>IF(tbl_main[[#This Row],[Date]]="","",TEXT(B1452,"mmm"))</f>
        <v>Apr</v>
      </c>
      <c r="E1452" t="str">
        <f>IF(tbl_main[[#This Row],[Date]]="","",TEXT(B1452,"DDD"))</f>
        <v>Mon</v>
      </c>
      <c r="F1452" t="s">
        <v>13</v>
      </c>
      <c r="G1452" t="s">
        <v>33</v>
      </c>
      <c r="H1452" s="3" t="s">
        <v>22</v>
      </c>
      <c r="I1452" s="3" t="s">
        <v>16</v>
      </c>
      <c r="J1452" s="3" t="s">
        <v>25</v>
      </c>
      <c r="K1452" s="3">
        <f>_xlfn.XLOOKUP(tbl_main[[#This Row],[Service]],tbl_service[Service],tbl_service[Price],"")</f>
        <v>150</v>
      </c>
      <c r="L1452" s="3">
        <v>1</v>
      </c>
      <c r="M1452" s="3">
        <f>IF(AND(tbl_main[[#This Row],[Price]]="",tbl_main[[#This Row],[Qty]]=""),"",tbl_main[[#This Row],[Price]]*tbl_main[[#This Row],[Qty]])</f>
        <v>150</v>
      </c>
      <c r="N1452" s="3">
        <f>_xlfn.LET(_xlpm.x,_xlfn.XLOOKUP(tbl_main[[#This Row],[Service]],tbl_service[Service],tbl_service[Profit],""),
               IF(tbl_main[[#This Row],[Qty]]="","",_xlpm.x*tbl_main[[#This Row],[Qty]]))</f>
        <v>67</v>
      </c>
    </row>
    <row r="1453" spans="1:14" x14ac:dyDescent="0.25">
      <c r="A1453" t="s">
        <v>1495</v>
      </c>
      <c r="B1453" s="1">
        <v>46139</v>
      </c>
      <c r="C1453">
        <f>IF(tbl_main[[#This Row],[Date]]="","",YEAR(B1453))</f>
        <v>2026</v>
      </c>
      <c r="D1453" t="str">
        <f>IF(tbl_main[[#This Row],[Date]]="","",TEXT(B1453,"mmm"))</f>
        <v>Apr</v>
      </c>
      <c r="E1453" t="str">
        <f>IF(tbl_main[[#This Row],[Date]]="","",TEXT(B1453,"DDD"))</f>
        <v>Mon</v>
      </c>
      <c r="F1453" t="s">
        <v>20</v>
      </c>
      <c r="G1453" t="s">
        <v>21</v>
      </c>
      <c r="H1453" s="3" t="s">
        <v>26</v>
      </c>
      <c r="I1453" s="3" t="s">
        <v>19</v>
      </c>
      <c r="J1453" s="3" t="s">
        <v>32</v>
      </c>
      <c r="K1453" s="3">
        <f>_xlfn.XLOOKUP(tbl_main[[#This Row],[Service]],tbl_service[Service],tbl_service[Price],"")</f>
        <v>200</v>
      </c>
      <c r="L1453" s="3">
        <v>1</v>
      </c>
      <c r="M1453" s="3">
        <f>IF(AND(tbl_main[[#This Row],[Price]]="",tbl_main[[#This Row],[Qty]]=""),"",tbl_main[[#This Row],[Price]]*tbl_main[[#This Row],[Qty]])</f>
        <v>200</v>
      </c>
      <c r="N1453" s="3">
        <f>_xlfn.LET(_xlpm.x,_xlfn.XLOOKUP(tbl_main[[#This Row],[Service]],tbl_service[Service],tbl_service[Profit],""),
               IF(tbl_main[[#This Row],[Qty]]="","",_xlpm.x*tbl_main[[#This Row],[Qty]]))</f>
        <v>90</v>
      </c>
    </row>
    <row r="1454" spans="1:14" x14ac:dyDescent="0.25">
      <c r="A1454" t="s">
        <v>1496</v>
      </c>
      <c r="B1454" s="1">
        <v>46140</v>
      </c>
      <c r="C1454">
        <f>IF(tbl_main[[#This Row],[Date]]="","",YEAR(B1454))</f>
        <v>2026</v>
      </c>
      <c r="D1454" t="str">
        <f>IF(tbl_main[[#This Row],[Date]]="","",TEXT(B1454,"mmm"))</f>
        <v>Apr</v>
      </c>
      <c r="E1454" t="str">
        <f>IF(tbl_main[[#This Row],[Date]]="","",TEXT(B1454,"DDD"))</f>
        <v>Tue</v>
      </c>
      <c r="F1454" t="s">
        <v>13</v>
      </c>
      <c r="G1454" t="s">
        <v>33</v>
      </c>
      <c r="H1454" s="3" t="s">
        <v>34</v>
      </c>
      <c r="I1454" s="3" t="s">
        <v>43</v>
      </c>
      <c r="J1454" s="3" t="s">
        <v>32</v>
      </c>
      <c r="K1454" s="3">
        <f>_xlfn.XLOOKUP(tbl_main[[#This Row],[Service]],tbl_service[Service],tbl_service[Price],"")</f>
        <v>100</v>
      </c>
      <c r="L1454" s="3">
        <v>2</v>
      </c>
      <c r="M1454" s="3">
        <f>IF(AND(tbl_main[[#This Row],[Price]]="",tbl_main[[#This Row],[Qty]]=""),"",tbl_main[[#This Row],[Price]]*tbl_main[[#This Row],[Qty]])</f>
        <v>200</v>
      </c>
      <c r="N1454" s="3">
        <f>_xlfn.LET(_xlpm.x,_xlfn.XLOOKUP(tbl_main[[#This Row],[Service]],tbl_service[Service],tbl_service[Profit],""),
               IF(tbl_main[[#This Row],[Qty]]="","",_xlpm.x*tbl_main[[#This Row],[Qty]]))</f>
        <v>90</v>
      </c>
    </row>
    <row r="1455" spans="1:14" x14ac:dyDescent="0.25">
      <c r="A1455" t="s">
        <v>1497</v>
      </c>
      <c r="B1455" s="1">
        <v>46140</v>
      </c>
      <c r="C1455">
        <f>IF(tbl_main[[#This Row],[Date]]="","",YEAR(B1455))</f>
        <v>2026</v>
      </c>
      <c r="D1455" t="str">
        <f>IF(tbl_main[[#This Row],[Date]]="","",TEXT(B1455,"mmm"))</f>
        <v>Apr</v>
      </c>
      <c r="E1455" t="str">
        <f>IF(tbl_main[[#This Row],[Date]]="","",TEXT(B1455,"DDD"))</f>
        <v>Tue</v>
      </c>
      <c r="F1455" t="s">
        <v>13</v>
      </c>
      <c r="G1455" t="s">
        <v>33</v>
      </c>
      <c r="H1455" s="3" t="s">
        <v>22</v>
      </c>
      <c r="I1455" s="3" t="s">
        <v>41</v>
      </c>
      <c r="J1455" s="3" t="s">
        <v>25</v>
      </c>
      <c r="K1455" s="3">
        <f>_xlfn.XLOOKUP(tbl_main[[#This Row],[Service]],tbl_service[Service],tbl_service[Price],"")</f>
        <v>150</v>
      </c>
      <c r="L1455" s="3">
        <v>1</v>
      </c>
      <c r="M1455" s="3">
        <f>IF(AND(tbl_main[[#This Row],[Price]]="",tbl_main[[#This Row],[Qty]]=""),"",tbl_main[[#This Row],[Price]]*tbl_main[[#This Row],[Qty]])</f>
        <v>150</v>
      </c>
      <c r="N1455" s="3">
        <f>_xlfn.LET(_xlpm.x,_xlfn.XLOOKUP(tbl_main[[#This Row],[Service]],tbl_service[Service],tbl_service[Profit],""),
               IF(tbl_main[[#This Row],[Qty]]="","",_xlpm.x*tbl_main[[#This Row],[Qty]]))</f>
        <v>67</v>
      </c>
    </row>
    <row r="1456" spans="1:14" x14ac:dyDescent="0.25">
      <c r="A1456" t="s">
        <v>1498</v>
      </c>
      <c r="B1456" s="1">
        <v>46140</v>
      </c>
      <c r="C1456">
        <f>IF(tbl_main[[#This Row],[Date]]="","",YEAR(B1456))</f>
        <v>2026</v>
      </c>
      <c r="D1456" t="str">
        <f>IF(tbl_main[[#This Row],[Date]]="","",TEXT(B1456,"mmm"))</f>
        <v>Apr</v>
      </c>
      <c r="E1456" t="str">
        <f>IF(tbl_main[[#This Row],[Date]]="","",TEXT(B1456,"DDD"))</f>
        <v>Tue</v>
      </c>
      <c r="F1456" t="s">
        <v>27</v>
      </c>
      <c r="G1456" t="s">
        <v>40</v>
      </c>
      <c r="H1456" s="3" t="s">
        <v>22</v>
      </c>
      <c r="I1456" s="3" t="s">
        <v>41</v>
      </c>
      <c r="J1456" s="3" t="s">
        <v>17</v>
      </c>
      <c r="K1456" s="3">
        <f>_xlfn.XLOOKUP(tbl_main[[#This Row],[Service]],tbl_service[Service],tbl_service[Price],"")</f>
        <v>150</v>
      </c>
      <c r="L1456" s="3">
        <v>2</v>
      </c>
      <c r="M1456" s="3">
        <f>IF(AND(tbl_main[[#This Row],[Price]]="",tbl_main[[#This Row],[Qty]]=""),"",tbl_main[[#This Row],[Price]]*tbl_main[[#This Row],[Qty]])</f>
        <v>300</v>
      </c>
      <c r="N1456" s="3">
        <f>_xlfn.LET(_xlpm.x,_xlfn.XLOOKUP(tbl_main[[#This Row],[Service]],tbl_service[Service],tbl_service[Profit],""),
               IF(tbl_main[[#This Row],[Qty]]="","",_xlpm.x*tbl_main[[#This Row],[Qty]]))</f>
        <v>134</v>
      </c>
    </row>
    <row r="1457" spans="1:14" x14ac:dyDescent="0.25">
      <c r="A1457" t="s">
        <v>1499</v>
      </c>
      <c r="B1457" s="1">
        <v>46141</v>
      </c>
      <c r="C1457">
        <f>IF(tbl_main[[#This Row],[Date]]="","",YEAR(B1457))</f>
        <v>2026</v>
      </c>
      <c r="D1457" t="str">
        <f>IF(tbl_main[[#This Row],[Date]]="","",TEXT(B1457,"mmm"))</f>
        <v>Apr</v>
      </c>
      <c r="E1457" t="str">
        <f>IF(tbl_main[[#This Row],[Date]]="","",TEXT(B1457,"DDD"))</f>
        <v>Wed</v>
      </c>
      <c r="F1457" t="s">
        <v>13</v>
      </c>
      <c r="G1457" t="s">
        <v>33</v>
      </c>
      <c r="H1457" s="3" t="s">
        <v>18</v>
      </c>
      <c r="I1457" s="3" t="s">
        <v>35</v>
      </c>
      <c r="J1457" s="3" t="s">
        <v>32</v>
      </c>
      <c r="K1457" s="3">
        <f>_xlfn.XLOOKUP(tbl_main[[#This Row],[Service]],tbl_service[Service],tbl_service[Price],"")</f>
        <v>500</v>
      </c>
      <c r="L1457" s="3">
        <v>2</v>
      </c>
      <c r="M1457" s="3">
        <f>IF(AND(tbl_main[[#This Row],[Price]]="",tbl_main[[#This Row],[Qty]]=""),"",tbl_main[[#This Row],[Price]]*tbl_main[[#This Row],[Qty]])</f>
        <v>1000</v>
      </c>
      <c r="N1457" s="3">
        <f>_xlfn.LET(_xlpm.x,_xlfn.XLOOKUP(tbl_main[[#This Row],[Service]],tbl_service[Service],tbl_service[Profit],""),
               IF(tbl_main[[#This Row],[Qty]]="","",_xlpm.x*tbl_main[[#This Row],[Qty]]))</f>
        <v>314</v>
      </c>
    </row>
    <row r="1458" spans="1:14" x14ac:dyDescent="0.25">
      <c r="A1458" t="s">
        <v>1500</v>
      </c>
      <c r="B1458" s="1">
        <v>46141</v>
      </c>
      <c r="C1458">
        <f>IF(tbl_main[[#This Row],[Date]]="","",YEAR(B1458))</f>
        <v>2026</v>
      </c>
      <c r="D1458" t="str">
        <f>IF(tbl_main[[#This Row],[Date]]="","",TEXT(B1458,"mmm"))</f>
        <v>Apr</v>
      </c>
      <c r="E1458" t="str">
        <f>IF(tbl_main[[#This Row],[Date]]="","",TEXT(B1458,"DDD"))</f>
        <v>Wed</v>
      </c>
      <c r="F1458" t="s">
        <v>30</v>
      </c>
      <c r="G1458" t="s">
        <v>36</v>
      </c>
      <c r="H1458" s="3" t="s">
        <v>24</v>
      </c>
      <c r="I1458" s="3" t="s">
        <v>35</v>
      </c>
      <c r="J1458" s="3" t="s">
        <v>32</v>
      </c>
      <c r="K1458" s="3">
        <f>_xlfn.XLOOKUP(tbl_main[[#This Row],[Service]],tbl_service[Service],tbl_service[Price],"")</f>
        <v>80</v>
      </c>
      <c r="L1458" s="3">
        <v>2</v>
      </c>
      <c r="M1458" s="3">
        <f>IF(AND(tbl_main[[#This Row],[Price]]="",tbl_main[[#This Row],[Qty]]=""),"",tbl_main[[#This Row],[Price]]*tbl_main[[#This Row],[Qty]])</f>
        <v>160</v>
      </c>
      <c r="N1458" s="3">
        <f>_xlfn.LET(_xlpm.x,_xlfn.XLOOKUP(tbl_main[[#This Row],[Service]],tbl_service[Service],tbl_service[Profit],""),
               IF(tbl_main[[#This Row],[Qty]]="","",_xlpm.x*tbl_main[[#This Row],[Qty]]))</f>
        <v>72</v>
      </c>
    </row>
    <row r="1459" spans="1:14" x14ac:dyDescent="0.25">
      <c r="A1459" t="s">
        <v>1501</v>
      </c>
      <c r="B1459" s="1">
        <v>46141</v>
      </c>
      <c r="C1459">
        <f>IF(tbl_main[[#This Row],[Date]]="","",YEAR(B1459))</f>
        <v>2026</v>
      </c>
      <c r="D1459" t="str">
        <f>IF(tbl_main[[#This Row],[Date]]="","",TEXT(B1459,"mmm"))</f>
        <v>Apr</v>
      </c>
      <c r="E1459" t="str">
        <f>IF(tbl_main[[#This Row],[Date]]="","",TEXT(B1459,"DDD"))</f>
        <v>Wed</v>
      </c>
      <c r="F1459" t="s">
        <v>13</v>
      </c>
      <c r="G1459" t="s">
        <v>33</v>
      </c>
      <c r="H1459" s="3" t="s">
        <v>18</v>
      </c>
      <c r="I1459" s="3" t="s">
        <v>23</v>
      </c>
      <c r="J1459" s="3" t="s">
        <v>25</v>
      </c>
      <c r="K1459" s="3">
        <f>_xlfn.XLOOKUP(tbl_main[[#This Row],[Service]],tbl_service[Service],tbl_service[Price],"")</f>
        <v>500</v>
      </c>
      <c r="L1459" s="3">
        <v>1</v>
      </c>
      <c r="M1459" s="3">
        <f>IF(AND(tbl_main[[#This Row],[Price]]="",tbl_main[[#This Row],[Qty]]=""),"",tbl_main[[#This Row],[Price]]*tbl_main[[#This Row],[Qty]])</f>
        <v>500</v>
      </c>
      <c r="N1459" s="3">
        <f>_xlfn.LET(_xlpm.x,_xlfn.XLOOKUP(tbl_main[[#This Row],[Service]],tbl_service[Service],tbl_service[Profit],""),
               IF(tbl_main[[#This Row],[Qty]]="","",_xlpm.x*tbl_main[[#This Row],[Qty]]))</f>
        <v>157</v>
      </c>
    </row>
    <row r="1460" spans="1:14" x14ac:dyDescent="0.25">
      <c r="A1460" t="s">
        <v>1502</v>
      </c>
      <c r="B1460" s="1">
        <v>46141</v>
      </c>
      <c r="C1460">
        <f>IF(tbl_main[[#This Row],[Date]]="","",YEAR(B1460))</f>
        <v>2026</v>
      </c>
      <c r="D1460" t="str">
        <f>IF(tbl_main[[#This Row],[Date]]="","",TEXT(B1460,"mmm"))</f>
        <v>Apr</v>
      </c>
      <c r="E1460" t="str">
        <f>IF(tbl_main[[#This Row],[Date]]="","",TEXT(B1460,"DDD"))</f>
        <v>Wed</v>
      </c>
      <c r="F1460" t="s">
        <v>30</v>
      </c>
      <c r="G1460" t="s">
        <v>31</v>
      </c>
      <c r="H1460" s="3" t="s">
        <v>22</v>
      </c>
      <c r="I1460" s="3" t="s">
        <v>37</v>
      </c>
      <c r="J1460" s="3" t="s">
        <v>25</v>
      </c>
      <c r="K1460" s="3">
        <f>_xlfn.XLOOKUP(tbl_main[[#This Row],[Service]],tbl_service[Service],tbl_service[Price],"")</f>
        <v>150</v>
      </c>
      <c r="L1460" s="3">
        <v>1</v>
      </c>
      <c r="M1460" s="3">
        <f>IF(AND(tbl_main[[#This Row],[Price]]="",tbl_main[[#This Row],[Qty]]=""),"",tbl_main[[#This Row],[Price]]*tbl_main[[#This Row],[Qty]])</f>
        <v>150</v>
      </c>
      <c r="N1460" s="3">
        <f>_xlfn.LET(_xlpm.x,_xlfn.XLOOKUP(tbl_main[[#This Row],[Service]],tbl_service[Service],tbl_service[Profit],""),
               IF(tbl_main[[#This Row],[Qty]]="","",_xlpm.x*tbl_main[[#This Row],[Qty]]))</f>
        <v>67</v>
      </c>
    </row>
    <row r="1461" spans="1:14" x14ac:dyDescent="0.25">
      <c r="A1461" t="s">
        <v>1503</v>
      </c>
      <c r="B1461" s="1">
        <v>46142</v>
      </c>
      <c r="C1461">
        <f>IF(tbl_main[[#This Row],[Date]]="","",YEAR(B1461))</f>
        <v>2026</v>
      </c>
      <c r="D1461" t="str">
        <f>IF(tbl_main[[#This Row],[Date]]="","",TEXT(B1461,"mmm"))</f>
        <v>Apr</v>
      </c>
      <c r="E1461" t="str">
        <f>IF(tbl_main[[#This Row],[Date]]="","",TEXT(B1461,"DDD"))</f>
        <v>Thu</v>
      </c>
      <c r="F1461" t="s">
        <v>30</v>
      </c>
      <c r="G1461" t="s">
        <v>36</v>
      </c>
      <c r="H1461" s="3" t="s">
        <v>22</v>
      </c>
      <c r="I1461" s="3" t="s">
        <v>38</v>
      </c>
      <c r="J1461" s="3" t="s">
        <v>25</v>
      </c>
      <c r="K1461" s="3">
        <f>_xlfn.XLOOKUP(tbl_main[[#This Row],[Service]],tbl_service[Service],tbl_service[Price],"")</f>
        <v>150</v>
      </c>
      <c r="L1461" s="3">
        <v>1</v>
      </c>
      <c r="M1461" s="3">
        <f>IF(AND(tbl_main[[#This Row],[Price]]="",tbl_main[[#This Row],[Qty]]=""),"",tbl_main[[#This Row],[Price]]*tbl_main[[#This Row],[Qty]])</f>
        <v>150</v>
      </c>
      <c r="N1461" s="3">
        <f>_xlfn.LET(_xlpm.x,_xlfn.XLOOKUP(tbl_main[[#This Row],[Service]],tbl_service[Service],tbl_service[Profit],""),
               IF(tbl_main[[#This Row],[Qty]]="","",_xlpm.x*tbl_main[[#This Row],[Qty]]))</f>
        <v>67</v>
      </c>
    </row>
    <row r="1462" spans="1:14" x14ac:dyDescent="0.25">
      <c r="A1462" t="s">
        <v>1504</v>
      </c>
      <c r="B1462" s="1">
        <v>46142</v>
      </c>
      <c r="C1462">
        <f>IF(tbl_main[[#This Row],[Date]]="","",YEAR(B1462))</f>
        <v>2026</v>
      </c>
      <c r="D1462" t="str">
        <f>IF(tbl_main[[#This Row],[Date]]="","",TEXT(B1462,"mmm"))</f>
        <v>Apr</v>
      </c>
      <c r="E1462" t="str">
        <f>IF(tbl_main[[#This Row],[Date]]="","",TEXT(B1462,"DDD"))</f>
        <v>Thu</v>
      </c>
      <c r="F1462" t="s">
        <v>30</v>
      </c>
      <c r="G1462" t="s">
        <v>31</v>
      </c>
      <c r="H1462" s="3" t="s">
        <v>26</v>
      </c>
      <c r="I1462" s="3" t="s">
        <v>16</v>
      </c>
      <c r="J1462" s="3" t="s">
        <v>17</v>
      </c>
      <c r="K1462" s="3">
        <f>_xlfn.XLOOKUP(tbl_main[[#This Row],[Service]],tbl_service[Service],tbl_service[Price],"")</f>
        <v>200</v>
      </c>
      <c r="L1462" s="3">
        <v>1</v>
      </c>
      <c r="M1462" s="3">
        <f>IF(AND(tbl_main[[#This Row],[Price]]="",tbl_main[[#This Row],[Qty]]=""),"",tbl_main[[#This Row],[Price]]*tbl_main[[#This Row],[Qty]])</f>
        <v>200</v>
      </c>
      <c r="N1462" s="3">
        <f>_xlfn.LET(_xlpm.x,_xlfn.XLOOKUP(tbl_main[[#This Row],[Service]],tbl_service[Service],tbl_service[Profit],""),
               IF(tbl_main[[#This Row],[Qty]]="","",_xlpm.x*tbl_main[[#This Row],[Qty]]))</f>
        <v>90</v>
      </c>
    </row>
    <row r="1463" spans="1:14" x14ac:dyDescent="0.25">
      <c r="A1463" t="s">
        <v>1505</v>
      </c>
      <c r="B1463" s="1">
        <v>46143</v>
      </c>
      <c r="C1463">
        <f>IF(tbl_main[[#This Row],[Date]]="","",YEAR(B1463))</f>
        <v>2026</v>
      </c>
      <c r="D1463" t="str">
        <f>IF(tbl_main[[#This Row],[Date]]="","",TEXT(B1463,"mmm"))</f>
        <v>May</v>
      </c>
      <c r="E1463" t="str">
        <f>IF(tbl_main[[#This Row],[Date]]="","",TEXT(B1463,"DDD"))</f>
        <v>Fri</v>
      </c>
      <c r="F1463" t="s">
        <v>27</v>
      </c>
      <c r="G1463" t="s">
        <v>28</v>
      </c>
      <c r="H1463" s="3" t="s">
        <v>26</v>
      </c>
      <c r="I1463" s="3" t="s">
        <v>19</v>
      </c>
      <c r="J1463" s="3" t="s">
        <v>32</v>
      </c>
      <c r="K1463" s="3">
        <f>_xlfn.XLOOKUP(tbl_main[[#This Row],[Service]],tbl_service[Service],tbl_service[Price],"")</f>
        <v>200</v>
      </c>
      <c r="L1463" s="3">
        <v>1</v>
      </c>
      <c r="M1463" s="3">
        <f>IF(AND(tbl_main[[#This Row],[Price]]="",tbl_main[[#This Row],[Qty]]=""),"",tbl_main[[#This Row],[Price]]*tbl_main[[#This Row],[Qty]])</f>
        <v>200</v>
      </c>
      <c r="N1463" s="3">
        <f>_xlfn.LET(_xlpm.x,_xlfn.XLOOKUP(tbl_main[[#This Row],[Service]],tbl_service[Service],tbl_service[Profit],""),
               IF(tbl_main[[#This Row],[Qty]]="","",_xlpm.x*tbl_main[[#This Row],[Qty]]))</f>
        <v>90</v>
      </c>
    </row>
    <row r="1464" spans="1:14" x14ac:dyDescent="0.25">
      <c r="A1464" t="s">
        <v>1506</v>
      </c>
      <c r="B1464" s="1">
        <v>46143</v>
      </c>
      <c r="C1464">
        <f>IF(tbl_main[[#This Row],[Date]]="","",YEAR(B1464))</f>
        <v>2026</v>
      </c>
      <c r="D1464" t="str">
        <f>IF(tbl_main[[#This Row],[Date]]="","",TEXT(B1464,"mmm"))</f>
        <v>May</v>
      </c>
      <c r="E1464" t="str">
        <f>IF(tbl_main[[#This Row],[Date]]="","",TEXT(B1464,"DDD"))</f>
        <v>Fri</v>
      </c>
      <c r="F1464" t="s">
        <v>20</v>
      </c>
      <c r="G1464" t="s">
        <v>29</v>
      </c>
      <c r="H1464" s="3" t="s">
        <v>24</v>
      </c>
      <c r="I1464" s="3" t="s">
        <v>43</v>
      </c>
      <c r="J1464" s="3" t="s">
        <v>25</v>
      </c>
      <c r="K1464" s="3">
        <f>_xlfn.XLOOKUP(tbl_main[[#This Row],[Service]],tbl_service[Service],tbl_service[Price],"")</f>
        <v>80</v>
      </c>
      <c r="L1464" s="3">
        <v>1</v>
      </c>
      <c r="M1464" s="3">
        <f>IF(AND(tbl_main[[#This Row],[Price]]="",tbl_main[[#This Row],[Qty]]=""),"",tbl_main[[#This Row],[Price]]*tbl_main[[#This Row],[Qty]])</f>
        <v>80</v>
      </c>
      <c r="N1464" s="3">
        <f>_xlfn.LET(_xlpm.x,_xlfn.XLOOKUP(tbl_main[[#This Row],[Service]],tbl_service[Service],tbl_service[Profit],""),
               IF(tbl_main[[#This Row],[Qty]]="","",_xlpm.x*tbl_main[[#This Row],[Qty]]))</f>
        <v>36</v>
      </c>
    </row>
    <row r="1465" spans="1:14" x14ac:dyDescent="0.25">
      <c r="A1465" t="s">
        <v>1507</v>
      </c>
      <c r="B1465" s="1">
        <v>46143</v>
      </c>
      <c r="C1465">
        <f>IF(tbl_main[[#This Row],[Date]]="","",YEAR(B1465))</f>
        <v>2026</v>
      </c>
      <c r="D1465" t="str">
        <f>IF(tbl_main[[#This Row],[Date]]="","",TEXT(B1465,"mmm"))</f>
        <v>May</v>
      </c>
      <c r="E1465" t="str">
        <f>IF(tbl_main[[#This Row],[Date]]="","",TEXT(B1465,"DDD"))</f>
        <v>Fri</v>
      </c>
      <c r="F1465" t="s">
        <v>27</v>
      </c>
      <c r="G1465" t="s">
        <v>28</v>
      </c>
      <c r="H1465" s="3" t="s">
        <v>22</v>
      </c>
      <c r="I1465" s="3" t="s">
        <v>41</v>
      </c>
      <c r="J1465" s="3" t="s">
        <v>32</v>
      </c>
      <c r="K1465" s="3">
        <f>_xlfn.XLOOKUP(tbl_main[[#This Row],[Service]],tbl_service[Service],tbl_service[Price],"")</f>
        <v>150</v>
      </c>
      <c r="L1465" s="3">
        <v>1</v>
      </c>
      <c r="M1465" s="3">
        <f>IF(AND(tbl_main[[#This Row],[Price]]="",tbl_main[[#This Row],[Qty]]=""),"",tbl_main[[#This Row],[Price]]*tbl_main[[#This Row],[Qty]])</f>
        <v>150</v>
      </c>
      <c r="N1465" s="3">
        <f>_xlfn.LET(_xlpm.x,_xlfn.XLOOKUP(tbl_main[[#This Row],[Service]],tbl_service[Service],tbl_service[Profit],""),
               IF(tbl_main[[#This Row],[Qty]]="","",_xlpm.x*tbl_main[[#This Row],[Qty]]))</f>
        <v>67</v>
      </c>
    </row>
    <row r="1466" spans="1:14" x14ac:dyDescent="0.25">
      <c r="A1466" t="s">
        <v>1508</v>
      </c>
      <c r="B1466" s="1">
        <v>46144</v>
      </c>
      <c r="C1466">
        <f>IF(tbl_main[[#This Row],[Date]]="","",YEAR(B1466))</f>
        <v>2026</v>
      </c>
      <c r="D1466" t="str">
        <f>IF(tbl_main[[#This Row],[Date]]="","",TEXT(B1466,"mmm"))</f>
        <v>May</v>
      </c>
      <c r="E1466" t="str">
        <f>IF(tbl_main[[#This Row],[Date]]="","",TEXT(B1466,"DDD"))</f>
        <v>Sat</v>
      </c>
      <c r="F1466" t="s">
        <v>20</v>
      </c>
      <c r="G1466" t="s">
        <v>21</v>
      </c>
      <c r="H1466" s="3" t="s">
        <v>34</v>
      </c>
      <c r="I1466" s="3" t="s">
        <v>41</v>
      </c>
      <c r="J1466" s="3" t="s">
        <v>32</v>
      </c>
      <c r="K1466" s="3">
        <f>_xlfn.XLOOKUP(tbl_main[[#This Row],[Service]],tbl_service[Service],tbl_service[Price],"")</f>
        <v>100</v>
      </c>
      <c r="L1466" s="3">
        <v>2</v>
      </c>
      <c r="M1466" s="3">
        <f>IF(AND(tbl_main[[#This Row],[Price]]="",tbl_main[[#This Row],[Qty]]=""),"",tbl_main[[#This Row],[Price]]*tbl_main[[#This Row],[Qty]])</f>
        <v>200</v>
      </c>
      <c r="N1466" s="3">
        <f>_xlfn.LET(_xlpm.x,_xlfn.XLOOKUP(tbl_main[[#This Row],[Service]],tbl_service[Service],tbl_service[Profit],""),
               IF(tbl_main[[#This Row],[Qty]]="","",_xlpm.x*tbl_main[[#This Row],[Qty]]))</f>
        <v>90</v>
      </c>
    </row>
    <row r="1467" spans="1:14" x14ac:dyDescent="0.25">
      <c r="A1467" t="s">
        <v>1509</v>
      </c>
      <c r="B1467" s="1">
        <v>46144</v>
      </c>
      <c r="C1467">
        <f>IF(tbl_main[[#This Row],[Date]]="","",YEAR(B1467))</f>
        <v>2026</v>
      </c>
      <c r="D1467" t="str">
        <f>IF(tbl_main[[#This Row],[Date]]="","",TEXT(B1467,"mmm"))</f>
        <v>May</v>
      </c>
      <c r="E1467" t="str">
        <f>IF(tbl_main[[#This Row],[Date]]="","",TEXT(B1467,"DDD"))</f>
        <v>Sat</v>
      </c>
      <c r="F1467" t="s">
        <v>30</v>
      </c>
      <c r="G1467" t="s">
        <v>36</v>
      </c>
      <c r="H1467" s="3" t="s">
        <v>18</v>
      </c>
      <c r="I1467" s="3" t="s">
        <v>35</v>
      </c>
      <c r="J1467" s="3" t="s">
        <v>17</v>
      </c>
      <c r="K1467" s="3">
        <f>_xlfn.XLOOKUP(tbl_main[[#This Row],[Service]],tbl_service[Service],tbl_service[Price],"")</f>
        <v>500</v>
      </c>
      <c r="L1467" s="3">
        <v>1</v>
      </c>
      <c r="M1467" s="3">
        <f>IF(AND(tbl_main[[#This Row],[Price]]="",tbl_main[[#This Row],[Qty]]=""),"",tbl_main[[#This Row],[Price]]*tbl_main[[#This Row],[Qty]])</f>
        <v>500</v>
      </c>
      <c r="N1467" s="3">
        <f>_xlfn.LET(_xlpm.x,_xlfn.XLOOKUP(tbl_main[[#This Row],[Service]],tbl_service[Service],tbl_service[Profit],""),
               IF(tbl_main[[#This Row],[Qty]]="","",_xlpm.x*tbl_main[[#This Row],[Qty]]))</f>
        <v>157</v>
      </c>
    </row>
    <row r="1468" spans="1:14" x14ac:dyDescent="0.25">
      <c r="A1468" t="s">
        <v>1510</v>
      </c>
      <c r="B1468" s="1">
        <v>46144</v>
      </c>
      <c r="C1468">
        <f>IF(tbl_main[[#This Row],[Date]]="","",YEAR(B1468))</f>
        <v>2026</v>
      </c>
      <c r="D1468" t="str">
        <f>IF(tbl_main[[#This Row],[Date]]="","",TEXT(B1468,"mmm"))</f>
        <v>May</v>
      </c>
      <c r="E1468" t="str">
        <f>IF(tbl_main[[#This Row],[Date]]="","",TEXT(B1468,"DDD"))</f>
        <v>Sat</v>
      </c>
      <c r="F1468" t="s">
        <v>20</v>
      </c>
      <c r="G1468" t="s">
        <v>21</v>
      </c>
      <c r="H1468" s="3" t="s">
        <v>18</v>
      </c>
      <c r="I1468" s="3" t="s">
        <v>35</v>
      </c>
      <c r="J1468" s="3" t="s">
        <v>32</v>
      </c>
      <c r="K1468" s="3">
        <f>_xlfn.XLOOKUP(tbl_main[[#This Row],[Service]],tbl_service[Service],tbl_service[Price],"")</f>
        <v>500</v>
      </c>
      <c r="L1468" s="3">
        <v>1</v>
      </c>
      <c r="M1468" s="3">
        <f>IF(AND(tbl_main[[#This Row],[Price]]="",tbl_main[[#This Row],[Qty]]=""),"",tbl_main[[#This Row],[Price]]*tbl_main[[#This Row],[Qty]])</f>
        <v>500</v>
      </c>
      <c r="N1468" s="3">
        <f>_xlfn.LET(_xlpm.x,_xlfn.XLOOKUP(tbl_main[[#This Row],[Service]],tbl_service[Service],tbl_service[Profit],""),
               IF(tbl_main[[#This Row],[Qty]]="","",_xlpm.x*tbl_main[[#This Row],[Qty]]))</f>
        <v>157</v>
      </c>
    </row>
    <row r="1469" spans="1:14" x14ac:dyDescent="0.25">
      <c r="A1469" t="s">
        <v>1511</v>
      </c>
      <c r="B1469" s="1">
        <v>46144</v>
      </c>
      <c r="C1469">
        <f>IF(tbl_main[[#This Row],[Date]]="","",YEAR(B1469))</f>
        <v>2026</v>
      </c>
      <c r="D1469" t="str">
        <f>IF(tbl_main[[#This Row],[Date]]="","",TEXT(B1469,"mmm"))</f>
        <v>May</v>
      </c>
      <c r="E1469" t="str">
        <f>IF(tbl_main[[#This Row],[Date]]="","",TEXT(B1469,"DDD"))</f>
        <v>Sat</v>
      </c>
      <c r="F1469" t="s">
        <v>20</v>
      </c>
      <c r="G1469" t="s">
        <v>21</v>
      </c>
      <c r="H1469" s="3" t="s">
        <v>22</v>
      </c>
      <c r="I1469" s="3" t="s">
        <v>23</v>
      </c>
      <c r="J1469" s="3" t="s">
        <v>17</v>
      </c>
      <c r="K1469" s="3">
        <f>_xlfn.XLOOKUP(tbl_main[[#This Row],[Service]],tbl_service[Service],tbl_service[Price],"")</f>
        <v>150</v>
      </c>
      <c r="L1469" s="3">
        <v>2</v>
      </c>
      <c r="M1469" s="3">
        <f>IF(AND(tbl_main[[#This Row],[Price]]="",tbl_main[[#This Row],[Qty]]=""),"",tbl_main[[#This Row],[Price]]*tbl_main[[#This Row],[Qty]])</f>
        <v>300</v>
      </c>
      <c r="N1469" s="3">
        <f>_xlfn.LET(_xlpm.x,_xlfn.XLOOKUP(tbl_main[[#This Row],[Service]],tbl_service[Service],tbl_service[Profit],""),
               IF(tbl_main[[#This Row],[Qty]]="","",_xlpm.x*tbl_main[[#This Row],[Qty]]))</f>
        <v>134</v>
      </c>
    </row>
    <row r="1470" spans="1:14" x14ac:dyDescent="0.25">
      <c r="A1470" t="s">
        <v>1512</v>
      </c>
      <c r="B1470" s="1">
        <v>46145</v>
      </c>
      <c r="C1470">
        <f>IF(tbl_main[[#This Row],[Date]]="","",YEAR(B1470))</f>
        <v>2026</v>
      </c>
      <c r="D1470" t="str">
        <f>IF(tbl_main[[#This Row],[Date]]="","",TEXT(B1470,"mmm"))</f>
        <v>May</v>
      </c>
      <c r="E1470" t="str">
        <f>IF(tbl_main[[#This Row],[Date]]="","",TEXT(B1470,"DDD"))</f>
        <v>Sun</v>
      </c>
      <c r="F1470" t="s">
        <v>20</v>
      </c>
      <c r="G1470" t="s">
        <v>21</v>
      </c>
      <c r="H1470" s="3" t="s">
        <v>26</v>
      </c>
      <c r="I1470" s="3" t="s">
        <v>37</v>
      </c>
      <c r="J1470" s="3" t="s">
        <v>25</v>
      </c>
      <c r="K1470" s="3">
        <f>_xlfn.XLOOKUP(tbl_main[[#This Row],[Service]],tbl_service[Service],tbl_service[Price],"")</f>
        <v>200</v>
      </c>
      <c r="L1470" s="3">
        <v>2</v>
      </c>
      <c r="M1470" s="3">
        <f>IF(AND(tbl_main[[#This Row],[Price]]="",tbl_main[[#This Row],[Qty]]=""),"",tbl_main[[#This Row],[Price]]*tbl_main[[#This Row],[Qty]])</f>
        <v>400</v>
      </c>
      <c r="N1470" s="3">
        <f>_xlfn.LET(_xlpm.x,_xlfn.XLOOKUP(tbl_main[[#This Row],[Service]],tbl_service[Service],tbl_service[Profit],""),
               IF(tbl_main[[#This Row],[Qty]]="","",_xlpm.x*tbl_main[[#This Row],[Qty]]))</f>
        <v>180</v>
      </c>
    </row>
    <row r="1471" spans="1:14" x14ac:dyDescent="0.25">
      <c r="A1471" t="s">
        <v>1513</v>
      </c>
      <c r="B1471" s="1">
        <v>46145</v>
      </c>
      <c r="C1471">
        <f>IF(tbl_main[[#This Row],[Date]]="","",YEAR(B1471))</f>
        <v>2026</v>
      </c>
      <c r="D1471" t="str">
        <f>IF(tbl_main[[#This Row],[Date]]="","",TEXT(B1471,"mmm"))</f>
        <v>May</v>
      </c>
      <c r="E1471" t="str">
        <f>IF(tbl_main[[#This Row],[Date]]="","",TEXT(B1471,"DDD"))</f>
        <v>Sun</v>
      </c>
      <c r="F1471" t="s">
        <v>27</v>
      </c>
      <c r="G1471" t="s">
        <v>28</v>
      </c>
      <c r="H1471" s="3" t="s">
        <v>26</v>
      </c>
      <c r="I1471" s="3" t="s">
        <v>38</v>
      </c>
      <c r="J1471" s="3" t="s">
        <v>17</v>
      </c>
      <c r="K1471" s="3">
        <f>_xlfn.XLOOKUP(tbl_main[[#This Row],[Service]],tbl_service[Service],tbl_service[Price],"")</f>
        <v>200</v>
      </c>
      <c r="L1471" s="3">
        <v>2</v>
      </c>
      <c r="M1471" s="3">
        <f>IF(AND(tbl_main[[#This Row],[Price]]="",tbl_main[[#This Row],[Qty]]=""),"",tbl_main[[#This Row],[Price]]*tbl_main[[#This Row],[Qty]])</f>
        <v>400</v>
      </c>
      <c r="N1471" s="3">
        <f>_xlfn.LET(_xlpm.x,_xlfn.XLOOKUP(tbl_main[[#This Row],[Service]],tbl_service[Service],tbl_service[Profit],""),
               IF(tbl_main[[#This Row],[Qty]]="","",_xlpm.x*tbl_main[[#This Row],[Qty]]))</f>
        <v>180</v>
      </c>
    </row>
    <row r="1472" spans="1:14" x14ac:dyDescent="0.25">
      <c r="A1472" t="s">
        <v>1514</v>
      </c>
      <c r="B1472" s="1">
        <v>46146</v>
      </c>
      <c r="C1472">
        <f>IF(tbl_main[[#This Row],[Date]]="","",YEAR(B1472))</f>
        <v>2026</v>
      </c>
      <c r="D1472" t="str">
        <f>IF(tbl_main[[#This Row],[Date]]="","",TEXT(B1472,"mmm"))</f>
        <v>May</v>
      </c>
      <c r="E1472" t="str">
        <f>IF(tbl_main[[#This Row],[Date]]="","",TEXT(B1472,"DDD"))</f>
        <v>Mon</v>
      </c>
      <c r="F1472" t="s">
        <v>27</v>
      </c>
      <c r="G1472" t="s">
        <v>40</v>
      </c>
      <c r="H1472" s="3" t="s">
        <v>22</v>
      </c>
      <c r="I1472" s="3" t="s">
        <v>16</v>
      </c>
      <c r="J1472" s="3" t="s">
        <v>32</v>
      </c>
      <c r="K1472" s="3">
        <f>_xlfn.XLOOKUP(tbl_main[[#This Row],[Service]],tbl_service[Service],tbl_service[Price],"")</f>
        <v>150</v>
      </c>
      <c r="L1472" s="3">
        <v>1</v>
      </c>
      <c r="M1472" s="3">
        <f>IF(AND(tbl_main[[#This Row],[Price]]="",tbl_main[[#This Row],[Qty]]=""),"",tbl_main[[#This Row],[Price]]*tbl_main[[#This Row],[Qty]])</f>
        <v>150</v>
      </c>
      <c r="N1472" s="3">
        <f>_xlfn.LET(_xlpm.x,_xlfn.XLOOKUP(tbl_main[[#This Row],[Service]],tbl_service[Service],tbl_service[Profit],""),
               IF(tbl_main[[#This Row],[Qty]]="","",_xlpm.x*tbl_main[[#This Row],[Qty]]))</f>
        <v>67</v>
      </c>
    </row>
    <row r="1473" spans="1:14" x14ac:dyDescent="0.25">
      <c r="A1473" t="s">
        <v>1515</v>
      </c>
      <c r="B1473" s="1">
        <v>46146</v>
      </c>
      <c r="C1473">
        <f>IF(tbl_main[[#This Row],[Date]]="","",YEAR(B1473))</f>
        <v>2026</v>
      </c>
      <c r="D1473" t="str">
        <f>IF(tbl_main[[#This Row],[Date]]="","",TEXT(B1473,"mmm"))</f>
        <v>May</v>
      </c>
      <c r="E1473" t="str">
        <f>IF(tbl_main[[#This Row],[Date]]="","",TEXT(B1473,"DDD"))</f>
        <v>Mon</v>
      </c>
      <c r="F1473" t="s">
        <v>20</v>
      </c>
      <c r="G1473" t="s">
        <v>21</v>
      </c>
      <c r="H1473" s="3" t="s">
        <v>18</v>
      </c>
      <c r="I1473" s="3" t="s">
        <v>19</v>
      </c>
      <c r="J1473" s="3" t="s">
        <v>25</v>
      </c>
      <c r="K1473" s="3">
        <f>_xlfn.XLOOKUP(tbl_main[[#This Row],[Service]],tbl_service[Service],tbl_service[Price],"")</f>
        <v>500</v>
      </c>
      <c r="L1473" s="3">
        <v>2</v>
      </c>
      <c r="M1473" s="3">
        <f>IF(AND(tbl_main[[#This Row],[Price]]="",tbl_main[[#This Row],[Qty]]=""),"",tbl_main[[#This Row],[Price]]*tbl_main[[#This Row],[Qty]])</f>
        <v>1000</v>
      </c>
      <c r="N1473" s="3">
        <f>_xlfn.LET(_xlpm.x,_xlfn.XLOOKUP(tbl_main[[#This Row],[Service]],tbl_service[Service],tbl_service[Profit],""),
               IF(tbl_main[[#This Row],[Qty]]="","",_xlpm.x*tbl_main[[#This Row],[Qty]]))</f>
        <v>314</v>
      </c>
    </row>
    <row r="1474" spans="1:14" x14ac:dyDescent="0.25">
      <c r="A1474" t="s">
        <v>1516</v>
      </c>
      <c r="B1474" s="1">
        <v>46146</v>
      </c>
      <c r="C1474">
        <f>IF(tbl_main[[#This Row],[Date]]="","",YEAR(B1474))</f>
        <v>2026</v>
      </c>
      <c r="D1474" t="str">
        <f>IF(tbl_main[[#This Row],[Date]]="","",TEXT(B1474,"mmm"))</f>
        <v>May</v>
      </c>
      <c r="E1474" t="str">
        <f>IF(tbl_main[[#This Row],[Date]]="","",TEXT(B1474,"DDD"))</f>
        <v>Mon</v>
      </c>
      <c r="F1474" t="s">
        <v>13</v>
      </c>
      <c r="G1474" t="s">
        <v>14</v>
      </c>
      <c r="H1474" s="3" t="s">
        <v>34</v>
      </c>
      <c r="I1474" s="3" t="s">
        <v>43</v>
      </c>
      <c r="J1474" s="3" t="s">
        <v>25</v>
      </c>
      <c r="K1474" s="3">
        <f>_xlfn.XLOOKUP(tbl_main[[#This Row],[Service]],tbl_service[Service],tbl_service[Price],"")</f>
        <v>100</v>
      </c>
      <c r="L1474" s="3">
        <v>1</v>
      </c>
      <c r="M1474" s="3">
        <f>IF(AND(tbl_main[[#This Row],[Price]]="",tbl_main[[#This Row],[Qty]]=""),"",tbl_main[[#This Row],[Price]]*tbl_main[[#This Row],[Qty]])</f>
        <v>100</v>
      </c>
      <c r="N1474" s="3">
        <f>_xlfn.LET(_xlpm.x,_xlfn.XLOOKUP(tbl_main[[#This Row],[Service]],tbl_service[Service],tbl_service[Profit],""),
               IF(tbl_main[[#This Row],[Qty]]="","",_xlpm.x*tbl_main[[#This Row],[Qty]]))</f>
        <v>45</v>
      </c>
    </row>
    <row r="1475" spans="1:14" x14ac:dyDescent="0.25">
      <c r="A1475" t="s">
        <v>1517</v>
      </c>
      <c r="B1475" s="1">
        <v>46147</v>
      </c>
      <c r="C1475">
        <f>IF(tbl_main[[#This Row],[Date]]="","",YEAR(B1475))</f>
        <v>2026</v>
      </c>
      <c r="D1475" t="str">
        <f>IF(tbl_main[[#This Row],[Date]]="","",TEXT(B1475,"mmm"))</f>
        <v>May</v>
      </c>
      <c r="E1475" t="str">
        <f>IF(tbl_main[[#This Row],[Date]]="","",TEXT(B1475,"DDD"))</f>
        <v>Tue</v>
      </c>
      <c r="F1475" t="s">
        <v>13</v>
      </c>
      <c r="G1475" t="s">
        <v>14</v>
      </c>
      <c r="H1475" s="3" t="s">
        <v>24</v>
      </c>
      <c r="I1475" s="3" t="s">
        <v>41</v>
      </c>
      <c r="J1475" s="3" t="s">
        <v>25</v>
      </c>
      <c r="K1475" s="3">
        <f>_xlfn.XLOOKUP(tbl_main[[#This Row],[Service]],tbl_service[Service],tbl_service[Price],"")</f>
        <v>80</v>
      </c>
      <c r="L1475" s="3">
        <v>2</v>
      </c>
      <c r="M1475" s="3">
        <f>IF(AND(tbl_main[[#This Row],[Price]]="",tbl_main[[#This Row],[Qty]]=""),"",tbl_main[[#This Row],[Price]]*tbl_main[[#This Row],[Qty]])</f>
        <v>160</v>
      </c>
      <c r="N1475" s="3">
        <f>_xlfn.LET(_xlpm.x,_xlfn.XLOOKUP(tbl_main[[#This Row],[Service]],tbl_service[Service],tbl_service[Profit],""),
               IF(tbl_main[[#This Row],[Qty]]="","",_xlpm.x*tbl_main[[#This Row],[Qty]]))</f>
        <v>72</v>
      </c>
    </row>
    <row r="1476" spans="1:14" x14ac:dyDescent="0.25">
      <c r="A1476" t="s">
        <v>1518</v>
      </c>
      <c r="B1476" s="1">
        <v>46147</v>
      </c>
      <c r="C1476">
        <f>IF(tbl_main[[#This Row],[Date]]="","",YEAR(B1476))</f>
        <v>2026</v>
      </c>
      <c r="D1476" t="str">
        <f>IF(tbl_main[[#This Row],[Date]]="","",TEXT(B1476,"mmm"))</f>
        <v>May</v>
      </c>
      <c r="E1476" t="str">
        <f>IF(tbl_main[[#This Row],[Date]]="","",TEXT(B1476,"DDD"))</f>
        <v>Tue</v>
      </c>
      <c r="F1476" t="s">
        <v>13</v>
      </c>
      <c r="G1476" t="s">
        <v>14</v>
      </c>
      <c r="H1476" s="3" t="s">
        <v>26</v>
      </c>
      <c r="I1476" s="3" t="s">
        <v>41</v>
      </c>
      <c r="J1476" s="3" t="s">
        <v>32</v>
      </c>
      <c r="K1476" s="3">
        <f>_xlfn.XLOOKUP(tbl_main[[#This Row],[Service]],tbl_service[Service],tbl_service[Price],"")</f>
        <v>200</v>
      </c>
      <c r="L1476" s="3">
        <v>2</v>
      </c>
      <c r="M1476" s="3">
        <f>IF(AND(tbl_main[[#This Row],[Price]]="",tbl_main[[#This Row],[Qty]]=""),"",tbl_main[[#This Row],[Price]]*tbl_main[[#This Row],[Qty]])</f>
        <v>400</v>
      </c>
      <c r="N1476" s="3">
        <f>_xlfn.LET(_xlpm.x,_xlfn.XLOOKUP(tbl_main[[#This Row],[Service]],tbl_service[Service],tbl_service[Profit],""),
               IF(tbl_main[[#This Row],[Qty]]="","",_xlpm.x*tbl_main[[#This Row],[Qty]]))</f>
        <v>180</v>
      </c>
    </row>
    <row r="1477" spans="1:14" x14ac:dyDescent="0.25">
      <c r="A1477" t="s">
        <v>1519</v>
      </c>
      <c r="B1477" s="1">
        <v>46148</v>
      </c>
      <c r="C1477">
        <f>IF(tbl_main[[#This Row],[Date]]="","",YEAR(B1477))</f>
        <v>2026</v>
      </c>
      <c r="D1477" t="str">
        <f>IF(tbl_main[[#This Row],[Date]]="","",TEXT(B1477,"mmm"))</f>
        <v>May</v>
      </c>
      <c r="E1477" t="str">
        <f>IF(tbl_main[[#This Row],[Date]]="","",TEXT(B1477,"DDD"))</f>
        <v>Wed</v>
      </c>
      <c r="F1477" t="s">
        <v>20</v>
      </c>
      <c r="G1477" t="s">
        <v>29</v>
      </c>
      <c r="H1477" s="3" t="s">
        <v>22</v>
      </c>
      <c r="I1477" s="3" t="s">
        <v>35</v>
      </c>
      <c r="J1477" s="3" t="s">
        <v>32</v>
      </c>
      <c r="K1477" s="3">
        <f>_xlfn.XLOOKUP(tbl_main[[#This Row],[Service]],tbl_service[Service],tbl_service[Price],"")</f>
        <v>150</v>
      </c>
      <c r="L1477" s="3">
        <v>2</v>
      </c>
      <c r="M1477" s="3">
        <f>IF(AND(tbl_main[[#This Row],[Price]]="",tbl_main[[#This Row],[Qty]]=""),"",tbl_main[[#This Row],[Price]]*tbl_main[[#This Row],[Qty]])</f>
        <v>300</v>
      </c>
      <c r="N1477" s="3">
        <f>_xlfn.LET(_xlpm.x,_xlfn.XLOOKUP(tbl_main[[#This Row],[Service]],tbl_service[Service],tbl_service[Profit],""),
               IF(tbl_main[[#This Row],[Qty]]="","",_xlpm.x*tbl_main[[#This Row],[Qty]]))</f>
        <v>134</v>
      </c>
    </row>
    <row r="1478" spans="1:14" x14ac:dyDescent="0.25">
      <c r="A1478" t="s">
        <v>1520</v>
      </c>
      <c r="B1478" s="1">
        <v>46148</v>
      </c>
      <c r="C1478">
        <f>IF(tbl_main[[#This Row],[Date]]="","",YEAR(B1478))</f>
        <v>2026</v>
      </c>
      <c r="D1478" t="str">
        <f>IF(tbl_main[[#This Row],[Date]]="","",TEXT(B1478,"mmm"))</f>
        <v>May</v>
      </c>
      <c r="E1478" t="str">
        <f>IF(tbl_main[[#This Row],[Date]]="","",TEXT(B1478,"DDD"))</f>
        <v>Wed</v>
      </c>
      <c r="F1478" t="s">
        <v>13</v>
      </c>
      <c r="G1478" t="s">
        <v>14</v>
      </c>
      <c r="H1478" s="3" t="s">
        <v>34</v>
      </c>
      <c r="I1478" s="3" t="s">
        <v>35</v>
      </c>
      <c r="J1478" s="3" t="s">
        <v>17</v>
      </c>
      <c r="K1478" s="3">
        <f>_xlfn.XLOOKUP(tbl_main[[#This Row],[Service]],tbl_service[Service],tbl_service[Price],"")</f>
        <v>100</v>
      </c>
      <c r="L1478" s="3">
        <v>1</v>
      </c>
      <c r="M1478" s="3">
        <f>IF(AND(tbl_main[[#This Row],[Price]]="",tbl_main[[#This Row],[Qty]]=""),"",tbl_main[[#This Row],[Price]]*tbl_main[[#This Row],[Qty]])</f>
        <v>100</v>
      </c>
      <c r="N1478" s="3">
        <f>_xlfn.LET(_xlpm.x,_xlfn.XLOOKUP(tbl_main[[#This Row],[Service]],tbl_service[Service],tbl_service[Profit],""),
               IF(tbl_main[[#This Row],[Qty]]="","",_xlpm.x*tbl_main[[#This Row],[Qty]]))</f>
        <v>45</v>
      </c>
    </row>
    <row r="1479" spans="1:14" x14ac:dyDescent="0.25">
      <c r="A1479" t="s">
        <v>1521</v>
      </c>
      <c r="B1479" s="1">
        <v>46149</v>
      </c>
      <c r="C1479">
        <f>IF(tbl_main[[#This Row],[Date]]="","",YEAR(B1479))</f>
        <v>2026</v>
      </c>
      <c r="D1479" t="str">
        <f>IF(tbl_main[[#This Row],[Date]]="","",TEXT(B1479,"mmm"))</f>
        <v>May</v>
      </c>
      <c r="E1479" t="str">
        <f>IF(tbl_main[[#This Row],[Date]]="","",TEXT(B1479,"DDD"))</f>
        <v>Thu</v>
      </c>
      <c r="F1479" t="s">
        <v>20</v>
      </c>
      <c r="G1479" t="s">
        <v>39</v>
      </c>
      <c r="H1479" s="3" t="s">
        <v>18</v>
      </c>
      <c r="I1479" s="3" t="s">
        <v>23</v>
      </c>
      <c r="J1479" s="3" t="s">
        <v>25</v>
      </c>
      <c r="K1479" s="3">
        <f>_xlfn.XLOOKUP(tbl_main[[#This Row],[Service]],tbl_service[Service],tbl_service[Price],"")</f>
        <v>500</v>
      </c>
      <c r="L1479" s="3">
        <v>2</v>
      </c>
      <c r="M1479" s="3">
        <f>IF(AND(tbl_main[[#This Row],[Price]]="",tbl_main[[#This Row],[Qty]]=""),"",tbl_main[[#This Row],[Price]]*tbl_main[[#This Row],[Qty]])</f>
        <v>1000</v>
      </c>
      <c r="N1479" s="3">
        <f>_xlfn.LET(_xlpm.x,_xlfn.XLOOKUP(tbl_main[[#This Row],[Service]],tbl_service[Service],tbl_service[Profit],""),
               IF(tbl_main[[#This Row],[Qty]]="","",_xlpm.x*tbl_main[[#This Row],[Qty]]))</f>
        <v>314</v>
      </c>
    </row>
    <row r="1480" spans="1:14" x14ac:dyDescent="0.25">
      <c r="A1480" t="s">
        <v>1522</v>
      </c>
      <c r="B1480" s="1">
        <v>46149</v>
      </c>
      <c r="C1480">
        <f>IF(tbl_main[[#This Row],[Date]]="","",YEAR(B1480))</f>
        <v>2026</v>
      </c>
      <c r="D1480" t="str">
        <f>IF(tbl_main[[#This Row],[Date]]="","",TEXT(B1480,"mmm"))</f>
        <v>May</v>
      </c>
      <c r="E1480" t="str">
        <f>IF(tbl_main[[#This Row],[Date]]="","",TEXT(B1480,"DDD"))</f>
        <v>Thu</v>
      </c>
      <c r="F1480" t="s">
        <v>20</v>
      </c>
      <c r="G1480" t="s">
        <v>21</v>
      </c>
      <c r="H1480" s="3" t="s">
        <v>34</v>
      </c>
      <c r="I1480" s="3" t="s">
        <v>37</v>
      </c>
      <c r="J1480" s="3" t="s">
        <v>17</v>
      </c>
      <c r="K1480" s="3">
        <f>_xlfn.XLOOKUP(tbl_main[[#This Row],[Service]],tbl_service[Service],tbl_service[Price],"")</f>
        <v>100</v>
      </c>
      <c r="L1480" s="3">
        <v>1</v>
      </c>
      <c r="M1480" s="3">
        <f>IF(AND(tbl_main[[#This Row],[Price]]="",tbl_main[[#This Row],[Qty]]=""),"",tbl_main[[#This Row],[Price]]*tbl_main[[#This Row],[Qty]])</f>
        <v>100</v>
      </c>
      <c r="N1480" s="3">
        <f>_xlfn.LET(_xlpm.x,_xlfn.XLOOKUP(tbl_main[[#This Row],[Service]],tbl_service[Service],tbl_service[Profit],""),
               IF(tbl_main[[#This Row],[Qty]]="","",_xlpm.x*tbl_main[[#This Row],[Qty]]))</f>
        <v>45</v>
      </c>
    </row>
    <row r="1481" spans="1:14" x14ac:dyDescent="0.25">
      <c r="A1481" t="s">
        <v>1523</v>
      </c>
      <c r="B1481" s="1">
        <v>46149</v>
      </c>
      <c r="C1481">
        <f>IF(tbl_main[[#This Row],[Date]]="","",YEAR(B1481))</f>
        <v>2026</v>
      </c>
      <c r="D1481" t="str">
        <f>IF(tbl_main[[#This Row],[Date]]="","",TEXT(B1481,"mmm"))</f>
        <v>May</v>
      </c>
      <c r="E1481" t="str">
        <f>IF(tbl_main[[#This Row],[Date]]="","",TEXT(B1481,"DDD"))</f>
        <v>Thu</v>
      </c>
      <c r="F1481" t="s">
        <v>20</v>
      </c>
      <c r="G1481" t="s">
        <v>39</v>
      </c>
      <c r="H1481" s="3" t="s">
        <v>18</v>
      </c>
      <c r="I1481" s="3" t="s">
        <v>38</v>
      </c>
      <c r="J1481" s="3" t="s">
        <v>17</v>
      </c>
      <c r="K1481" s="3">
        <f>_xlfn.XLOOKUP(tbl_main[[#This Row],[Service]],tbl_service[Service],tbl_service[Price],"")</f>
        <v>500</v>
      </c>
      <c r="L1481" s="3">
        <v>1</v>
      </c>
      <c r="M1481" s="3">
        <f>IF(AND(tbl_main[[#This Row],[Price]]="",tbl_main[[#This Row],[Qty]]=""),"",tbl_main[[#This Row],[Price]]*tbl_main[[#This Row],[Qty]])</f>
        <v>500</v>
      </c>
      <c r="N1481" s="3">
        <f>_xlfn.LET(_xlpm.x,_xlfn.XLOOKUP(tbl_main[[#This Row],[Service]],tbl_service[Service],tbl_service[Profit],""),
               IF(tbl_main[[#This Row],[Qty]]="","",_xlpm.x*tbl_main[[#This Row],[Qty]]))</f>
        <v>157</v>
      </c>
    </row>
    <row r="1482" spans="1:14" x14ac:dyDescent="0.25">
      <c r="A1482" t="s">
        <v>1524</v>
      </c>
      <c r="B1482" s="1">
        <v>46150</v>
      </c>
      <c r="C1482">
        <f>IF(tbl_main[[#This Row],[Date]]="","",YEAR(B1482))</f>
        <v>2026</v>
      </c>
      <c r="D1482" t="str">
        <f>IF(tbl_main[[#This Row],[Date]]="","",TEXT(B1482,"mmm"))</f>
        <v>May</v>
      </c>
      <c r="E1482" t="str">
        <f>IF(tbl_main[[#This Row],[Date]]="","",TEXT(B1482,"DDD"))</f>
        <v>Fri</v>
      </c>
      <c r="F1482" t="s">
        <v>13</v>
      </c>
      <c r="G1482" t="s">
        <v>14</v>
      </c>
      <c r="H1482" s="3" t="s">
        <v>22</v>
      </c>
      <c r="I1482" s="3" t="s">
        <v>16</v>
      </c>
      <c r="J1482" s="3" t="s">
        <v>32</v>
      </c>
      <c r="K1482" s="3">
        <f>_xlfn.XLOOKUP(tbl_main[[#This Row],[Service]],tbl_service[Service],tbl_service[Price],"")</f>
        <v>150</v>
      </c>
      <c r="L1482" s="3">
        <v>1</v>
      </c>
      <c r="M1482" s="3">
        <f>IF(AND(tbl_main[[#This Row],[Price]]="",tbl_main[[#This Row],[Qty]]=""),"",tbl_main[[#This Row],[Price]]*tbl_main[[#This Row],[Qty]])</f>
        <v>150</v>
      </c>
      <c r="N1482" s="3">
        <f>_xlfn.LET(_xlpm.x,_xlfn.XLOOKUP(tbl_main[[#This Row],[Service]],tbl_service[Service],tbl_service[Profit],""),
               IF(tbl_main[[#This Row],[Qty]]="","",_xlpm.x*tbl_main[[#This Row],[Qty]]))</f>
        <v>67</v>
      </c>
    </row>
    <row r="1483" spans="1:14" x14ac:dyDescent="0.25">
      <c r="A1483" t="s">
        <v>1525</v>
      </c>
      <c r="B1483" s="1">
        <v>46150</v>
      </c>
      <c r="C1483">
        <f>IF(tbl_main[[#This Row],[Date]]="","",YEAR(B1483))</f>
        <v>2026</v>
      </c>
      <c r="D1483" t="str">
        <f>IF(tbl_main[[#This Row],[Date]]="","",TEXT(B1483,"mmm"))</f>
        <v>May</v>
      </c>
      <c r="E1483" t="str">
        <f>IF(tbl_main[[#This Row],[Date]]="","",TEXT(B1483,"DDD"))</f>
        <v>Fri</v>
      </c>
      <c r="F1483" t="s">
        <v>20</v>
      </c>
      <c r="G1483" t="s">
        <v>21</v>
      </c>
      <c r="H1483" s="3" t="s">
        <v>26</v>
      </c>
      <c r="I1483" s="3" t="s">
        <v>19</v>
      </c>
      <c r="J1483" s="3" t="s">
        <v>17</v>
      </c>
      <c r="K1483" s="3">
        <f>_xlfn.XLOOKUP(tbl_main[[#This Row],[Service]],tbl_service[Service],tbl_service[Price],"")</f>
        <v>200</v>
      </c>
      <c r="L1483" s="3">
        <v>2</v>
      </c>
      <c r="M1483" s="3">
        <f>IF(AND(tbl_main[[#This Row],[Price]]="",tbl_main[[#This Row],[Qty]]=""),"",tbl_main[[#This Row],[Price]]*tbl_main[[#This Row],[Qty]])</f>
        <v>400</v>
      </c>
      <c r="N1483" s="3">
        <f>_xlfn.LET(_xlpm.x,_xlfn.XLOOKUP(tbl_main[[#This Row],[Service]],tbl_service[Service],tbl_service[Profit],""),
               IF(tbl_main[[#This Row],[Qty]]="","",_xlpm.x*tbl_main[[#This Row],[Qty]]))</f>
        <v>180</v>
      </c>
    </row>
    <row r="1484" spans="1:14" x14ac:dyDescent="0.25">
      <c r="A1484" t="s">
        <v>1526</v>
      </c>
      <c r="B1484" s="1">
        <v>46151</v>
      </c>
      <c r="C1484">
        <f>IF(tbl_main[[#This Row],[Date]]="","",YEAR(B1484))</f>
        <v>2026</v>
      </c>
      <c r="D1484" t="str">
        <f>IF(tbl_main[[#This Row],[Date]]="","",TEXT(B1484,"mmm"))</f>
        <v>May</v>
      </c>
      <c r="E1484" t="str">
        <f>IF(tbl_main[[#This Row],[Date]]="","",TEXT(B1484,"DDD"))</f>
        <v>Sat</v>
      </c>
      <c r="F1484" t="s">
        <v>30</v>
      </c>
      <c r="G1484" t="s">
        <v>31</v>
      </c>
      <c r="H1484" s="3" t="s">
        <v>24</v>
      </c>
      <c r="I1484" s="3" t="s">
        <v>43</v>
      </c>
      <c r="J1484" s="3" t="s">
        <v>25</v>
      </c>
      <c r="K1484" s="3">
        <f>_xlfn.XLOOKUP(tbl_main[[#This Row],[Service]],tbl_service[Service],tbl_service[Price],"")</f>
        <v>80</v>
      </c>
      <c r="L1484" s="3">
        <v>1</v>
      </c>
      <c r="M1484" s="3">
        <f>IF(AND(tbl_main[[#This Row],[Price]]="",tbl_main[[#This Row],[Qty]]=""),"",tbl_main[[#This Row],[Price]]*tbl_main[[#This Row],[Qty]])</f>
        <v>80</v>
      </c>
      <c r="N1484" s="3">
        <f>_xlfn.LET(_xlpm.x,_xlfn.XLOOKUP(tbl_main[[#This Row],[Service]],tbl_service[Service],tbl_service[Profit],""),
               IF(tbl_main[[#This Row],[Qty]]="","",_xlpm.x*tbl_main[[#This Row],[Qty]]))</f>
        <v>36</v>
      </c>
    </row>
    <row r="1485" spans="1:14" x14ac:dyDescent="0.25">
      <c r="A1485" t="s">
        <v>1527</v>
      </c>
      <c r="B1485" s="1">
        <v>46151</v>
      </c>
      <c r="C1485">
        <f>IF(tbl_main[[#This Row],[Date]]="","",YEAR(B1485))</f>
        <v>2026</v>
      </c>
      <c r="D1485" t="str">
        <f>IF(tbl_main[[#This Row],[Date]]="","",TEXT(B1485,"mmm"))</f>
        <v>May</v>
      </c>
      <c r="E1485" t="str">
        <f>IF(tbl_main[[#This Row],[Date]]="","",TEXT(B1485,"DDD"))</f>
        <v>Sat</v>
      </c>
      <c r="F1485" t="s">
        <v>30</v>
      </c>
      <c r="G1485" t="s">
        <v>36</v>
      </c>
      <c r="H1485" s="3" t="s">
        <v>24</v>
      </c>
      <c r="I1485" s="3" t="s">
        <v>41</v>
      </c>
      <c r="J1485" s="3" t="s">
        <v>17</v>
      </c>
      <c r="K1485" s="3">
        <f>_xlfn.XLOOKUP(tbl_main[[#This Row],[Service]],tbl_service[Service],tbl_service[Price],"")</f>
        <v>80</v>
      </c>
      <c r="L1485" s="3">
        <v>2</v>
      </c>
      <c r="M1485" s="3">
        <f>IF(AND(tbl_main[[#This Row],[Price]]="",tbl_main[[#This Row],[Qty]]=""),"",tbl_main[[#This Row],[Price]]*tbl_main[[#This Row],[Qty]])</f>
        <v>160</v>
      </c>
      <c r="N1485" s="3">
        <f>_xlfn.LET(_xlpm.x,_xlfn.XLOOKUP(tbl_main[[#This Row],[Service]],tbl_service[Service],tbl_service[Profit],""),
               IF(tbl_main[[#This Row],[Qty]]="","",_xlpm.x*tbl_main[[#This Row],[Qty]]))</f>
        <v>72</v>
      </c>
    </row>
    <row r="1486" spans="1:14" x14ac:dyDescent="0.25">
      <c r="A1486" t="s">
        <v>1528</v>
      </c>
      <c r="B1486" s="1">
        <v>46151</v>
      </c>
      <c r="C1486">
        <f>IF(tbl_main[[#This Row],[Date]]="","",YEAR(B1486))</f>
        <v>2026</v>
      </c>
      <c r="D1486" t="str">
        <f>IF(tbl_main[[#This Row],[Date]]="","",TEXT(B1486,"mmm"))</f>
        <v>May</v>
      </c>
      <c r="E1486" t="str">
        <f>IF(tbl_main[[#This Row],[Date]]="","",TEXT(B1486,"DDD"))</f>
        <v>Sat</v>
      </c>
      <c r="F1486" t="s">
        <v>27</v>
      </c>
      <c r="G1486" t="s">
        <v>28</v>
      </c>
      <c r="H1486" s="3" t="s">
        <v>24</v>
      </c>
      <c r="I1486" s="3" t="s">
        <v>41</v>
      </c>
      <c r="J1486" s="3" t="s">
        <v>17</v>
      </c>
      <c r="K1486" s="3">
        <f>_xlfn.XLOOKUP(tbl_main[[#This Row],[Service]],tbl_service[Service],tbl_service[Price],"")</f>
        <v>80</v>
      </c>
      <c r="L1486" s="3">
        <v>1</v>
      </c>
      <c r="M1486" s="3">
        <f>IF(AND(tbl_main[[#This Row],[Price]]="",tbl_main[[#This Row],[Qty]]=""),"",tbl_main[[#This Row],[Price]]*tbl_main[[#This Row],[Qty]])</f>
        <v>80</v>
      </c>
      <c r="N1486" s="3">
        <f>_xlfn.LET(_xlpm.x,_xlfn.XLOOKUP(tbl_main[[#This Row],[Service]],tbl_service[Service],tbl_service[Profit],""),
               IF(tbl_main[[#This Row],[Qty]]="","",_xlpm.x*tbl_main[[#This Row],[Qty]]))</f>
        <v>36</v>
      </c>
    </row>
    <row r="1487" spans="1:14" x14ac:dyDescent="0.25">
      <c r="A1487" t="s">
        <v>1529</v>
      </c>
      <c r="B1487" s="1">
        <v>46151</v>
      </c>
      <c r="C1487">
        <f>IF(tbl_main[[#This Row],[Date]]="","",YEAR(B1487))</f>
        <v>2026</v>
      </c>
      <c r="D1487" t="str">
        <f>IF(tbl_main[[#This Row],[Date]]="","",TEXT(B1487,"mmm"))</f>
        <v>May</v>
      </c>
      <c r="E1487" t="str">
        <f>IF(tbl_main[[#This Row],[Date]]="","",TEXT(B1487,"DDD"))</f>
        <v>Sat</v>
      </c>
      <c r="F1487" t="s">
        <v>30</v>
      </c>
      <c r="G1487" t="s">
        <v>36</v>
      </c>
      <c r="H1487" s="3" t="s">
        <v>24</v>
      </c>
      <c r="I1487" s="3" t="s">
        <v>35</v>
      </c>
      <c r="J1487" s="3" t="s">
        <v>32</v>
      </c>
      <c r="K1487" s="3">
        <f>_xlfn.XLOOKUP(tbl_main[[#This Row],[Service]],tbl_service[Service],tbl_service[Price],"")</f>
        <v>80</v>
      </c>
      <c r="L1487" s="3">
        <v>2</v>
      </c>
      <c r="M1487" s="3">
        <f>IF(AND(tbl_main[[#This Row],[Price]]="",tbl_main[[#This Row],[Qty]]=""),"",tbl_main[[#This Row],[Price]]*tbl_main[[#This Row],[Qty]])</f>
        <v>160</v>
      </c>
      <c r="N1487" s="3">
        <f>_xlfn.LET(_xlpm.x,_xlfn.XLOOKUP(tbl_main[[#This Row],[Service]],tbl_service[Service],tbl_service[Profit],""),
               IF(tbl_main[[#This Row],[Qty]]="","",_xlpm.x*tbl_main[[#This Row],[Qty]]))</f>
        <v>72</v>
      </c>
    </row>
    <row r="1488" spans="1:14" x14ac:dyDescent="0.25">
      <c r="A1488" t="s">
        <v>1530</v>
      </c>
      <c r="B1488" s="1">
        <v>46152</v>
      </c>
      <c r="C1488">
        <f>IF(tbl_main[[#This Row],[Date]]="","",YEAR(B1488))</f>
        <v>2026</v>
      </c>
      <c r="D1488" t="str">
        <f>IF(tbl_main[[#This Row],[Date]]="","",TEXT(B1488,"mmm"))</f>
        <v>May</v>
      </c>
      <c r="E1488" t="str">
        <f>IF(tbl_main[[#This Row],[Date]]="","",TEXT(B1488,"DDD"))</f>
        <v>Sun</v>
      </c>
      <c r="F1488" t="s">
        <v>27</v>
      </c>
      <c r="G1488" t="s">
        <v>40</v>
      </c>
      <c r="H1488" s="3" t="s">
        <v>24</v>
      </c>
      <c r="I1488" s="3" t="s">
        <v>35</v>
      </c>
      <c r="J1488" s="3" t="s">
        <v>25</v>
      </c>
      <c r="K1488" s="3">
        <f>_xlfn.XLOOKUP(tbl_main[[#This Row],[Service]],tbl_service[Service],tbl_service[Price],"")</f>
        <v>80</v>
      </c>
      <c r="L1488" s="3">
        <v>2</v>
      </c>
      <c r="M1488" s="3">
        <f>IF(AND(tbl_main[[#This Row],[Price]]="",tbl_main[[#This Row],[Qty]]=""),"",tbl_main[[#This Row],[Price]]*tbl_main[[#This Row],[Qty]])</f>
        <v>160</v>
      </c>
      <c r="N1488" s="3">
        <f>_xlfn.LET(_xlpm.x,_xlfn.XLOOKUP(tbl_main[[#This Row],[Service]],tbl_service[Service],tbl_service[Profit],""),
               IF(tbl_main[[#This Row],[Qty]]="","",_xlpm.x*tbl_main[[#This Row],[Qty]]))</f>
        <v>72</v>
      </c>
    </row>
    <row r="1489" spans="1:14" x14ac:dyDescent="0.25">
      <c r="A1489" t="s">
        <v>1531</v>
      </c>
      <c r="B1489" s="1">
        <v>46152</v>
      </c>
      <c r="C1489">
        <f>IF(tbl_main[[#This Row],[Date]]="","",YEAR(B1489))</f>
        <v>2026</v>
      </c>
      <c r="D1489" t="str">
        <f>IF(tbl_main[[#This Row],[Date]]="","",TEXT(B1489,"mmm"))</f>
        <v>May</v>
      </c>
      <c r="E1489" t="str">
        <f>IF(tbl_main[[#This Row],[Date]]="","",TEXT(B1489,"DDD"))</f>
        <v>Sun</v>
      </c>
      <c r="F1489" t="s">
        <v>27</v>
      </c>
      <c r="G1489" t="s">
        <v>28</v>
      </c>
      <c r="H1489" s="3" t="s">
        <v>24</v>
      </c>
      <c r="I1489" s="3" t="s">
        <v>23</v>
      </c>
      <c r="J1489" s="3" t="s">
        <v>17</v>
      </c>
      <c r="K1489" s="3">
        <f>_xlfn.XLOOKUP(tbl_main[[#This Row],[Service]],tbl_service[Service],tbl_service[Price],"")</f>
        <v>80</v>
      </c>
      <c r="L1489" s="3">
        <v>1</v>
      </c>
      <c r="M1489" s="3">
        <f>IF(AND(tbl_main[[#This Row],[Price]]="",tbl_main[[#This Row],[Qty]]=""),"",tbl_main[[#This Row],[Price]]*tbl_main[[#This Row],[Qty]])</f>
        <v>80</v>
      </c>
      <c r="N1489" s="3">
        <f>_xlfn.LET(_xlpm.x,_xlfn.XLOOKUP(tbl_main[[#This Row],[Service]],tbl_service[Service],tbl_service[Profit],""),
               IF(tbl_main[[#This Row],[Qty]]="","",_xlpm.x*tbl_main[[#This Row],[Qty]]))</f>
        <v>36</v>
      </c>
    </row>
    <row r="1490" spans="1:14" x14ac:dyDescent="0.25">
      <c r="A1490" t="s">
        <v>1532</v>
      </c>
      <c r="B1490" s="1">
        <v>46152</v>
      </c>
      <c r="C1490">
        <f>IF(tbl_main[[#This Row],[Date]]="","",YEAR(B1490))</f>
        <v>2026</v>
      </c>
      <c r="D1490" t="str">
        <f>IF(tbl_main[[#This Row],[Date]]="","",TEXT(B1490,"mmm"))</f>
        <v>May</v>
      </c>
      <c r="E1490" t="str">
        <f>IF(tbl_main[[#This Row],[Date]]="","",TEXT(B1490,"DDD"))</f>
        <v>Sun</v>
      </c>
      <c r="F1490" t="s">
        <v>20</v>
      </c>
      <c r="G1490" t="s">
        <v>39</v>
      </c>
      <c r="H1490" s="3" t="s">
        <v>24</v>
      </c>
      <c r="I1490" s="3" t="s">
        <v>37</v>
      </c>
      <c r="J1490" s="3" t="s">
        <v>17</v>
      </c>
      <c r="K1490" s="3">
        <f>_xlfn.XLOOKUP(tbl_main[[#This Row],[Service]],tbl_service[Service],tbl_service[Price],"")</f>
        <v>80</v>
      </c>
      <c r="L1490" s="3">
        <v>1</v>
      </c>
      <c r="M1490" s="3">
        <f>IF(AND(tbl_main[[#This Row],[Price]]="",tbl_main[[#This Row],[Qty]]=""),"",tbl_main[[#This Row],[Price]]*tbl_main[[#This Row],[Qty]])</f>
        <v>80</v>
      </c>
      <c r="N1490" s="3">
        <f>_xlfn.LET(_xlpm.x,_xlfn.XLOOKUP(tbl_main[[#This Row],[Service]],tbl_service[Service],tbl_service[Profit],""),
               IF(tbl_main[[#This Row],[Qty]]="","",_xlpm.x*tbl_main[[#This Row],[Qty]]))</f>
        <v>36</v>
      </c>
    </row>
    <row r="1491" spans="1:14" x14ac:dyDescent="0.25">
      <c r="A1491" t="s">
        <v>1533</v>
      </c>
      <c r="B1491" s="1">
        <v>46152</v>
      </c>
      <c r="C1491">
        <f>IF(tbl_main[[#This Row],[Date]]="","",YEAR(B1491))</f>
        <v>2026</v>
      </c>
      <c r="D1491" t="str">
        <f>IF(tbl_main[[#This Row],[Date]]="","",TEXT(B1491,"mmm"))</f>
        <v>May</v>
      </c>
      <c r="E1491" t="str">
        <f>IF(tbl_main[[#This Row],[Date]]="","",TEXT(B1491,"DDD"))</f>
        <v>Sun</v>
      </c>
      <c r="F1491" t="s">
        <v>20</v>
      </c>
      <c r="G1491" t="s">
        <v>21</v>
      </c>
      <c r="H1491" s="3" t="s">
        <v>26</v>
      </c>
      <c r="I1491" s="3" t="s">
        <v>38</v>
      </c>
      <c r="J1491" s="3" t="s">
        <v>32</v>
      </c>
      <c r="K1491" s="3">
        <f>_xlfn.XLOOKUP(tbl_main[[#This Row],[Service]],tbl_service[Service],tbl_service[Price],"")</f>
        <v>200</v>
      </c>
      <c r="L1491" s="3">
        <v>2</v>
      </c>
      <c r="M1491" s="3">
        <f>IF(AND(tbl_main[[#This Row],[Price]]="",tbl_main[[#This Row],[Qty]]=""),"",tbl_main[[#This Row],[Price]]*tbl_main[[#This Row],[Qty]])</f>
        <v>400</v>
      </c>
      <c r="N1491" s="3">
        <f>_xlfn.LET(_xlpm.x,_xlfn.XLOOKUP(tbl_main[[#This Row],[Service]],tbl_service[Service],tbl_service[Profit],""),
               IF(tbl_main[[#This Row],[Qty]]="","",_xlpm.x*tbl_main[[#This Row],[Qty]]))</f>
        <v>180</v>
      </c>
    </row>
    <row r="1492" spans="1:14" x14ac:dyDescent="0.25">
      <c r="A1492" t="s">
        <v>1534</v>
      </c>
      <c r="B1492" s="1">
        <v>46153</v>
      </c>
      <c r="C1492">
        <f>IF(tbl_main[[#This Row],[Date]]="","",YEAR(B1492))</f>
        <v>2026</v>
      </c>
      <c r="D1492" t="str">
        <f>IF(tbl_main[[#This Row],[Date]]="","",TEXT(B1492,"mmm"))</f>
        <v>May</v>
      </c>
      <c r="E1492" t="str">
        <f>IF(tbl_main[[#This Row],[Date]]="","",TEXT(B1492,"DDD"))</f>
        <v>Mon</v>
      </c>
      <c r="F1492" t="s">
        <v>30</v>
      </c>
      <c r="G1492" t="s">
        <v>36</v>
      </c>
      <c r="H1492" s="3" t="s">
        <v>18</v>
      </c>
      <c r="I1492" s="3" t="s">
        <v>16</v>
      </c>
      <c r="J1492" s="3" t="s">
        <v>25</v>
      </c>
      <c r="K1492" s="3">
        <f>_xlfn.XLOOKUP(tbl_main[[#This Row],[Service]],tbl_service[Service],tbl_service[Price],"")</f>
        <v>500</v>
      </c>
      <c r="L1492" s="3">
        <v>2</v>
      </c>
      <c r="M1492" s="3">
        <f>IF(AND(tbl_main[[#This Row],[Price]]="",tbl_main[[#This Row],[Qty]]=""),"",tbl_main[[#This Row],[Price]]*tbl_main[[#This Row],[Qty]])</f>
        <v>1000</v>
      </c>
      <c r="N1492" s="3">
        <f>_xlfn.LET(_xlpm.x,_xlfn.XLOOKUP(tbl_main[[#This Row],[Service]],tbl_service[Service],tbl_service[Profit],""),
               IF(tbl_main[[#This Row],[Qty]]="","",_xlpm.x*tbl_main[[#This Row],[Qty]]))</f>
        <v>314</v>
      </c>
    </row>
    <row r="1493" spans="1:14" x14ac:dyDescent="0.25">
      <c r="A1493" t="s">
        <v>1535</v>
      </c>
      <c r="B1493" s="1">
        <v>46153</v>
      </c>
      <c r="C1493">
        <f>IF(tbl_main[[#This Row],[Date]]="","",YEAR(B1493))</f>
        <v>2026</v>
      </c>
      <c r="D1493" t="str">
        <f>IF(tbl_main[[#This Row],[Date]]="","",TEXT(B1493,"mmm"))</f>
        <v>May</v>
      </c>
      <c r="E1493" t="str">
        <f>IF(tbl_main[[#This Row],[Date]]="","",TEXT(B1493,"DDD"))</f>
        <v>Mon</v>
      </c>
      <c r="F1493" t="s">
        <v>30</v>
      </c>
      <c r="G1493" t="s">
        <v>36</v>
      </c>
      <c r="H1493" s="3" t="s">
        <v>26</v>
      </c>
      <c r="I1493" s="3" t="s">
        <v>19</v>
      </c>
      <c r="J1493" s="3" t="s">
        <v>17</v>
      </c>
      <c r="K1493" s="3">
        <f>_xlfn.XLOOKUP(tbl_main[[#This Row],[Service]],tbl_service[Service],tbl_service[Price],"")</f>
        <v>200</v>
      </c>
      <c r="L1493" s="3">
        <v>2</v>
      </c>
      <c r="M1493" s="3">
        <f>IF(AND(tbl_main[[#This Row],[Price]]="",tbl_main[[#This Row],[Qty]]=""),"",tbl_main[[#This Row],[Price]]*tbl_main[[#This Row],[Qty]])</f>
        <v>400</v>
      </c>
      <c r="N1493" s="3">
        <f>_xlfn.LET(_xlpm.x,_xlfn.XLOOKUP(tbl_main[[#This Row],[Service]],tbl_service[Service],tbl_service[Profit],""),
               IF(tbl_main[[#This Row],[Qty]]="","",_xlpm.x*tbl_main[[#This Row],[Qty]]))</f>
        <v>180</v>
      </c>
    </row>
    <row r="1494" spans="1:14" x14ac:dyDescent="0.25">
      <c r="A1494" t="s">
        <v>1536</v>
      </c>
      <c r="B1494" s="1">
        <v>46153</v>
      </c>
      <c r="C1494">
        <f>IF(tbl_main[[#This Row],[Date]]="","",YEAR(B1494))</f>
        <v>2026</v>
      </c>
      <c r="D1494" t="str">
        <f>IF(tbl_main[[#This Row],[Date]]="","",TEXT(B1494,"mmm"))</f>
        <v>May</v>
      </c>
      <c r="E1494" t="str">
        <f>IF(tbl_main[[#This Row],[Date]]="","",TEXT(B1494,"DDD"))</f>
        <v>Mon</v>
      </c>
      <c r="F1494" t="s">
        <v>27</v>
      </c>
      <c r="G1494" t="s">
        <v>28</v>
      </c>
      <c r="H1494" s="3" t="s">
        <v>18</v>
      </c>
      <c r="I1494" s="3" t="s">
        <v>43</v>
      </c>
      <c r="J1494" s="3" t="s">
        <v>25</v>
      </c>
      <c r="K1494" s="3">
        <f>_xlfn.XLOOKUP(tbl_main[[#This Row],[Service]],tbl_service[Service],tbl_service[Price],"")</f>
        <v>500</v>
      </c>
      <c r="L1494" s="3">
        <v>2</v>
      </c>
      <c r="M1494" s="3">
        <f>IF(AND(tbl_main[[#This Row],[Price]]="",tbl_main[[#This Row],[Qty]]=""),"",tbl_main[[#This Row],[Price]]*tbl_main[[#This Row],[Qty]])</f>
        <v>1000</v>
      </c>
      <c r="N1494" s="3">
        <f>_xlfn.LET(_xlpm.x,_xlfn.XLOOKUP(tbl_main[[#This Row],[Service]],tbl_service[Service],tbl_service[Profit],""),
               IF(tbl_main[[#This Row],[Qty]]="","",_xlpm.x*tbl_main[[#This Row],[Qty]]))</f>
        <v>314</v>
      </c>
    </row>
    <row r="1495" spans="1:14" x14ac:dyDescent="0.25">
      <c r="A1495" t="s">
        <v>1537</v>
      </c>
      <c r="B1495" s="1">
        <v>46154</v>
      </c>
      <c r="C1495">
        <f>IF(tbl_main[[#This Row],[Date]]="","",YEAR(B1495))</f>
        <v>2026</v>
      </c>
      <c r="D1495" t="str">
        <f>IF(tbl_main[[#This Row],[Date]]="","",TEXT(B1495,"mmm"))</f>
        <v>May</v>
      </c>
      <c r="E1495" t="str">
        <f>IF(tbl_main[[#This Row],[Date]]="","",TEXT(B1495,"DDD"))</f>
        <v>Tue</v>
      </c>
      <c r="F1495" t="s">
        <v>13</v>
      </c>
      <c r="G1495" t="s">
        <v>33</v>
      </c>
      <c r="H1495" s="3" t="s">
        <v>15</v>
      </c>
      <c r="I1495" s="3" t="s">
        <v>41</v>
      </c>
      <c r="J1495" s="3" t="s">
        <v>25</v>
      </c>
      <c r="K1495" s="3">
        <f>_xlfn.XLOOKUP(tbl_main[[#This Row],[Service]],tbl_service[Service],tbl_service[Price],"")</f>
        <v>500</v>
      </c>
      <c r="L1495" s="3">
        <v>2</v>
      </c>
      <c r="M1495" s="3">
        <f>IF(AND(tbl_main[[#This Row],[Price]]="",tbl_main[[#This Row],[Qty]]=""),"",tbl_main[[#This Row],[Price]]*tbl_main[[#This Row],[Qty]])</f>
        <v>1000</v>
      </c>
      <c r="N1495" s="3">
        <f>_xlfn.LET(_xlpm.x,_xlfn.XLOOKUP(tbl_main[[#This Row],[Service]],tbl_service[Service],tbl_service[Profit],""),
               IF(tbl_main[[#This Row],[Qty]]="","",_xlpm.x*tbl_main[[#This Row],[Qty]]))</f>
        <v>450</v>
      </c>
    </row>
    <row r="1496" spans="1:14" x14ac:dyDescent="0.25">
      <c r="A1496" t="s">
        <v>1538</v>
      </c>
      <c r="B1496" s="1">
        <v>46154</v>
      </c>
      <c r="C1496">
        <f>IF(tbl_main[[#This Row],[Date]]="","",YEAR(B1496))</f>
        <v>2026</v>
      </c>
      <c r="D1496" t="str">
        <f>IF(tbl_main[[#This Row],[Date]]="","",TEXT(B1496,"mmm"))</f>
        <v>May</v>
      </c>
      <c r="E1496" t="str">
        <f>IF(tbl_main[[#This Row],[Date]]="","",TEXT(B1496,"DDD"))</f>
        <v>Tue</v>
      </c>
      <c r="F1496" t="s">
        <v>20</v>
      </c>
      <c r="G1496" t="s">
        <v>39</v>
      </c>
      <c r="H1496" s="3" t="s">
        <v>22</v>
      </c>
      <c r="I1496" s="3" t="s">
        <v>41</v>
      </c>
      <c r="J1496" s="3" t="s">
        <v>32</v>
      </c>
      <c r="K1496" s="3">
        <f>_xlfn.XLOOKUP(tbl_main[[#This Row],[Service]],tbl_service[Service],tbl_service[Price],"")</f>
        <v>150</v>
      </c>
      <c r="L1496" s="3">
        <v>1</v>
      </c>
      <c r="M1496" s="3">
        <f>IF(AND(tbl_main[[#This Row],[Price]]="",tbl_main[[#This Row],[Qty]]=""),"",tbl_main[[#This Row],[Price]]*tbl_main[[#This Row],[Qty]])</f>
        <v>150</v>
      </c>
      <c r="N1496" s="3">
        <f>_xlfn.LET(_xlpm.x,_xlfn.XLOOKUP(tbl_main[[#This Row],[Service]],tbl_service[Service],tbl_service[Profit],""),
               IF(tbl_main[[#This Row],[Qty]]="","",_xlpm.x*tbl_main[[#This Row],[Qty]]))</f>
        <v>67</v>
      </c>
    </row>
    <row r="1497" spans="1:14" x14ac:dyDescent="0.25">
      <c r="A1497" t="s">
        <v>1539</v>
      </c>
      <c r="B1497" s="1">
        <v>46155</v>
      </c>
      <c r="C1497">
        <f>IF(tbl_main[[#This Row],[Date]]="","",YEAR(B1497))</f>
        <v>2026</v>
      </c>
      <c r="D1497" t="str">
        <f>IF(tbl_main[[#This Row],[Date]]="","",TEXT(B1497,"mmm"))</f>
        <v>May</v>
      </c>
      <c r="E1497" t="str">
        <f>IF(tbl_main[[#This Row],[Date]]="","",TEXT(B1497,"DDD"))</f>
        <v>Wed</v>
      </c>
      <c r="F1497" t="s">
        <v>30</v>
      </c>
      <c r="G1497" t="s">
        <v>31</v>
      </c>
      <c r="H1497" s="3" t="s">
        <v>24</v>
      </c>
      <c r="I1497" s="3" t="s">
        <v>35</v>
      </c>
      <c r="J1497" s="3" t="s">
        <v>32</v>
      </c>
      <c r="K1497" s="3">
        <f>_xlfn.XLOOKUP(tbl_main[[#This Row],[Service]],tbl_service[Service],tbl_service[Price],"")</f>
        <v>80</v>
      </c>
      <c r="L1497" s="3">
        <v>2</v>
      </c>
      <c r="M1497" s="3">
        <f>IF(AND(tbl_main[[#This Row],[Price]]="",tbl_main[[#This Row],[Qty]]=""),"",tbl_main[[#This Row],[Price]]*tbl_main[[#This Row],[Qty]])</f>
        <v>160</v>
      </c>
      <c r="N1497" s="3">
        <f>_xlfn.LET(_xlpm.x,_xlfn.XLOOKUP(tbl_main[[#This Row],[Service]],tbl_service[Service],tbl_service[Profit],""),
               IF(tbl_main[[#This Row],[Qty]]="","",_xlpm.x*tbl_main[[#This Row],[Qty]]))</f>
        <v>72</v>
      </c>
    </row>
    <row r="1498" spans="1:14" x14ac:dyDescent="0.25">
      <c r="A1498" t="s">
        <v>1540</v>
      </c>
      <c r="B1498" s="1">
        <v>46155</v>
      </c>
      <c r="C1498">
        <f>IF(tbl_main[[#This Row],[Date]]="","",YEAR(B1498))</f>
        <v>2026</v>
      </c>
      <c r="D1498" t="str">
        <f>IF(tbl_main[[#This Row],[Date]]="","",TEXT(B1498,"mmm"))</f>
        <v>May</v>
      </c>
      <c r="E1498" t="str">
        <f>IF(tbl_main[[#This Row],[Date]]="","",TEXT(B1498,"DDD"))</f>
        <v>Wed</v>
      </c>
      <c r="F1498" t="s">
        <v>20</v>
      </c>
      <c r="G1498" t="s">
        <v>39</v>
      </c>
      <c r="H1498" s="3" t="s">
        <v>34</v>
      </c>
      <c r="I1498" s="3" t="s">
        <v>35</v>
      </c>
      <c r="J1498" s="3" t="s">
        <v>25</v>
      </c>
      <c r="K1498" s="3">
        <f>_xlfn.XLOOKUP(tbl_main[[#This Row],[Service]],tbl_service[Service],tbl_service[Price],"")</f>
        <v>100</v>
      </c>
      <c r="L1498" s="3">
        <v>1</v>
      </c>
      <c r="M1498" s="3">
        <f>IF(AND(tbl_main[[#This Row],[Price]]="",tbl_main[[#This Row],[Qty]]=""),"",tbl_main[[#This Row],[Price]]*tbl_main[[#This Row],[Qty]])</f>
        <v>100</v>
      </c>
      <c r="N1498" s="3">
        <f>_xlfn.LET(_xlpm.x,_xlfn.XLOOKUP(tbl_main[[#This Row],[Service]],tbl_service[Service],tbl_service[Profit],""),
               IF(tbl_main[[#This Row],[Qty]]="","",_xlpm.x*tbl_main[[#This Row],[Qty]]))</f>
        <v>45</v>
      </c>
    </row>
    <row r="1499" spans="1:14" x14ac:dyDescent="0.25">
      <c r="A1499" t="s">
        <v>1541</v>
      </c>
      <c r="B1499" s="1">
        <v>46156</v>
      </c>
      <c r="C1499">
        <f>IF(tbl_main[[#This Row],[Date]]="","",YEAR(B1499))</f>
        <v>2026</v>
      </c>
      <c r="D1499" t="str">
        <f>IF(tbl_main[[#This Row],[Date]]="","",TEXT(B1499,"mmm"))</f>
        <v>May</v>
      </c>
      <c r="E1499" t="str">
        <f>IF(tbl_main[[#This Row],[Date]]="","",TEXT(B1499,"DDD"))</f>
        <v>Thu</v>
      </c>
      <c r="F1499" t="s">
        <v>30</v>
      </c>
      <c r="G1499" t="s">
        <v>36</v>
      </c>
      <c r="H1499" s="3" t="s">
        <v>34</v>
      </c>
      <c r="I1499" s="3" t="s">
        <v>23</v>
      </c>
      <c r="J1499" s="3" t="s">
        <v>25</v>
      </c>
      <c r="K1499" s="3">
        <f>_xlfn.XLOOKUP(tbl_main[[#This Row],[Service]],tbl_service[Service],tbl_service[Price],"")</f>
        <v>100</v>
      </c>
      <c r="L1499" s="3">
        <v>1</v>
      </c>
      <c r="M1499" s="3">
        <f>IF(AND(tbl_main[[#This Row],[Price]]="",tbl_main[[#This Row],[Qty]]=""),"",tbl_main[[#This Row],[Price]]*tbl_main[[#This Row],[Qty]])</f>
        <v>100</v>
      </c>
      <c r="N1499" s="3">
        <f>_xlfn.LET(_xlpm.x,_xlfn.XLOOKUP(tbl_main[[#This Row],[Service]],tbl_service[Service],tbl_service[Profit],""),
               IF(tbl_main[[#This Row],[Qty]]="","",_xlpm.x*tbl_main[[#This Row],[Qty]]))</f>
        <v>45</v>
      </c>
    </row>
    <row r="1500" spans="1:14" x14ac:dyDescent="0.25">
      <c r="A1500" t="s">
        <v>1542</v>
      </c>
      <c r="B1500" s="1">
        <v>46156</v>
      </c>
      <c r="C1500">
        <f>IF(tbl_main[[#This Row],[Date]]="","",YEAR(B1500))</f>
        <v>2026</v>
      </c>
      <c r="D1500" t="str">
        <f>IF(tbl_main[[#This Row],[Date]]="","",TEXT(B1500,"mmm"))</f>
        <v>May</v>
      </c>
      <c r="E1500" t="str">
        <f>IF(tbl_main[[#This Row],[Date]]="","",TEXT(B1500,"DDD"))</f>
        <v>Thu</v>
      </c>
      <c r="F1500" t="s">
        <v>30</v>
      </c>
      <c r="G1500" t="s">
        <v>36</v>
      </c>
      <c r="H1500" s="3" t="s">
        <v>34</v>
      </c>
      <c r="I1500" s="3" t="s">
        <v>37</v>
      </c>
      <c r="J1500" s="3" t="s">
        <v>25</v>
      </c>
      <c r="K1500" s="3">
        <f>_xlfn.XLOOKUP(tbl_main[[#This Row],[Service]],tbl_service[Service],tbl_service[Price],"")</f>
        <v>100</v>
      </c>
      <c r="L1500" s="3">
        <v>1</v>
      </c>
      <c r="M1500" s="3">
        <f>IF(AND(tbl_main[[#This Row],[Price]]="",tbl_main[[#This Row],[Qty]]=""),"",tbl_main[[#This Row],[Price]]*tbl_main[[#This Row],[Qty]])</f>
        <v>100</v>
      </c>
      <c r="N1500" s="3">
        <f>_xlfn.LET(_xlpm.x,_xlfn.XLOOKUP(tbl_main[[#This Row],[Service]],tbl_service[Service],tbl_service[Profit],""),
               IF(tbl_main[[#This Row],[Qty]]="","",_xlpm.x*tbl_main[[#This Row],[Qty]]))</f>
        <v>45</v>
      </c>
    </row>
    <row r="1501" spans="1:14" x14ac:dyDescent="0.25">
      <c r="A1501" t="s">
        <v>1543</v>
      </c>
      <c r="B1501" s="1">
        <v>46157</v>
      </c>
      <c r="C1501">
        <f>IF(tbl_main[[#This Row],[Date]]="","",YEAR(B1501))</f>
        <v>2026</v>
      </c>
      <c r="D1501" t="str">
        <f>IF(tbl_main[[#This Row],[Date]]="","",TEXT(B1501,"mmm"))</f>
        <v>May</v>
      </c>
      <c r="E1501" t="str">
        <f>IF(tbl_main[[#This Row],[Date]]="","",TEXT(B1501,"DDD"))</f>
        <v>Fri</v>
      </c>
      <c r="F1501" t="s">
        <v>13</v>
      </c>
      <c r="G1501" t="s">
        <v>14</v>
      </c>
      <c r="H1501" s="3" t="s">
        <v>22</v>
      </c>
      <c r="I1501" s="3" t="s">
        <v>38</v>
      </c>
      <c r="J1501" s="3" t="s">
        <v>32</v>
      </c>
      <c r="K1501" s="3">
        <f>_xlfn.XLOOKUP(tbl_main[[#This Row],[Service]],tbl_service[Service],tbl_service[Price],"")</f>
        <v>150</v>
      </c>
      <c r="L1501" s="3">
        <v>2</v>
      </c>
      <c r="M1501" s="3">
        <f>IF(AND(tbl_main[[#This Row],[Price]]="",tbl_main[[#This Row],[Qty]]=""),"",tbl_main[[#This Row],[Price]]*tbl_main[[#This Row],[Qty]])</f>
        <v>300</v>
      </c>
      <c r="N1501" s="3">
        <f>_xlfn.LET(_xlpm.x,_xlfn.XLOOKUP(tbl_main[[#This Row],[Service]],tbl_service[Service],tbl_service[Profit],""),
               IF(tbl_main[[#This Row],[Qty]]="","",_xlpm.x*tbl_main[[#This Row],[Qty]]))</f>
        <v>134</v>
      </c>
    </row>
    <row r="1502" spans="1:14" x14ac:dyDescent="0.25">
      <c r="A1502" t="s">
        <v>1544</v>
      </c>
      <c r="B1502" s="1">
        <v>46157</v>
      </c>
      <c r="C1502">
        <f>IF(tbl_main[[#This Row],[Date]]="","",YEAR(B1502))</f>
        <v>2026</v>
      </c>
      <c r="D1502" t="str">
        <f>IF(tbl_main[[#This Row],[Date]]="","",TEXT(B1502,"mmm"))</f>
        <v>May</v>
      </c>
      <c r="E1502" t="str">
        <f>IF(tbl_main[[#This Row],[Date]]="","",TEXT(B1502,"DDD"))</f>
        <v>Fri</v>
      </c>
      <c r="F1502" t="s">
        <v>20</v>
      </c>
      <c r="G1502" t="s">
        <v>21</v>
      </c>
      <c r="H1502" s="3" t="s">
        <v>34</v>
      </c>
      <c r="I1502" s="3" t="s">
        <v>16</v>
      </c>
      <c r="J1502" s="3" t="s">
        <v>17</v>
      </c>
      <c r="K1502" s="3">
        <f>_xlfn.XLOOKUP(tbl_main[[#This Row],[Service]],tbl_service[Service],tbl_service[Price],"")</f>
        <v>100</v>
      </c>
      <c r="L1502" s="3">
        <v>2</v>
      </c>
      <c r="M1502" s="3">
        <f>IF(AND(tbl_main[[#This Row],[Price]]="",tbl_main[[#This Row],[Qty]]=""),"",tbl_main[[#This Row],[Price]]*tbl_main[[#This Row],[Qty]])</f>
        <v>200</v>
      </c>
      <c r="N1502" s="3">
        <f>_xlfn.LET(_xlpm.x,_xlfn.XLOOKUP(tbl_main[[#This Row],[Service]],tbl_service[Service],tbl_service[Profit],""),
               IF(tbl_main[[#This Row],[Qty]]="","",_xlpm.x*tbl_main[[#This Row],[Qty]]))</f>
        <v>90</v>
      </c>
    </row>
    <row r="1503" spans="1:14" x14ac:dyDescent="0.25">
      <c r="A1503" t="s">
        <v>1545</v>
      </c>
      <c r="B1503" s="1">
        <v>46157</v>
      </c>
      <c r="C1503">
        <f>IF(tbl_main[[#This Row],[Date]]="","",YEAR(B1503))</f>
        <v>2026</v>
      </c>
      <c r="D1503" t="str">
        <f>IF(tbl_main[[#This Row],[Date]]="","",TEXT(B1503,"mmm"))</f>
        <v>May</v>
      </c>
      <c r="E1503" t="str">
        <f>IF(tbl_main[[#This Row],[Date]]="","",TEXT(B1503,"DDD"))</f>
        <v>Fri</v>
      </c>
      <c r="F1503" t="s">
        <v>13</v>
      </c>
      <c r="G1503" t="s">
        <v>33</v>
      </c>
      <c r="H1503" s="3" t="s">
        <v>26</v>
      </c>
      <c r="I1503" s="3" t="s">
        <v>19</v>
      </c>
      <c r="J1503" s="3" t="s">
        <v>32</v>
      </c>
      <c r="K1503" s="3">
        <f>_xlfn.XLOOKUP(tbl_main[[#This Row],[Service]],tbl_service[Service],tbl_service[Price],"")</f>
        <v>200</v>
      </c>
      <c r="L1503" s="3">
        <v>1</v>
      </c>
      <c r="M1503" s="3">
        <f>IF(AND(tbl_main[[#This Row],[Price]]="",tbl_main[[#This Row],[Qty]]=""),"",tbl_main[[#This Row],[Price]]*tbl_main[[#This Row],[Qty]])</f>
        <v>200</v>
      </c>
      <c r="N1503" s="3">
        <f>_xlfn.LET(_xlpm.x,_xlfn.XLOOKUP(tbl_main[[#This Row],[Service]],tbl_service[Service],tbl_service[Profit],""),
               IF(tbl_main[[#This Row],[Qty]]="","",_xlpm.x*tbl_main[[#This Row],[Qty]]))</f>
        <v>90</v>
      </c>
    </row>
    <row r="1504" spans="1:14" x14ac:dyDescent="0.25">
      <c r="A1504" t="s">
        <v>1546</v>
      </c>
      <c r="B1504" s="1">
        <v>46157</v>
      </c>
      <c r="C1504">
        <f>IF(tbl_main[[#This Row],[Date]]="","",YEAR(B1504))</f>
        <v>2026</v>
      </c>
      <c r="D1504" t="str">
        <f>IF(tbl_main[[#This Row],[Date]]="","",TEXT(B1504,"mmm"))</f>
        <v>May</v>
      </c>
      <c r="E1504" t="str">
        <f>IF(tbl_main[[#This Row],[Date]]="","",TEXT(B1504,"DDD"))</f>
        <v>Fri</v>
      </c>
      <c r="F1504" t="s">
        <v>13</v>
      </c>
      <c r="G1504" t="s">
        <v>14</v>
      </c>
      <c r="H1504" s="3" t="s">
        <v>24</v>
      </c>
      <c r="I1504" s="3" t="s">
        <v>43</v>
      </c>
      <c r="J1504" s="3" t="s">
        <v>17</v>
      </c>
      <c r="K1504" s="3">
        <f>_xlfn.XLOOKUP(tbl_main[[#This Row],[Service]],tbl_service[Service],tbl_service[Price],"")</f>
        <v>80</v>
      </c>
      <c r="L1504" s="3">
        <v>1</v>
      </c>
      <c r="M1504" s="3">
        <f>IF(AND(tbl_main[[#This Row],[Price]]="",tbl_main[[#This Row],[Qty]]=""),"",tbl_main[[#This Row],[Price]]*tbl_main[[#This Row],[Qty]])</f>
        <v>80</v>
      </c>
      <c r="N1504" s="3">
        <f>_xlfn.LET(_xlpm.x,_xlfn.XLOOKUP(tbl_main[[#This Row],[Service]],tbl_service[Service],tbl_service[Profit],""),
               IF(tbl_main[[#This Row],[Qty]]="","",_xlpm.x*tbl_main[[#This Row],[Qty]]))</f>
        <v>36</v>
      </c>
    </row>
    <row r="1505" spans="1:14" x14ac:dyDescent="0.25">
      <c r="A1505" t="s">
        <v>1547</v>
      </c>
      <c r="B1505" s="1">
        <v>46158</v>
      </c>
      <c r="C1505">
        <f>IF(tbl_main[[#This Row],[Date]]="","",YEAR(B1505))</f>
        <v>2026</v>
      </c>
      <c r="D1505" t="str">
        <f>IF(tbl_main[[#This Row],[Date]]="","",TEXT(B1505,"mmm"))</f>
        <v>May</v>
      </c>
      <c r="E1505" t="str">
        <f>IF(tbl_main[[#This Row],[Date]]="","",TEXT(B1505,"DDD"))</f>
        <v>Sat</v>
      </c>
      <c r="F1505" t="s">
        <v>13</v>
      </c>
      <c r="G1505" t="s">
        <v>33</v>
      </c>
      <c r="H1505" s="3" t="s">
        <v>26</v>
      </c>
      <c r="I1505" s="3" t="s">
        <v>41</v>
      </c>
      <c r="J1505" s="3" t="s">
        <v>17</v>
      </c>
      <c r="K1505" s="3">
        <f>_xlfn.XLOOKUP(tbl_main[[#This Row],[Service]],tbl_service[Service],tbl_service[Price],"")</f>
        <v>200</v>
      </c>
      <c r="L1505" s="3">
        <v>1</v>
      </c>
      <c r="M1505" s="3">
        <f>IF(AND(tbl_main[[#This Row],[Price]]="",tbl_main[[#This Row],[Qty]]=""),"",tbl_main[[#This Row],[Price]]*tbl_main[[#This Row],[Qty]])</f>
        <v>200</v>
      </c>
      <c r="N1505" s="3">
        <f>_xlfn.LET(_xlpm.x,_xlfn.XLOOKUP(tbl_main[[#This Row],[Service]],tbl_service[Service],tbl_service[Profit],""),
               IF(tbl_main[[#This Row],[Qty]]="","",_xlpm.x*tbl_main[[#This Row],[Qty]]))</f>
        <v>90</v>
      </c>
    </row>
    <row r="1506" spans="1:14" x14ac:dyDescent="0.25">
      <c r="A1506" t="s">
        <v>1548</v>
      </c>
      <c r="B1506" s="1">
        <v>46158</v>
      </c>
      <c r="C1506">
        <f>IF(tbl_main[[#This Row],[Date]]="","",YEAR(B1506))</f>
        <v>2026</v>
      </c>
      <c r="D1506" t="str">
        <f>IF(tbl_main[[#This Row],[Date]]="","",TEXT(B1506,"mmm"))</f>
        <v>May</v>
      </c>
      <c r="E1506" t="str">
        <f>IF(tbl_main[[#This Row],[Date]]="","",TEXT(B1506,"DDD"))</f>
        <v>Sat</v>
      </c>
      <c r="F1506" t="s">
        <v>27</v>
      </c>
      <c r="G1506" t="s">
        <v>40</v>
      </c>
      <c r="H1506" s="3" t="s">
        <v>22</v>
      </c>
      <c r="I1506" s="3" t="s">
        <v>41</v>
      </c>
      <c r="J1506" s="3" t="s">
        <v>17</v>
      </c>
      <c r="K1506" s="3">
        <f>_xlfn.XLOOKUP(tbl_main[[#This Row],[Service]],tbl_service[Service],tbl_service[Price],"")</f>
        <v>150</v>
      </c>
      <c r="L1506" s="3">
        <v>2</v>
      </c>
      <c r="M1506" s="3">
        <f>IF(AND(tbl_main[[#This Row],[Price]]="",tbl_main[[#This Row],[Qty]]=""),"",tbl_main[[#This Row],[Price]]*tbl_main[[#This Row],[Qty]])</f>
        <v>300</v>
      </c>
      <c r="N1506" s="3">
        <f>_xlfn.LET(_xlpm.x,_xlfn.XLOOKUP(tbl_main[[#This Row],[Service]],tbl_service[Service],tbl_service[Profit],""),
               IF(tbl_main[[#This Row],[Qty]]="","",_xlpm.x*tbl_main[[#This Row],[Qty]]))</f>
        <v>134</v>
      </c>
    </row>
    <row r="1507" spans="1:14" x14ac:dyDescent="0.25">
      <c r="A1507" t="s">
        <v>1549</v>
      </c>
      <c r="B1507" s="1">
        <v>46159</v>
      </c>
      <c r="C1507">
        <f>IF(tbl_main[[#This Row],[Date]]="","",YEAR(B1507))</f>
        <v>2026</v>
      </c>
      <c r="D1507" t="str">
        <f>IF(tbl_main[[#This Row],[Date]]="","",TEXT(B1507,"mmm"))</f>
        <v>May</v>
      </c>
      <c r="E1507" t="str">
        <f>IF(tbl_main[[#This Row],[Date]]="","",TEXT(B1507,"DDD"))</f>
        <v>Sun</v>
      </c>
      <c r="F1507" t="s">
        <v>30</v>
      </c>
      <c r="G1507" t="s">
        <v>36</v>
      </c>
      <c r="H1507" s="3" t="s">
        <v>15</v>
      </c>
      <c r="I1507" s="3" t="s">
        <v>35</v>
      </c>
      <c r="J1507" s="3" t="s">
        <v>32</v>
      </c>
      <c r="K1507" s="3">
        <f>_xlfn.XLOOKUP(tbl_main[[#This Row],[Service]],tbl_service[Service],tbl_service[Price],"")</f>
        <v>500</v>
      </c>
      <c r="L1507" s="3">
        <v>2</v>
      </c>
      <c r="M1507" s="3">
        <f>IF(AND(tbl_main[[#This Row],[Price]]="",tbl_main[[#This Row],[Qty]]=""),"",tbl_main[[#This Row],[Price]]*tbl_main[[#This Row],[Qty]])</f>
        <v>1000</v>
      </c>
      <c r="N1507" s="3">
        <f>_xlfn.LET(_xlpm.x,_xlfn.XLOOKUP(tbl_main[[#This Row],[Service]],tbl_service[Service],tbl_service[Profit],""),
               IF(tbl_main[[#This Row],[Qty]]="","",_xlpm.x*tbl_main[[#This Row],[Qty]]))</f>
        <v>450</v>
      </c>
    </row>
    <row r="1508" spans="1:14" x14ac:dyDescent="0.25">
      <c r="A1508" t="s">
        <v>1550</v>
      </c>
      <c r="B1508" s="1">
        <v>46159</v>
      </c>
      <c r="C1508">
        <f>IF(tbl_main[[#This Row],[Date]]="","",YEAR(B1508))</f>
        <v>2026</v>
      </c>
      <c r="D1508" t="str">
        <f>IF(tbl_main[[#This Row],[Date]]="","",TEXT(B1508,"mmm"))</f>
        <v>May</v>
      </c>
      <c r="E1508" t="str">
        <f>IF(tbl_main[[#This Row],[Date]]="","",TEXT(B1508,"DDD"))</f>
        <v>Sun</v>
      </c>
      <c r="F1508" t="s">
        <v>30</v>
      </c>
      <c r="G1508" t="s">
        <v>36</v>
      </c>
      <c r="H1508" s="3" t="s">
        <v>26</v>
      </c>
      <c r="I1508" s="3" t="s">
        <v>35</v>
      </c>
      <c r="J1508" s="3" t="s">
        <v>25</v>
      </c>
      <c r="K1508" s="3">
        <f>_xlfn.XLOOKUP(tbl_main[[#This Row],[Service]],tbl_service[Service],tbl_service[Price],"")</f>
        <v>200</v>
      </c>
      <c r="L1508" s="3">
        <v>2</v>
      </c>
      <c r="M1508" s="3">
        <f>IF(AND(tbl_main[[#This Row],[Price]]="",tbl_main[[#This Row],[Qty]]=""),"",tbl_main[[#This Row],[Price]]*tbl_main[[#This Row],[Qty]])</f>
        <v>400</v>
      </c>
      <c r="N1508" s="3">
        <f>_xlfn.LET(_xlpm.x,_xlfn.XLOOKUP(tbl_main[[#This Row],[Service]],tbl_service[Service],tbl_service[Profit],""),
               IF(tbl_main[[#This Row],[Qty]]="","",_xlpm.x*tbl_main[[#This Row],[Qty]]))</f>
        <v>180</v>
      </c>
    </row>
    <row r="1509" spans="1:14" x14ac:dyDescent="0.25">
      <c r="A1509" t="s">
        <v>1551</v>
      </c>
      <c r="B1509" s="1">
        <v>46160</v>
      </c>
      <c r="C1509">
        <f>IF(tbl_main[[#This Row],[Date]]="","",YEAR(B1509))</f>
        <v>2026</v>
      </c>
      <c r="D1509" t="str">
        <f>IF(tbl_main[[#This Row],[Date]]="","",TEXT(B1509,"mmm"))</f>
        <v>May</v>
      </c>
      <c r="E1509" t="str">
        <f>IF(tbl_main[[#This Row],[Date]]="","",TEXT(B1509,"DDD"))</f>
        <v>Mon</v>
      </c>
      <c r="F1509" t="s">
        <v>20</v>
      </c>
      <c r="G1509" t="s">
        <v>29</v>
      </c>
      <c r="H1509" s="3" t="s">
        <v>34</v>
      </c>
      <c r="I1509" s="3" t="s">
        <v>23</v>
      </c>
      <c r="J1509" s="3" t="s">
        <v>32</v>
      </c>
      <c r="K1509" s="3">
        <f>_xlfn.XLOOKUP(tbl_main[[#This Row],[Service]],tbl_service[Service],tbl_service[Price],"")</f>
        <v>100</v>
      </c>
      <c r="L1509" s="3">
        <v>1</v>
      </c>
      <c r="M1509" s="3">
        <f>IF(AND(tbl_main[[#This Row],[Price]]="",tbl_main[[#This Row],[Qty]]=""),"",tbl_main[[#This Row],[Price]]*tbl_main[[#This Row],[Qty]])</f>
        <v>100</v>
      </c>
      <c r="N1509" s="3">
        <f>_xlfn.LET(_xlpm.x,_xlfn.XLOOKUP(tbl_main[[#This Row],[Service]],tbl_service[Service],tbl_service[Profit],""),
               IF(tbl_main[[#This Row],[Qty]]="","",_xlpm.x*tbl_main[[#This Row],[Qty]]))</f>
        <v>45</v>
      </c>
    </row>
    <row r="1510" spans="1:14" x14ac:dyDescent="0.25">
      <c r="A1510" t="s">
        <v>1552</v>
      </c>
      <c r="B1510" s="1">
        <v>46160</v>
      </c>
      <c r="C1510">
        <f>IF(tbl_main[[#This Row],[Date]]="","",YEAR(B1510))</f>
        <v>2026</v>
      </c>
      <c r="D1510" t="str">
        <f>IF(tbl_main[[#This Row],[Date]]="","",TEXT(B1510,"mmm"))</f>
        <v>May</v>
      </c>
      <c r="E1510" t="str">
        <f>IF(tbl_main[[#This Row],[Date]]="","",TEXT(B1510,"DDD"))</f>
        <v>Mon</v>
      </c>
      <c r="F1510" t="s">
        <v>30</v>
      </c>
      <c r="G1510" t="s">
        <v>31</v>
      </c>
      <c r="H1510" s="3" t="s">
        <v>34</v>
      </c>
      <c r="I1510" s="3" t="s">
        <v>37</v>
      </c>
      <c r="J1510" s="3" t="s">
        <v>25</v>
      </c>
      <c r="K1510" s="3">
        <f>_xlfn.XLOOKUP(tbl_main[[#This Row],[Service]],tbl_service[Service],tbl_service[Price],"")</f>
        <v>100</v>
      </c>
      <c r="L1510" s="3">
        <v>2</v>
      </c>
      <c r="M1510" s="3">
        <f>IF(AND(tbl_main[[#This Row],[Price]]="",tbl_main[[#This Row],[Qty]]=""),"",tbl_main[[#This Row],[Price]]*tbl_main[[#This Row],[Qty]])</f>
        <v>200</v>
      </c>
      <c r="N1510" s="3">
        <f>_xlfn.LET(_xlpm.x,_xlfn.XLOOKUP(tbl_main[[#This Row],[Service]],tbl_service[Service],tbl_service[Profit],""),
               IF(tbl_main[[#This Row],[Qty]]="","",_xlpm.x*tbl_main[[#This Row],[Qty]]))</f>
        <v>90</v>
      </c>
    </row>
    <row r="1511" spans="1:14" x14ac:dyDescent="0.25">
      <c r="A1511" t="s">
        <v>1553</v>
      </c>
      <c r="B1511" s="1">
        <v>46160</v>
      </c>
      <c r="C1511">
        <f>IF(tbl_main[[#This Row],[Date]]="","",YEAR(B1511))</f>
        <v>2026</v>
      </c>
      <c r="D1511" t="str">
        <f>IF(tbl_main[[#This Row],[Date]]="","",TEXT(B1511,"mmm"))</f>
        <v>May</v>
      </c>
      <c r="E1511" t="str">
        <f>IF(tbl_main[[#This Row],[Date]]="","",TEXT(B1511,"DDD"))</f>
        <v>Mon</v>
      </c>
      <c r="F1511" t="s">
        <v>20</v>
      </c>
      <c r="G1511" t="s">
        <v>39</v>
      </c>
      <c r="H1511" s="3" t="s">
        <v>18</v>
      </c>
      <c r="I1511" s="3" t="s">
        <v>38</v>
      </c>
      <c r="J1511" s="3" t="s">
        <v>32</v>
      </c>
      <c r="K1511" s="3">
        <f>_xlfn.XLOOKUP(tbl_main[[#This Row],[Service]],tbl_service[Service],tbl_service[Price],"")</f>
        <v>500</v>
      </c>
      <c r="L1511" s="3">
        <v>2</v>
      </c>
      <c r="M1511" s="3">
        <f>IF(AND(tbl_main[[#This Row],[Price]]="",tbl_main[[#This Row],[Qty]]=""),"",tbl_main[[#This Row],[Price]]*tbl_main[[#This Row],[Qty]])</f>
        <v>1000</v>
      </c>
      <c r="N1511" s="3">
        <f>_xlfn.LET(_xlpm.x,_xlfn.XLOOKUP(tbl_main[[#This Row],[Service]],tbl_service[Service],tbl_service[Profit],""),
               IF(tbl_main[[#This Row],[Qty]]="","",_xlpm.x*tbl_main[[#This Row],[Qty]]))</f>
        <v>314</v>
      </c>
    </row>
    <row r="1512" spans="1:14" x14ac:dyDescent="0.25">
      <c r="A1512" t="s">
        <v>1554</v>
      </c>
      <c r="B1512" s="1">
        <v>46160</v>
      </c>
      <c r="C1512">
        <f>IF(tbl_main[[#This Row],[Date]]="","",YEAR(B1512))</f>
        <v>2026</v>
      </c>
      <c r="D1512" t="str">
        <f>IF(tbl_main[[#This Row],[Date]]="","",TEXT(B1512,"mmm"))</f>
        <v>May</v>
      </c>
      <c r="E1512" t="str">
        <f>IF(tbl_main[[#This Row],[Date]]="","",TEXT(B1512,"DDD"))</f>
        <v>Mon</v>
      </c>
      <c r="F1512" t="s">
        <v>13</v>
      </c>
      <c r="G1512" t="s">
        <v>33</v>
      </c>
      <c r="H1512" s="3" t="s">
        <v>24</v>
      </c>
      <c r="I1512" s="3" t="s">
        <v>16</v>
      </c>
      <c r="J1512" s="3" t="s">
        <v>25</v>
      </c>
      <c r="K1512" s="3">
        <f>_xlfn.XLOOKUP(tbl_main[[#This Row],[Service]],tbl_service[Service],tbl_service[Price],"")</f>
        <v>80</v>
      </c>
      <c r="L1512" s="3">
        <v>2</v>
      </c>
      <c r="M1512" s="3">
        <f>IF(AND(tbl_main[[#This Row],[Price]]="",tbl_main[[#This Row],[Qty]]=""),"",tbl_main[[#This Row],[Price]]*tbl_main[[#This Row],[Qty]])</f>
        <v>160</v>
      </c>
      <c r="N1512" s="3">
        <f>_xlfn.LET(_xlpm.x,_xlfn.XLOOKUP(tbl_main[[#This Row],[Service]],tbl_service[Service],tbl_service[Profit],""),
               IF(tbl_main[[#This Row],[Qty]]="","",_xlpm.x*tbl_main[[#This Row],[Qty]]))</f>
        <v>72</v>
      </c>
    </row>
    <row r="1513" spans="1:14" x14ac:dyDescent="0.25">
      <c r="A1513" t="s">
        <v>1555</v>
      </c>
      <c r="B1513" s="1">
        <v>46161</v>
      </c>
      <c r="C1513">
        <f>IF(tbl_main[[#This Row],[Date]]="","",YEAR(B1513))</f>
        <v>2026</v>
      </c>
      <c r="D1513" t="str">
        <f>IF(tbl_main[[#This Row],[Date]]="","",TEXT(B1513,"mmm"))</f>
        <v>May</v>
      </c>
      <c r="E1513" t="str">
        <f>IF(tbl_main[[#This Row],[Date]]="","",TEXT(B1513,"DDD"))</f>
        <v>Tue</v>
      </c>
      <c r="F1513" t="s">
        <v>20</v>
      </c>
      <c r="G1513" t="s">
        <v>21</v>
      </c>
      <c r="H1513" s="3" t="s">
        <v>22</v>
      </c>
      <c r="I1513" s="3" t="s">
        <v>19</v>
      </c>
      <c r="J1513" s="3" t="s">
        <v>17</v>
      </c>
      <c r="K1513" s="3">
        <f>_xlfn.XLOOKUP(tbl_main[[#This Row],[Service]],tbl_service[Service],tbl_service[Price],"")</f>
        <v>150</v>
      </c>
      <c r="L1513" s="3">
        <v>1</v>
      </c>
      <c r="M1513" s="3">
        <f>IF(AND(tbl_main[[#This Row],[Price]]="",tbl_main[[#This Row],[Qty]]=""),"",tbl_main[[#This Row],[Price]]*tbl_main[[#This Row],[Qty]])</f>
        <v>150</v>
      </c>
      <c r="N1513" s="3">
        <f>_xlfn.LET(_xlpm.x,_xlfn.XLOOKUP(tbl_main[[#This Row],[Service]],tbl_service[Service],tbl_service[Profit],""),
               IF(tbl_main[[#This Row],[Qty]]="","",_xlpm.x*tbl_main[[#This Row],[Qty]]))</f>
        <v>67</v>
      </c>
    </row>
    <row r="1514" spans="1:14" x14ac:dyDescent="0.25">
      <c r="A1514" t="s">
        <v>1556</v>
      </c>
      <c r="B1514" s="1">
        <v>46161</v>
      </c>
      <c r="C1514">
        <f>IF(tbl_main[[#This Row],[Date]]="","",YEAR(B1514))</f>
        <v>2026</v>
      </c>
      <c r="D1514" t="str">
        <f>IF(tbl_main[[#This Row],[Date]]="","",TEXT(B1514,"mmm"))</f>
        <v>May</v>
      </c>
      <c r="E1514" t="str">
        <f>IF(tbl_main[[#This Row],[Date]]="","",TEXT(B1514,"DDD"))</f>
        <v>Tue</v>
      </c>
      <c r="F1514" t="s">
        <v>13</v>
      </c>
      <c r="G1514" t="s">
        <v>33</v>
      </c>
      <c r="H1514" s="3" t="s">
        <v>22</v>
      </c>
      <c r="I1514" s="3" t="s">
        <v>43</v>
      </c>
      <c r="J1514" s="3" t="s">
        <v>17</v>
      </c>
      <c r="K1514" s="3">
        <f>_xlfn.XLOOKUP(tbl_main[[#This Row],[Service]],tbl_service[Service],tbl_service[Price],"")</f>
        <v>150</v>
      </c>
      <c r="L1514" s="3">
        <v>2</v>
      </c>
      <c r="M1514" s="3">
        <f>IF(AND(tbl_main[[#This Row],[Price]]="",tbl_main[[#This Row],[Qty]]=""),"",tbl_main[[#This Row],[Price]]*tbl_main[[#This Row],[Qty]])</f>
        <v>300</v>
      </c>
      <c r="N1514" s="3">
        <f>_xlfn.LET(_xlpm.x,_xlfn.XLOOKUP(tbl_main[[#This Row],[Service]],tbl_service[Service],tbl_service[Profit],""),
               IF(tbl_main[[#This Row],[Qty]]="","",_xlpm.x*tbl_main[[#This Row],[Qty]]))</f>
        <v>134</v>
      </c>
    </row>
    <row r="1515" spans="1:14" x14ac:dyDescent="0.25">
      <c r="A1515" t="s">
        <v>1557</v>
      </c>
      <c r="B1515" s="1">
        <v>46162</v>
      </c>
      <c r="C1515">
        <f>IF(tbl_main[[#This Row],[Date]]="","",YEAR(B1515))</f>
        <v>2026</v>
      </c>
      <c r="D1515" t="str">
        <f>IF(tbl_main[[#This Row],[Date]]="","",TEXT(B1515,"mmm"))</f>
        <v>May</v>
      </c>
      <c r="E1515" t="str">
        <f>IF(tbl_main[[#This Row],[Date]]="","",TEXT(B1515,"DDD"))</f>
        <v>Wed</v>
      </c>
      <c r="F1515" t="s">
        <v>20</v>
      </c>
      <c r="G1515" t="s">
        <v>39</v>
      </c>
      <c r="H1515" s="3" t="s">
        <v>18</v>
      </c>
      <c r="I1515" s="3" t="s">
        <v>41</v>
      </c>
      <c r="J1515" s="3" t="s">
        <v>32</v>
      </c>
      <c r="K1515" s="3">
        <f>_xlfn.XLOOKUP(tbl_main[[#This Row],[Service]],tbl_service[Service],tbl_service[Price],"")</f>
        <v>500</v>
      </c>
      <c r="L1515" s="3">
        <v>2</v>
      </c>
      <c r="M1515" s="3">
        <f>IF(AND(tbl_main[[#This Row],[Price]]="",tbl_main[[#This Row],[Qty]]=""),"",tbl_main[[#This Row],[Price]]*tbl_main[[#This Row],[Qty]])</f>
        <v>1000</v>
      </c>
      <c r="N1515" s="3">
        <f>_xlfn.LET(_xlpm.x,_xlfn.XLOOKUP(tbl_main[[#This Row],[Service]],tbl_service[Service],tbl_service[Profit],""),
               IF(tbl_main[[#This Row],[Qty]]="","",_xlpm.x*tbl_main[[#This Row],[Qty]]))</f>
        <v>314</v>
      </c>
    </row>
    <row r="1516" spans="1:14" x14ac:dyDescent="0.25">
      <c r="A1516" t="s">
        <v>1558</v>
      </c>
      <c r="B1516" s="1">
        <v>46162</v>
      </c>
      <c r="C1516">
        <f>IF(tbl_main[[#This Row],[Date]]="","",YEAR(B1516))</f>
        <v>2026</v>
      </c>
      <c r="D1516" t="str">
        <f>IF(tbl_main[[#This Row],[Date]]="","",TEXT(B1516,"mmm"))</f>
        <v>May</v>
      </c>
      <c r="E1516" t="str">
        <f>IF(tbl_main[[#This Row],[Date]]="","",TEXT(B1516,"DDD"))</f>
        <v>Wed</v>
      </c>
      <c r="F1516" t="s">
        <v>30</v>
      </c>
      <c r="G1516" t="s">
        <v>31</v>
      </c>
      <c r="H1516" s="3" t="s">
        <v>15</v>
      </c>
      <c r="I1516" s="3" t="s">
        <v>41</v>
      </c>
      <c r="J1516" s="3" t="s">
        <v>25</v>
      </c>
      <c r="K1516" s="3">
        <f>_xlfn.XLOOKUP(tbl_main[[#This Row],[Service]],tbl_service[Service],tbl_service[Price],"")</f>
        <v>500</v>
      </c>
      <c r="L1516" s="3">
        <v>1</v>
      </c>
      <c r="M1516" s="3">
        <f>IF(AND(tbl_main[[#This Row],[Price]]="",tbl_main[[#This Row],[Qty]]=""),"",tbl_main[[#This Row],[Price]]*tbl_main[[#This Row],[Qty]])</f>
        <v>500</v>
      </c>
      <c r="N1516" s="3">
        <f>_xlfn.LET(_xlpm.x,_xlfn.XLOOKUP(tbl_main[[#This Row],[Service]],tbl_service[Service],tbl_service[Profit],""),
               IF(tbl_main[[#This Row],[Qty]]="","",_xlpm.x*tbl_main[[#This Row],[Qty]]))</f>
        <v>225</v>
      </c>
    </row>
    <row r="1517" spans="1:14" x14ac:dyDescent="0.25">
      <c r="A1517" t="s">
        <v>1559</v>
      </c>
      <c r="B1517" s="1">
        <v>46163</v>
      </c>
      <c r="C1517">
        <f>IF(tbl_main[[#This Row],[Date]]="","",YEAR(B1517))</f>
        <v>2026</v>
      </c>
      <c r="D1517" t="str">
        <f>IF(tbl_main[[#This Row],[Date]]="","",TEXT(B1517,"mmm"))</f>
        <v>May</v>
      </c>
      <c r="E1517" t="str">
        <f>IF(tbl_main[[#This Row],[Date]]="","",TEXT(B1517,"DDD"))</f>
        <v>Thu</v>
      </c>
      <c r="F1517" t="s">
        <v>27</v>
      </c>
      <c r="G1517" t="s">
        <v>40</v>
      </c>
      <c r="H1517" s="3" t="s">
        <v>26</v>
      </c>
      <c r="I1517" s="3" t="s">
        <v>35</v>
      </c>
      <c r="J1517" s="3" t="s">
        <v>17</v>
      </c>
      <c r="K1517" s="3">
        <f>_xlfn.XLOOKUP(tbl_main[[#This Row],[Service]],tbl_service[Service],tbl_service[Price],"")</f>
        <v>200</v>
      </c>
      <c r="L1517" s="3">
        <v>2</v>
      </c>
      <c r="M1517" s="3">
        <f>IF(AND(tbl_main[[#This Row],[Price]]="",tbl_main[[#This Row],[Qty]]=""),"",tbl_main[[#This Row],[Price]]*tbl_main[[#This Row],[Qty]])</f>
        <v>400</v>
      </c>
      <c r="N1517" s="3">
        <f>_xlfn.LET(_xlpm.x,_xlfn.XLOOKUP(tbl_main[[#This Row],[Service]],tbl_service[Service],tbl_service[Profit],""),
               IF(tbl_main[[#This Row],[Qty]]="","",_xlpm.x*tbl_main[[#This Row],[Qty]]))</f>
        <v>180</v>
      </c>
    </row>
    <row r="1518" spans="1:14" x14ac:dyDescent="0.25">
      <c r="A1518" t="s">
        <v>1560</v>
      </c>
      <c r="B1518" s="1">
        <v>46163</v>
      </c>
      <c r="C1518">
        <f>IF(tbl_main[[#This Row],[Date]]="","",YEAR(B1518))</f>
        <v>2026</v>
      </c>
      <c r="D1518" t="str">
        <f>IF(tbl_main[[#This Row],[Date]]="","",TEXT(B1518,"mmm"))</f>
        <v>May</v>
      </c>
      <c r="E1518" t="str">
        <f>IF(tbl_main[[#This Row],[Date]]="","",TEXT(B1518,"DDD"))</f>
        <v>Thu</v>
      </c>
      <c r="F1518" t="s">
        <v>30</v>
      </c>
      <c r="G1518" t="s">
        <v>31</v>
      </c>
      <c r="H1518" s="3" t="s">
        <v>18</v>
      </c>
      <c r="I1518" s="3" t="s">
        <v>35</v>
      </c>
      <c r="J1518" s="3" t="s">
        <v>32</v>
      </c>
      <c r="K1518" s="3">
        <f>_xlfn.XLOOKUP(tbl_main[[#This Row],[Service]],tbl_service[Service],tbl_service[Price],"")</f>
        <v>500</v>
      </c>
      <c r="L1518" s="3">
        <v>1</v>
      </c>
      <c r="M1518" s="3">
        <f>IF(AND(tbl_main[[#This Row],[Price]]="",tbl_main[[#This Row],[Qty]]=""),"",tbl_main[[#This Row],[Price]]*tbl_main[[#This Row],[Qty]])</f>
        <v>500</v>
      </c>
      <c r="N1518" s="3">
        <f>_xlfn.LET(_xlpm.x,_xlfn.XLOOKUP(tbl_main[[#This Row],[Service]],tbl_service[Service],tbl_service[Profit],""),
               IF(tbl_main[[#This Row],[Qty]]="","",_xlpm.x*tbl_main[[#This Row],[Qty]]))</f>
        <v>157</v>
      </c>
    </row>
    <row r="1519" spans="1:14" x14ac:dyDescent="0.25">
      <c r="A1519" t="s">
        <v>1561</v>
      </c>
      <c r="B1519" s="1">
        <v>46163</v>
      </c>
      <c r="C1519">
        <f>IF(tbl_main[[#This Row],[Date]]="","",YEAR(B1519))</f>
        <v>2026</v>
      </c>
      <c r="D1519" t="str">
        <f>IF(tbl_main[[#This Row],[Date]]="","",TEXT(B1519,"mmm"))</f>
        <v>May</v>
      </c>
      <c r="E1519" t="str">
        <f>IF(tbl_main[[#This Row],[Date]]="","",TEXT(B1519,"DDD"))</f>
        <v>Thu</v>
      </c>
      <c r="F1519" t="s">
        <v>30</v>
      </c>
      <c r="G1519" t="s">
        <v>36</v>
      </c>
      <c r="H1519" s="3" t="s">
        <v>26</v>
      </c>
      <c r="I1519" s="3" t="s">
        <v>23</v>
      </c>
      <c r="J1519" s="3" t="s">
        <v>32</v>
      </c>
      <c r="K1519" s="3">
        <f>_xlfn.XLOOKUP(tbl_main[[#This Row],[Service]],tbl_service[Service],tbl_service[Price],"")</f>
        <v>200</v>
      </c>
      <c r="L1519" s="3">
        <v>2</v>
      </c>
      <c r="M1519" s="3">
        <f>IF(AND(tbl_main[[#This Row],[Price]]="",tbl_main[[#This Row],[Qty]]=""),"",tbl_main[[#This Row],[Price]]*tbl_main[[#This Row],[Qty]])</f>
        <v>400</v>
      </c>
      <c r="N1519" s="3">
        <f>_xlfn.LET(_xlpm.x,_xlfn.XLOOKUP(tbl_main[[#This Row],[Service]],tbl_service[Service],tbl_service[Profit],""),
               IF(tbl_main[[#This Row],[Qty]]="","",_xlpm.x*tbl_main[[#This Row],[Qty]]))</f>
        <v>180</v>
      </c>
    </row>
    <row r="1520" spans="1:14" x14ac:dyDescent="0.25">
      <c r="A1520" t="s">
        <v>1562</v>
      </c>
      <c r="B1520" s="1">
        <v>46164</v>
      </c>
      <c r="C1520">
        <f>IF(tbl_main[[#This Row],[Date]]="","",YEAR(B1520))</f>
        <v>2026</v>
      </c>
      <c r="D1520" t="str">
        <f>IF(tbl_main[[#This Row],[Date]]="","",TEXT(B1520,"mmm"))</f>
        <v>May</v>
      </c>
      <c r="E1520" t="str">
        <f>IF(tbl_main[[#This Row],[Date]]="","",TEXT(B1520,"DDD"))</f>
        <v>Fri</v>
      </c>
      <c r="F1520" t="s">
        <v>27</v>
      </c>
      <c r="G1520" t="s">
        <v>28</v>
      </c>
      <c r="H1520" s="3" t="s">
        <v>34</v>
      </c>
      <c r="I1520" s="3" t="s">
        <v>37</v>
      </c>
      <c r="J1520" s="3" t="s">
        <v>32</v>
      </c>
      <c r="K1520" s="3">
        <f>_xlfn.XLOOKUP(tbl_main[[#This Row],[Service]],tbl_service[Service],tbl_service[Price],"")</f>
        <v>100</v>
      </c>
      <c r="L1520" s="3">
        <v>1</v>
      </c>
      <c r="M1520" s="3">
        <f>IF(AND(tbl_main[[#This Row],[Price]]="",tbl_main[[#This Row],[Qty]]=""),"",tbl_main[[#This Row],[Price]]*tbl_main[[#This Row],[Qty]])</f>
        <v>100</v>
      </c>
      <c r="N1520" s="3">
        <f>_xlfn.LET(_xlpm.x,_xlfn.XLOOKUP(tbl_main[[#This Row],[Service]],tbl_service[Service],tbl_service[Profit],""),
               IF(tbl_main[[#This Row],[Qty]]="","",_xlpm.x*tbl_main[[#This Row],[Qty]]))</f>
        <v>45</v>
      </c>
    </row>
    <row r="1521" spans="1:14" x14ac:dyDescent="0.25">
      <c r="A1521" t="s">
        <v>1563</v>
      </c>
      <c r="B1521" s="1">
        <v>46164</v>
      </c>
      <c r="C1521">
        <f>IF(tbl_main[[#This Row],[Date]]="","",YEAR(B1521))</f>
        <v>2026</v>
      </c>
      <c r="D1521" t="str">
        <f>IF(tbl_main[[#This Row],[Date]]="","",TEXT(B1521,"mmm"))</f>
        <v>May</v>
      </c>
      <c r="E1521" t="str">
        <f>IF(tbl_main[[#This Row],[Date]]="","",TEXT(B1521,"DDD"))</f>
        <v>Fri</v>
      </c>
      <c r="F1521" t="s">
        <v>27</v>
      </c>
      <c r="G1521" t="s">
        <v>28</v>
      </c>
      <c r="H1521" s="3" t="s">
        <v>15</v>
      </c>
      <c r="I1521" s="3" t="s">
        <v>38</v>
      </c>
      <c r="J1521" s="3" t="s">
        <v>17</v>
      </c>
      <c r="K1521" s="3">
        <f>_xlfn.XLOOKUP(tbl_main[[#This Row],[Service]],tbl_service[Service],tbl_service[Price],"")</f>
        <v>500</v>
      </c>
      <c r="L1521" s="3">
        <v>1</v>
      </c>
      <c r="M1521" s="3">
        <f>IF(AND(tbl_main[[#This Row],[Price]]="",tbl_main[[#This Row],[Qty]]=""),"",tbl_main[[#This Row],[Price]]*tbl_main[[#This Row],[Qty]])</f>
        <v>500</v>
      </c>
      <c r="N1521" s="3">
        <f>_xlfn.LET(_xlpm.x,_xlfn.XLOOKUP(tbl_main[[#This Row],[Service]],tbl_service[Service],tbl_service[Profit],""),
               IF(tbl_main[[#This Row],[Qty]]="","",_xlpm.x*tbl_main[[#This Row],[Qty]]))</f>
        <v>225</v>
      </c>
    </row>
    <row r="1522" spans="1:14" x14ac:dyDescent="0.25">
      <c r="A1522" t="s">
        <v>1564</v>
      </c>
      <c r="B1522" s="1">
        <v>46165</v>
      </c>
      <c r="C1522">
        <f>IF(tbl_main[[#This Row],[Date]]="","",YEAR(B1522))</f>
        <v>2026</v>
      </c>
      <c r="D1522" t="str">
        <f>IF(tbl_main[[#This Row],[Date]]="","",TEXT(B1522,"mmm"))</f>
        <v>May</v>
      </c>
      <c r="E1522" t="str">
        <f>IF(tbl_main[[#This Row],[Date]]="","",TEXT(B1522,"DDD"))</f>
        <v>Sat</v>
      </c>
      <c r="F1522" t="s">
        <v>20</v>
      </c>
      <c r="G1522" t="s">
        <v>21</v>
      </c>
      <c r="H1522" s="3" t="s">
        <v>18</v>
      </c>
      <c r="I1522" s="3" t="s">
        <v>16</v>
      </c>
      <c r="J1522" s="3" t="s">
        <v>32</v>
      </c>
      <c r="K1522" s="3">
        <f>_xlfn.XLOOKUP(tbl_main[[#This Row],[Service]],tbl_service[Service],tbl_service[Price],"")</f>
        <v>500</v>
      </c>
      <c r="L1522" s="3">
        <v>2</v>
      </c>
      <c r="M1522" s="3">
        <f>IF(AND(tbl_main[[#This Row],[Price]]="",tbl_main[[#This Row],[Qty]]=""),"",tbl_main[[#This Row],[Price]]*tbl_main[[#This Row],[Qty]])</f>
        <v>1000</v>
      </c>
      <c r="N1522" s="3">
        <f>_xlfn.LET(_xlpm.x,_xlfn.XLOOKUP(tbl_main[[#This Row],[Service]],tbl_service[Service],tbl_service[Profit],""),
               IF(tbl_main[[#This Row],[Qty]]="","",_xlpm.x*tbl_main[[#This Row],[Qty]]))</f>
        <v>314</v>
      </c>
    </row>
    <row r="1523" spans="1:14" x14ac:dyDescent="0.25">
      <c r="A1523" t="s">
        <v>1565</v>
      </c>
      <c r="B1523" s="1">
        <v>46165</v>
      </c>
      <c r="C1523">
        <f>IF(tbl_main[[#This Row],[Date]]="","",YEAR(B1523))</f>
        <v>2026</v>
      </c>
      <c r="D1523" t="str">
        <f>IF(tbl_main[[#This Row],[Date]]="","",TEXT(B1523,"mmm"))</f>
        <v>May</v>
      </c>
      <c r="E1523" t="str">
        <f>IF(tbl_main[[#This Row],[Date]]="","",TEXT(B1523,"DDD"))</f>
        <v>Sat</v>
      </c>
      <c r="F1523" t="s">
        <v>20</v>
      </c>
      <c r="G1523" t="s">
        <v>21</v>
      </c>
      <c r="H1523" s="3" t="s">
        <v>18</v>
      </c>
      <c r="I1523" s="3" t="s">
        <v>19</v>
      </c>
      <c r="J1523" s="3" t="s">
        <v>17</v>
      </c>
      <c r="K1523" s="3">
        <f>_xlfn.XLOOKUP(tbl_main[[#This Row],[Service]],tbl_service[Service],tbl_service[Price],"")</f>
        <v>500</v>
      </c>
      <c r="L1523" s="3">
        <v>2</v>
      </c>
      <c r="M1523" s="3">
        <f>IF(AND(tbl_main[[#This Row],[Price]]="",tbl_main[[#This Row],[Qty]]=""),"",tbl_main[[#This Row],[Price]]*tbl_main[[#This Row],[Qty]])</f>
        <v>1000</v>
      </c>
      <c r="N1523" s="3">
        <f>_xlfn.LET(_xlpm.x,_xlfn.XLOOKUP(tbl_main[[#This Row],[Service]],tbl_service[Service],tbl_service[Profit],""),
               IF(tbl_main[[#This Row],[Qty]]="","",_xlpm.x*tbl_main[[#This Row],[Qty]]))</f>
        <v>314</v>
      </c>
    </row>
    <row r="1524" spans="1:14" x14ac:dyDescent="0.25">
      <c r="A1524" t="s">
        <v>1566</v>
      </c>
      <c r="B1524" s="1">
        <v>46165</v>
      </c>
      <c r="C1524">
        <f>IF(tbl_main[[#This Row],[Date]]="","",YEAR(B1524))</f>
        <v>2026</v>
      </c>
      <c r="D1524" t="str">
        <f>IF(tbl_main[[#This Row],[Date]]="","",TEXT(B1524,"mmm"))</f>
        <v>May</v>
      </c>
      <c r="E1524" t="str">
        <f>IF(tbl_main[[#This Row],[Date]]="","",TEXT(B1524,"DDD"))</f>
        <v>Sat</v>
      </c>
      <c r="F1524" t="s">
        <v>13</v>
      </c>
      <c r="G1524" t="s">
        <v>14</v>
      </c>
      <c r="H1524" s="3" t="s">
        <v>15</v>
      </c>
      <c r="I1524" s="3" t="s">
        <v>43</v>
      </c>
      <c r="J1524" s="3" t="s">
        <v>17</v>
      </c>
      <c r="K1524" s="3">
        <f>_xlfn.XLOOKUP(tbl_main[[#This Row],[Service]],tbl_service[Service],tbl_service[Price],"")</f>
        <v>500</v>
      </c>
      <c r="L1524" s="3">
        <v>2</v>
      </c>
      <c r="M1524" s="3">
        <f>IF(AND(tbl_main[[#This Row],[Price]]="",tbl_main[[#This Row],[Qty]]=""),"",tbl_main[[#This Row],[Price]]*tbl_main[[#This Row],[Qty]])</f>
        <v>1000</v>
      </c>
      <c r="N1524" s="3">
        <f>_xlfn.LET(_xlpm.x,_xlfn.XLOOKUP(tbl_main[[#This Row],[Service]],tbl_service[Service],tbl_service[Profit],""),
               IF(tbl_main[[#This Row],[Qty]]="","",_xlpm.x*tbl_main[[#This Row],[Qty]]))</f>
        <v>450</v>
      </c>
    </row>
    <row r="1525" spans="1:14" x14ac:dyDescent="0.25">
      <c r="A1525" t="s">
        <v>1567</v>
      </c>
      <c r="B1525" s="1">
        <v>46165</v>
      </c>
      <c r="C1525">
        <f>IF(tbl_main[[#This Row],[Date]]="","",YEAR(B1525))</f>
        <v>2026</v>
      </c>
      <c r="D1525" t="str">
        <f>IF(tbl_main[[#This Row],[Date]]="","",TEXT(B1525,"mmm"))</f>
        <v>May</v>
      </c>
      <c r="E1525" t="str">
        <f>IF(tbl_main[[#This Row],[Date]]="","",TEXT(B1525,"DDD"))</f>
        <v>Sat</v>
      </c>
      <c r="F1525" t="s">
        <v>20</v>
      </c>
      <c r="G1525" t="s">
        <v>21</v>
      </c>
      <c r="H1525" s="3" t="s">
        <v>34</v>
      </c>
      <c r="I1525" s="3" t="s">
        <v>41</v>
      </c>
      <c r="J1525" s="3" t="s">
        <v>32</v>
      </c>
      <c r="K1525" s="3">
        <f>_xlfn.XLOOKUP(tbl_main[[#This Row],[Service]],tbl_service[Service],tbl_service[Price],"")</f>
        <v>100</v>
      </c>
      <c r="L1525" s="3">
        <v>1</v>
      </c>
      <c r="M1525" s="3">
        <f>IF(AND(tbl_main[[#This Row],[Price]]="",tbl_main[[#This Row],[Qty]]=""),"",tbl_main[[#This Row],[Price]]*tbl_main[[#This Row],[Qty]])</f>
        <v>100</v>
      </c>
      <c r="N1525" s="3">
        <f>_xlfn.LET(_xlpm.x,_xlfn.XLOOKUP(tbl_main[[#This Row],[Service]],tbl_service[Service],tbl_service[Profit],""),
               IF(tbl_main[[#This Row],[Qty]]="","",_xlpm.x*tbl_main[[#This Row],[Qty]]))</f>
        <v>45</v>
      </c>
    </row>
    <row r="1526" spans="1:14" x14ac:dyDescent="0.25">
      <c r="A1526" t="s">
        <v>1568</v>
      </c>
      <c r="B1526" s="1">
        <v>46166</v>
      </c>
      <c r="C1526">
        <f>IF(tbl_main[[#This Row],[Date]]="","",YEAR(B1526))</f>
        <v>2026</v>
      </c>
      <c r="D1526" t="str">
        <f>IF(tbl_main[[#This Row],[Date]]="","",TEXT(B1526,"mmm"))</f>
        <v>May</v>
      </c>
      <c r="E1526" t="str">
        <f>IF(tbl_main[[#This Row],[Date]]="","",TEXT(B1526,"DDD"))</f>
        <v>Sun</v>
      </c>
      <c r="F1526" t="s">
        <v>13</v>
      </c>
      <c r="G1526" t="s">
        <v>14</v>
      </c>
      <c r="H1526" s="3" t="s">
        <v>22</v>
      </c>
      <c r="I1526" s="3" t="s">
        <v>41</v>
      </c>
      <c r="J1526" s="3" t="s">
        <v>25</v>
      </c>
      <c r="K1526" s="3">
        <f>_xlfn.XLOOKUP(tbl_main[[#This Row],[Service]],tbl_service[Service],tbl_service[Price],"")</f>
        <v>150</v>
      </c>
      <c r="L1526" s="3">
        <v>1</v>
      </c>
      <c r="M1526" s="3">
        <f>IF(AND(tbl_main[[#This Row],[Price]]="",tbl_main[[#This Row],[Qty]]=""),"",tbl_main[[#This Row],[Price]]*tbl_main[[#This Row],[Qty]])</f>
        <v>150</v>
      </c>
      <c r="N1526" s="3">
        <f>_xlfn.LET(_xlpm.x,_xlfn.XLOOKUP(tbl_main[[#This Row],[Service]],tbl_service[Service],tbl_service[Profit],""),
               IF(tbl_main[[#This Row],[Qty]]="","",_xlpm.x*tbl_main[[#This Row],[Qty]]))</f>
        <v>67</v>
      </c>
    </row>
    <row r="1527" spans="1:14" x14ac:dyDescent="0.25">
      <c r="A1527" t="s">
        <v>1569</v>
      </c>
      <c r="B1527" s="1">
        <v>46166</v>
      </c>
      <c r="C1527">
        <f>IF(tbl_main[[#This Row],[Date]]="","",YEAR(B1527))</f>
        <v>2026</v>
      </c>
      <c r="D1527" t="str">
        <f>IF(tbl_main[[#This Row],[Date]]="","",TEXT(B1527,"mmm"))</f>
        <v>May</v>
      </c>
      <c r="E1527" t="str">
        <f>IF(tbl_main[[#This Row],[Date]]="","",TEXT(B1527,"DDD"))</f>
        <v>Sun</v>
      </c>
      <c r="F1527" t="s">
        <v>13</v>
      </c>
      <c r="G1527" t="s">
        <v>14</v>
      </c>
      <c r="H1527" s="3" t="s">
        <v>22</v>
      </c>
      <c r="I1527" s="3" t="s">
        <v>35</v>
      </c>
      <c r="J1527" s="3" t="s">
        <v>25</v>
      </c>
      <c r="K1527" s="3">
        <f>_xlfn.XLOOKUP(tbl_main[[#This Row],[Service]],tbl_service[Service],tbl_service[Price],"")</f>
        <v>150</v>
      </c>
      <c r="L1527" s="3">
        <v>1</v>
      </c>
      <c r="M1527" s="3">
        <f>IF(AND(tbl_main[[#This Row],[Price]]="",tbl_main[[#This Row],[Qty]]=""),"",tbl_main[[#This Row],[Price]]*tbl_main[[#This Row],[Qty]])</f>
        <v>150</v>
      </c>
      <c r="N1527" s="3">
        <f>_xlfn.LET(_xlpm.x,_xlfn.XLOOKUP(tbl_main[[#This Row],[Service]],tbl_service[Service],tbl_service[Profit],""),
               IF(tbl_main[[#This Row],[Qty]]="","",_xlpm.x*tbl_main[[#This Row],[Qty]]))</f>
        <v>67</v>
      </c>
    </row>
    <row r="1528" spans="1:14" x14ac:dyDescent="0.25">
      <c r="A1528" t="s">
        <v>1570</v>
      </c>
      <c r="B1528" s="1">
        <v>46167</v>
      </c>
      <c r="C1528">
        <f>IF(tbl_main[[#This Row],[Date]]="","",YEAR(B1528))</f>
        <v>2026</v>
      </c>
      <c r="D1528" t="str">
        <f>IF(tbl_main[[#This Row],[Date]]="","",TEXT(B1528,"mmm"))</f>
        <v>May</v>
      </c>
      <c r="E1528" t="str">
        <f>IF(tbl_main[[#This Row],[Date]]="","",TEXT(B1528,"DDD"))</f>
        <v>Mon</v>
      </c>
      <c r="F1528" t="s">
        <v>20</v>
      </c>
      <c r="G1528" t="s">
        <v>21</v>
      </c>
      <c r="H1528" s="3" t="s">
        <v>26</v>
      </c>
      <c r="I1528" s="3" t="s">
        <v>35</v>
      </c>
      <c r="J1528" s="3" t="s">
        <v>17</v>
      </c>
      <c r="K1528" s="3">
        <f>_xlfn.XLOOKUP(tbl_main[[#This Row],[Service]],tbl_service[Service],tbl_service[Price],"")</f>
        <v>200</v>
      </c>
      <c r="L1528" s="3">
        <v>1</v>
      </c>
      <c r="M1528" s="3">
        <f>IF(AND(tbl_main[[#This Row],[Price]]="",tbl_main[[#This Row],[Qty]]=""),"",tbl_main[[#This Row],[Price]]*tbl_main[[#This Row],[Qty]])</f>
        <v>200</v>
      </c>
      <c r="N1528" s="3">
        <f>_xlfn.LET(_xlpm.x,_xlfn.XLOOKUP(tbl_main[[#This Row],[Service]],tbl_service[Service],tbl_service[Profit],""),
               IF(tbl_main[[#This Row],[Qty]]="","",_xlpm.x*tbl_main[[#This Row],[Qty]]))</f>
        <v>90</v>
      </c>
    </row>
    <row r="1529" spans="1:14" x14ac:dyDescent="0.25">
      <c r="A1529" t="s">
        <v>1571</v>
      </c>
      <c r="B1529" s="1">
        <v>46167</v>
      </c>
      <c r="C1529">
        <f>IF(tbl_main[[#This Row],[Date]]="","",YEAR(B1529))</f>
        <v>2026</v>
      </c>
      <c r="D1529" t="str">
        <f>IF(tbl_main[[#This Row],[Date]]="","",TEXT(B1529,"mmm"))</f>
        <v>May</v>
      </c>
      <c r="E1529" t="str">
        <f>IF(tbl_main[[#This Row],[Date]]="","",TEXT(B1529,"DDD"))</f>
        <v>Mon</v>
      </c>
      <c r="F1529" t="s">
        <v>27</v>
      </c>
      <c r="G1529" t="s">
        <v>40</v>
      </c>
      <c r="H1529" s="3" t="s">
        <v>22</v>
      </c>
      <c r="I1529" s="3" t="s">
        <v>23</v>
      </c>
      <c r="J1529" s="3" t="s">
        <v>17</v>
      </c>
      <c r="K1529" s="3">
        <f>_xlfn.XLOOKUP(tbl_main[[#This Row],[Service]],tbl_service[Service],tbl_service[Price],"")</f>
        <v>150</v>
      </c>
      <c r="L1529" s="3">
        <v>1</v>
      </c>
      <c r="M1529" s="3">
        <f>IF(AND(tbl_main[[#This Row],[Price]]="",tbl_main[[#This Row],[Qty]]=""),"",tbl_main[[#This Row],[Price]]*tbl_main[[#This Row],[Qty]])</f>
        <v>150</v>
      </c>
      <c r="N1529" s="3">
        <f>_xlfn.LET(_xlpm.x,_xlfn.XLOOKUP(tbl_main[[#This Row],[Service]],tbl_service[Service],tbl_service[Profit],""),
               IF(tbl_main[[#This Row],[Qty]]="","",_xlpm.x*tbl_main[[#This Row],[Qty]]))</f>
        <v>67</v>
      </c>
    </row>
    <row r="1530" spans="1:14" x14ac:dyDescent="0.25">
      <c r="A1530" t="s">
        <v>1572</v>
      </c>
      <c r="B1530" s="1">
        <v>46167</v>
      </c>
      <c r="C1530">
        <f>IF(tbl_main[[#This Row],[Date]]="","",YEAR(B1530))</f>
        <v>2026</v>
      </c>
      <c r="D1530" t="str">
        <f>IF(tbl_main[[#This Row],[Date]]="","",TEXT(B1530,"mmm"))</f>
        <v>May</v>
      </c>
      <c r="E1530" t="str">
        <f>IF(tbl_main[[#This Row],[Date]]="","",TEXT(B1530,"DDD"))</f>
        <v>Mon</v>
      </c>
      <c r="F1530" t="s">
        <v>27</v>
      </c>
      <c r="G1530" t="s">
        <v>40</v>
      </c>
      <c r="H1530" s="3" t="s">
        <v>15</v>
      </c>
      <c r="I1530" s="3" t="s">
        <v>37</v>
      </c>
      <c r="J1530" s="3" t="s">
        <v>25</v>
      </c>
      <c r="K1530" s="3">
        <f>_xlfn.XLOOKUP(tbl_main[[#This Row],[Service]],tbl_service[Service],tbl_service[Price],"")</f>
        <v>500</v>
      </c>
      <c r="L1530" s="3">
        <v>2</v>
      </c>
      <c r="M1530" s="3">
        <f>IF(AND(tbl_main[[#This Row],[Price]]="",tbl_main[[#This Row],[Qty]]=""),"",tbl_main[[#This Row],[Price]]*tbl_main[[#This Row],[Qty]])</f>
        <v>1000</v>
      </c>
      <c r="N1530" s="3">
        <f>_xlfn.LET(_xlpm.x,_xlfn.XLOOKUP(tbl_main[[#This Row],[Service]],tbl_service[Service],tbl_service[Profit],""),
               IF(tbl_main[[#This Row],[Qty]]="","",_xlpm.x*tbl_main[[#This Row],[Qty]]))</f>
        <v>450</v>
      </c>
    </row>
    <row r="1531" spans="1:14" x14ac:dyDescent="0.25">
      <c r="A1531" t="s">
        <v>1573</v>
      </c>
      <c r="B1531" s="1">
        <v>46167</v>
      </c>
      <c r="C1531">
        <f>IF(tbl_main[[#This Row],[Date]]="","",YEAR(B1531))</f>
        <v>2026</v>
      </c>
      <c r="D1531" t="str">
        <f>IF(tbl_main[[#This Row],[Date]]="","",TEXT(B1531,"mmm"))</f>
        <v>May</v>
      </c>
      <c r="E1531" t="str">
        <f>IF(tbl_main[[#This Row],[Date]]="","",TEXT(B1531,"DDD"))</f>
        <v>Mon</v>
      </c>
      <c r="F1531" t="s">
        <v>20</v>
      </c>
      <c r="G1531" t="s">
        <v>29</v>
      </c>
      <c r="H1531" s="3" t="s">
        <v>26</v>
      </c>
      <c r="I1531" s="3" t="s">
        <v>38</v>
      </c>
      <c r="J1531" s="3" t="s">
        <v>32</v>
      </c>
      <c r="K1531" s="3">
        <f>_xlfn.XLOOKUP(tbl_main[[#This Row],[Service]],tbl_service[Service],tbl_service[Price],"")</f>
        <v>200</v>
      </c>
      <c r="L1531" s="3">
        <v>1</v>
      </c>
      <c r="M1531" s="3">
        <f>IF(AND(tbl_main[[#This Row],[Price]]="",tbl_main[[#This Row],[Qty]]=""),"",tbl_main[[#This Row],[Price]]*tbl_main[[#This Row],[Qty]])</f>
        <v>200</v>
      </c>
      <c r="N1531" s="3">
        <f>_xlfn.LET(_xlpm.x,_xlfn.XLOOKUP(tbl_main[[#This Row],[Service]],tbl_service[Service],tbl_service[Profit],""),
               IF(tbl_main[[#This Row],[Qty]]="","",_xlpm.x*tbl_main[[#This Row],[Qty]]))</f>
        <v>90</v>
      </c>
    </row>
    <row r="1532" spans="1:14" x14ac:dyDescent="0.25">
      <c r="A1532" t="s">
        <v>1574</v>
      </c>
      <c r="B1532" s="1">
        <v>46168</v>
      </c>
      <c r="C1532">
        <f>IF(tbl_main[[#This Row],[Date]]="","",YEAR(B1532))</f>
        <v>2026</v>
      </c>
      <c r="D1532" t="str">
        <f>IF(tbl_main[[#This Row],[Date]]="","",TEXT(B1532,"mmm"))</f>
        <v>May</v>
      </c>
      <c r="E1532" t="str">
        <f>IF(tbl_main[[#This Row],[Date]]="","",TEXT(B1532,"DDD"))</f>
        <v>Tue</v>
      </c>
      <c r="F1532" t="s">
        <v>30</v>
      </c>
      <c r="G1532" t="s">
        <v>31</v>
      </c>
      <c r="H1532" s="3" t="s">
        <v>24</v>
      </c>
      <c r="I1532" s="3" t="s">
        <v>16</v>
      </c>
      <c r="J1532" s="3" t="s">
        <v>25</v>
      </c>
      <c r="K1532" s="3">
        <f>_xlfn.XLOOKUP(tbl_main[[#This Row],[Service]],tbl_service[Service],tbl_service[Price],"")</f>
        <v>80</v>
      </c>
      <c r="L1532" s="3">
        <v>2</v>
      </c>
      <c r="M1532" s="3">
        <f>IF(AND(tbl_main[[#This Row],[Price]]="",tbl_main[[#This Row],[Qty]]=""),"",tbl_main[[#This Row],[Price]]*tbl_main[[#This Row],[Qty]])</f>
        <v>160</v>
      </c>
      <c r="N1532" s="3">
        <f>_xlfn.LET(_xlpm.x,_xlfn.XLOOKUP(tbl_main[[#This Row],[Service]],tbl_service[Service],tbl_service[Profit],""),
               IF(tbl_main[[#This Row],[Qty]]="","",_xlpm.x*tbl_main[[#This Row],[Qty]]))</f>
        <v>72</v>
      </c>
    </row>
    <row r="1533" spans="1:14" x14ac:dyDescent="0.25">
      <c r="A1533" t="s">
        <v>1575</v>
      </c>
      <c r="B1533" s="1">
        <v>46168</v>
      </c>
      <c r="C1533">
        <f>IF(tbl_main[[#This Row],[Date]]="","",YEAR(B1533))</f>
        <v>2026</v>
      </c>
      <c r="D1533" t="str">
        <f>IF(tbl_main[[#This Row],[Date]]="","",TEXT(B1533,"mmm"))</f>
        <v>May</v>
      </c>
      <c r="E1533" t="str">
        <f>IF(tbl_main[[#This Row],[Date]]="","",TEXT(B1533,"DDD"))</f>
        <v>Tue</v>
      </c>
      <c r="F1533" t="s">
        <v>30</v>
      </c>
      <c r="G1533" t="s">
        <v>31</v>
      </c>
      <c r="H1533" s="3" t="s">
        <v>26</v>
      </c>
      <c r="I1533" s="3" t="s">
        <v>19</v>
      </c>
      <c r="J1533" s="3" t="s">
        <v>32</v>
      </c>
      <c r="K1533" s="3">
        <f>_xlfn.XLOOKUP(tbl_main[[#This Row],[Service]],tbl_service[Service],tbl_service[Price],"")</f>
        <v>200</v>
      </c>
      <c r="L1533" s="3">
        <v>1</v>
      </c>
      <c r="M1533" s="3">
        <f>IF(AND(tbl_main[[#This Row],[Price]]="",tbl_main[[#This Row],[Qty]]=""),"",tbl_main[[#This Row],[Price]]*tbl_main[[#This Row],[Qty]])</f>
        <v>200</v>
      </c>
      <c r="N1533" s="3">
        <f>_xlfn.LET(_xlpm.x,_xlfn.XLOOKUP(tbl_main[[#This Row],[Service]],tbl_service[Service],tbl_service[Profit],""),
               IF(tbl_main[[#This Row],[Qty]]="","",_xlpm.x*tbl_main[[#This Row],[Qty]]))</f>
        <v>90</v>
      </c>
    </row>
    <row r="1534" spans="1:14" x14ac:dyDescent="0.25">
      <c r="A1534" t="s">
        <v>1576</v>
      </c>
      <c r="B1534" s="1">
        <v>46168</v>
      </c>
      <c r="C1534">
        <f>IF(tbl_main[[#This Row],[Date]]="","",YEAR(B1534))</f>
        <v>2026</v>
      </c>
      <c r="D1534" t="str">
        <f>IF(tbl_main[[#This Row],[Date]]="","",TEXT(B1534,"mmm"))</f>
        <v>May</v>
      </c>
      <c r="E1534" t="str">
        <f>IF(tbl_main[[#This Row],[Date]]="","",TEXT(B1534,"DDD"))</f>
        <v>Tue</v>
      </c>
      <c r="F1534" t="s">
        <v>13</v>
      </c>
      <c r="G1534" t="s">
        <v>33</v>
      </c>
      <c r="H1534" s="3" t="s">
        <v>34</v>
      </c>
      <c r="I1534" s="3" t="s">
        <v>43</v>
      </c>
      <c r="J1534" s="3" t="s">
        <v>25</v>
      </c>
      <c r="K1534" s="3">
        <f>_xlfn.XLOOKUP(tbl_main[[#This Row],[Service]],tbl_service[Service],tbl_service[Price],"")</f>
        <v>100</v>
      </c>
      <c r="L1534" s="3">
        <v>1</v>
      </c>
      <c r="M1534" s="3">
        <f>IF(AND(tbl_main[[#This Row],[Price]]="",tbl_main[[#This Row],[Qty]]=""),"",tbl_main[[#This Row],[Price]]*tbl_main[[#This Row],[Qty]])</f>
        <v>100</v>
      </c>
      <c r="N1534" s="3">
        <f>_xlfn.LET(_xlpm.x,_xlfn.XLOOKUP(tbl_main[[#This Row],[Service]],tbl_service[Service],tbl_service[Profit],""),
               IF(tbl_main[[#This Row],[Qty]]="","",_xlpm.x*tbl_main[[#This Row],[Qty]]))</f>
        <v>45</v>
      </c>
    </row>
    <row r="1535" spans="1:14" x14ac:dyDescent="0.25">
      <c r="A1535" t="s">
        <v>1577</v>
      </c>
      <c r="B1535" s="1">
        <v>46169</v>
      </c>
      <c r="C1535">
        <f>IF(tbl_main[[#This Row],[Date]]="","",YEAR(B1535))</f>
        <v>2026</v>
      </c>
      <c r="D1535" t="str">
        <f>IF(tbl_main[[#This Row],[Date]]="","",TEXT(B1535,"mmm"))</f>
        <v>May</v>
      </c>
      <c r="E1535" t="str">
        <f>IF(tbl_main[[#This Row],[Date]]="","",TEXT(B1535,"DDD"))</f>
        <v>Wed</v>
      </c>
      <c r="F1535" t="s">
        <v>20</v>
      </c>
      <c r="G1535" t="s">
        <v>21</v>
      </c>
      <c r="H1535" s="3" t="s">
        <v>15</v>
      </c>
      <c r="I1535" s="3" t="s">
        <v>41</v>
      </c>
      <c r="J1535" s="3" t="s">
        <v>17</v>
      </c>
      <c r="K1535" s="3">
        <f>_xlfn.XLOOKUP(tbl_main[[#This Row],[Service]],tbl_service[Service],tbl_service[Price],"")</f>
        <v>500</v>
      </c>
      <c r="L1535" s="3">
        <v>1</v>
      </c>
      <c r="M1535" s="3">
        <f>IF(AND(tbl_main[[#This Row],[Price]]="",tbl_main[[#This Row],[Qty]]=""),"",tbl_main[[#This Row],[Price]]*tbl_main[[#This Row],[Qty]])</f>
        <v>500</v>
      </c>
      <c r="N1535" s="3">
        <f>_xlfn.LET(_xlpm.x,_xlfn.XLOOKUP(tbl_main[[#This Row],[Service]],tbl_service[Service],tbl_service[Profit],""),
               IF(tbl_main[[#This Row],[Qty]]="","",_xlpm.x*tbl_main[[#This Row],[Qty]]))</f>
        <v>225</v>
      </c>
    </row>
    <row r="1536" spans="1:14" x14ac:dyDescent="0.25">
      <c r="A1536" t="s">
        <v>1578</v>
      </c>
      <c r="B1536" s="1">
        <v>46169</v>
      </c>
      <c r="C1536">
        <f>IF(tbl_main[[#This Row],[Date]]="","",YEAR(B1536))</f>
        <v>2026</v>
      </c>
      <c r="D1536" t="str">
        <f>IF(tbl_main[[#This Row],[Date]]="","",TEXT(B1536,"mmm"))</f>
        <v>May</v>
      </c>
      <c r="E1536" t="str">
        <f>IF(tbl_main[[#This Row],[Date]]="","",TEXT(B1536,"DDD"))</f>
        <v>Wed</v>
      </c>
      <c r="F1536" t="s">
        <v>27</v>
      </c>
      <c r="G1536" t="s">
        <v>40</v>
      </c>
      <c r="H1536" s="3" t="s">
        <v>34</v>
      </c>
      <c r="I1536" s="3" t="s">
        <v>41</v>
      </c>
      <c r="J1536" s="3" t="s">
        <v>17</v>
      </c>
      <c r="K1536" s="3">
        <f>_xlfn.XLOOKUP(tbl_main[[#This Row],[Service]],tbl_service[Service],tbl_service[Price],"")</f>
        <v>100</v>
      </c>
      <c r="L1536" s="3">
        <v>2</v>
      </c>
      <c r="M1536" s="3">
        <f>IF(AND(tbl_main[[#This Row],[Price]]="",tbl_main[[#This Row],[Qty]]=""),"",tbl_main[[#This Row],[Price]]*tbl_main[[#This Row],[Qty]])</f>
        <v>200</v>
      </c>
      <c r="N1536" s="3">
        <f>_xlfn.LET(_xlpm.x,_xlfn.XLOOKUP(tbl_main[[#This Row],[Service]],tbl_service[Service],tbl_service[Profit],""),
               IF(tbl_main[[#This Row],[Qty]]="","",_xlpm.x*tbl_main[[#This Row],[Qty]]))</f>
        <v>90</v>
      </c>
    </row>
    <row r="1537" spans="1:14" x14ac:dyDescent="0.25">
      <c r="A1537" t="s">
        <v>1579</v>
      </c>
      <c r="B1537" s="1">
        <v>46169</v>
      </c>
      <c r="C1537">
        <f>IF(tbl_main[[#This Row],[Date]]="","",YEAR(B1537))</f>
        <v>2026</v>
      </c>
      <c r="D1537" t="str">
        <f>IF(tbl_main[[#This Row],[Date]]="","",TEXT(B1537,"mmm"))</f>
        <v>May</v>
      </c>
      <c r="E1537" t="str">
        <f>IF(tbl_main[[#This Row],[Date]]="","",TEXT(B1537,"DDD"))</f>
        <v>Wed</v>
      </c>
      <c r="F1537" t="s">
        <v>30</v>
      </c>
      <c r="G1537" t="s">
        <v>36</v>
      </c>
      <c r="H1537" s="3" t="s">
        <v>18</v>
      </c>
      <c r="I1537" s="3" t="s">
        <v>35</v>
      </c>
      <c r="J1537" s="3" t="s">
        <v>25</v>
      </c>
      <c r="K1537" s="3">
        <f>_xlfn.XLOOKUP(tbl_main[[#This Row],[Service]],tbl_service[Service],tbl_service[Price],"")</f>
        <v>500</v>
      </c>
      <c r="L1537" s="3">
        <v>1</v>
      </c>
      <c r="M1537" s="3">
        <f>IF(AND(tbl_main[[#This Row],[Price]]="",tbl_main[[#This Row],[Qty]]=""),"",tbl_main[[#This Row],[Price]]*tbl_main[[#This Row],[Qty]])</f>
        <v>500</v>
      </c>
      <c r="N1537" s="3">
        <f>_xlfn.LET(_xlpm.x,_xlfn.XLOOKUP(tbl_main[[#This Row],[Service]],tbl_service[Service],tbl_service[Profit],""),
               IF(tbl_main[[#This Row],[Qty]]="","",_xlpm.x*tbl_main[[#This Row],[Qty]]))</f>
        <v>157</v>
      </c>
    </row>
    <row r="1538" spans="1:14" x14ac:dyDescent="0.25">
      <c r="A1538" t="s">
        <v>1580</v>
      </c>
      <c r="B1538" s="1">
        <v>46169</v>
      </c>
      <c r="C1538">
        <f>IF(tbl_main[[#This Row],[Date]]="","",YEAR(B1538))</f>
        <v>2026</v>
      </c>
      <c r="D1538" t="str">
        <f>IF(tbl_main[[#This Row],[Date]]="","",TEXT(B1538,"mmm"))</f>
        <v>May</v>
      </c>
      <c r="E1538" t="str">
        <f>IF(tbl_main[[#This Row],[Date]]="","",TEXT(B1538,"DDD"))</f>
        <v>Wed</v>
      </c>
      <c r="F1538" t="s">
        <v>30</v>
      </c>
      <c r="G1538" t="s">
        <v>31</v>
      </c>
      <c r="H1538" s="3" t="s">
        <v>22</v>
      </c>
      <c r="I1538" s="3" t="s">
        <v>35</v>
      </c>
      <c r="J1538" s="3" t="s">
        <v>32</v>
      </c>
      <c r="K1538" s="3">
        <f>_xlfn.XLOOKUP(tbl_main[[#This Row],[Service]],tbl_service[Service],tbl_service[Price],"")</f>
        <v>150</v>
      </c>
      <c r="L1538" s="3">
        <v>1</v>
      </c>
      <c r="M1538" s="3">
        <f>IF(AND(tbl_main[[#This Row],[Price]]="",tbl_main[[#This Row],[Qty]]=""),"",tbl_main[[#This Row],[Price]]*tbl_main[[#This Row],[Qty]])</f>
        <v>150</v>
      </c>
      <c r="N1538" s="3">
        <f>_xlfn.LET(_xlpm.x,_xlfn.XLOOKUP(tbl_main[[#This Row],[Service]],tbl_service[Service],tbl_service[Profit],""),
               IF(tbl_main[[#This Row],[Qty]]="","",_xlpm.x*tbl_main[[#This Row],[Qty]]))</f>
        <v>67</v>
      </c>
    </row>
    <row r="1539" spans="1:14" x14ac:dyDescent="0.25">
      <c r="A1539" t="s">
        <v>1581</v>
      </c>
      <c r="B1539" s="1">
        <v>46170</v>
      </c>
      <c r="C1539">
        <f>IF(tbl_main[[#This Row],[Date]]="","",YEAR(B1539))</f>
        <v>2026</v>
      </c>
      <c r="D1539" t="str">
        <f>IF(tbl_main[[#This Row],[Date]]="","",TEXT(B1539,"mmm"))</f>
        <v>May</v>
      </c>
      <c r="E1539" t="str">
        <f>IF(tbl_main[[#This Row],[Date]]="","",TEXT(B1539,"DDD"))</f>
        <v>Thu</v>
      </c>
      <c r="F1539" t="s">
        <v>30</v>
      </c>
      <c r="G1539" t="s">
        <v>31</v>
      </c>
      <c r="H1539" s="3" t="s">
        <v>26</v>
      </c>
      <c r="I1539" s="3" t="s">
        <v>23</v>
      </c>
      <c r="J1539" s="3" t="s">
        <v>25</v>
      </c>
      <c r="K1539" s="3">
        <f>_xlfn.XLOOKUP(tbl_main[[#This Row],[Service]],tbl_service[Service],tbl_service[Price],"")</f>
        <v>200</v>
      </c>
      <c r="L1539" s="3">
        <v>1</v>
      </c>
      <c r="M1539" s="3">
        <f>IF(AND(tbl_main[[#This Row],[Price]]="",tbl_main[[#This Row],[Qty]]=""),"",tbl_main[[#This Row],[Price]]*tbl_main[[#This Row],[Qty]])</f>
        <v>200</v>
      </c>
      <c r="N1539" s="3">
        <f>_xlfn.LET(_xlpm.x,_xlfn.XLOOKUP(tbl_main[[#This Row],[Service]],tbl_service[Service],tbl_service[Profit],""),
               IF(tbl_main[[#This Row],[Qty]]="","",_xlpm.x*tbl_main[[#This Row],[Qty]]))</f>
        <v>90</v>
      </c>
    </row>
    <row r="1540" spans="1:14" x14ac:dyDescent="0.25">
      <c r="A1540" t="s">
        <v>1582</v>
      </c>
      <c r="B1540" s="1">
        <v>46170</v>
      </c>
      <c r="C1540">
        <f>IF(tbl_main[[#This Row],[Date]]="","",YEAR(B1540))</f>
        <v>2026</v>
      </c>
      <c r="D1540" t="str">
        <f>IF(tbl_main[[#This Row],[Date]]="","",TEXT(B1540,"mmm"))</f>
        <v>May</v>
      </c>
      <c r="E1540" t="str">
        <f>IF(tbl_main[[#This Row],[Date]]="","",TEXT(B1540,"DDD"))</f>
        <v>Thu</v>
      </c>
      <c r="F1540" t="s">
        <v>30</v>
      </c>
      <c r="G1540" t="s">
        <v>36</v>
      </c>
      <c r="H1540" s="3" t="s">
        <v>15</v>
      </c>
      <c r="I1540" s="3" t="s">
        <v>37</v>
      </c>
      <c r="J1540" s="3" t="s">
        <v>25</v>
      </c>
      <c r="K1540" s="3">
        <f>_xlfn.XLOOKUP(tbl_main[[#This Row],[Service]],tbl_service[Service],tbl_service[Price],"")</f>
        <v>500</v>
      </c>
      <c r="L1540" s="3">
        <v>2</v>
      </c>
      <c r="M1540" s="3">
        <f>IF(AND(tbl_main[[#This Row],[Price]]="",tbl_main[[#This Row],[Qty]]=""),"",tbl_main[[#This Row],[Price]]*tbl_main[[#This Row],[Qty]])</f>
        <v>1000</v>
      </c>
      <c r="N1540" s="3">
        <f>_xlfn.LET(_xlpm.x,_xlfn.XLOOKUP(tbl_main[[#This Row],[Service]],tbl_service[Service],tbl_service[Profit],""),
               IF(tbl_main[[#This Row],[Qty]]="","",_xlpm.x*tbl_main[[#This Row],[Qty]]))</f>
        <v>450</v>
      </c>
    </row>
    <row r="1541" spans="1:14" x14ac:dyDescent="0.25">
      <c r="A1541" t="s">
        <v>1583</v>
      </c>
      <c r="B1541" s="1">
        <v>46170</v>
      </c>
      <c r="C1541">
        <f>IF(tbl_main[[#This Row],[Date]]="","",YEAR(B1541))</f>
        <v>2026</v>
      </c>
      <c r="D1541" t="str">
        <f>IF(tbl_main[[#This Row],[Date]]="","",TEXT(B1541,"mmm"))</f>
        <v>May</v>
      </c>
      <c r="E1541" t="str">
        <f>IF(tbl_main[[#This Row],[Date]]="","",TEXT(B1541,"DDD"))</f>
        <v>Thu</v>
      </c>
      <c r="F1541" t="s">
        <v>30</v>
      </c>
      <c r="G1541" t="s">
        <v>36</v>
      </c>
      <c r="H1541" s="3" t="s">
        <v>34</v>
      </c>
      <c r="I1541" s="3" t="s">
        <v>38</v>
      </c>
      <c r="J1541" s="3" t="s">
        <v>17</v>
      </c>
      <c r="K1541" s="3">
        <f>_xlfn.XLOOKUP(tbl_main[[#This Row],[Service]],tbl_service[Service],tbl_service[Price],"")</f>
        <v>100</v>
      </c>
      <c r="L1541" s="3">
        <v>1</v>
      </c>
      <c r="M1541" s="3">
        <f>IF(AND(tbl_main[[#This Row],[Price]]="",tbl_main[[#This Row],[Qty]]=""),"",tbl_main[[#This Row],[Price]]*tbl_main[[#This Row],[Qty]])</f>
        <v>100</v>
      </c>
      <c r="N1541" s="3">
        <f>_xlfn.LET(_xlpm.x,_xlfn.XLOOKUP(tbl_main[[#This Row],[Service]],tbl_service[Service],tbl_service[Profit],""),
               IF(tbl_main[[#This Row],[Qty]]="","",_xlpm.x*tbl_main[[#This Row],[Qty]]))</f>
        <v>45</v>
      </c>
    </row>
    <row r="1542" spans="1:14" x14ac:dyDescent="0.25">
      <c r="A1542" t="s">
        <v>1584</v>
      </c>
      <c r="B1542" s="1">
        <v>46170</v>
      </c>
      <c r="C1542">
        <f>IF(tbl_main[[#This Row],[Date]]="","",YEAR(B1542))</f>
        <v>2026</v>
      </c>
      <c r="D1542" t="str">
        <f>IF(tbl_main[[#This Row],[Date]]="","",TEXT(B1542,"mmm"))</f>
        <v>May</v>
      </c>
      <c r="E1542" t="str">
        <f>IF(tbl_main[[#This Row],[Date]]="","",TEXT(B1542,"DDD"))</f>
        <v>Thu</v>
      </c>
      <c r="F1542" t="s">
        <v>30</v>
      </c>
      <c r="G1542" t="s">
        <v>36</v>
      </c>
      <c r="H1542" s="3" t="s">
        <v>34</v>
      </c>
      <c r="I1542" s="3" t="s">
        <v>16</v>
      </c>
      <c r="J1542" s="3" t="s">
        <v>25</v>
      </c>
      <c r="K1542" s="3">
        <f>_xlfn.XLOOKUP(tbl_main[[#This Row],[Service]],tbl_service[Service],tbl_service[Price],"")</f>
        <v>100</v>
      </c>
      <c r="L1542" s="3">
        <v>1</v>
      </c>
      <c r="M1542" s="3">
        <f>IF(AND(tbl_main[[#This Row],[Price]]="",tbl_main[[#This Row],[Qty]]=""),"",tbl_main[[#This Row],[Price]]*tbl_main[[#This Row],[Qty]])</f>
        <v>100</v>
      </c>
      <c r="N1542" s="3">
        <f>_xlfn.LET(_xlpm.x,_xlfn.XLOOKUP(tbl_main[[#This Row],[Service]],tbl_service[Service],tbl_service[Profit],""),
               IF(tbl_main[[#This Row],[Qty]]="","",_xlpm.x*tbl_main[[#This Row],[Qty]]))</f>
        <v>45</v>
      </c>
    </row>
    <row r="1543" spans="1:14" x14ac:dyDescent="0.25">
      <c r="A1543" t="s">
        <v>1585</v>
      </c>
      <c r="B1543" s="1">
        <v>46171</v>
      </c>
      <c r="C1543">
        <f>IF(tbl_main[[#This Row],[Date]]="","",YEAR(B1543))</f>
        <v>2026</v>
      </c>
      <c r="D1543" t="str">
        <f>IF(tbl_main[[#This Row],[Date]]="","",TEXT(B1543,"mmm"))</f>
        <v>May</v>
      </c>
      <c r="E1543" t="str">
        <f>IF(tbl_main[[#This Row],[Date]]="","",TEXT(B1543,"DDD"))</f>
        <v>Fri</v>
      </c>
      <c r="F1543" t="s">
        <v>20</v>
      </c>
      <c r="G1543" t="s">
        <v>29</v>
      </c>
      <c r="H1543" s="3" t="s">
        <v>26</v>
      </c>
      <c r="I1543" s="3" t="s">
        <v>19</v>
      </c>
      <c r="J1543" s="3" t="s">
        <v>25</v>
      </c>
      <c r="K1543" s="3">
        <f>_xlfn.XLOOKUP(tbl_main[[#This Row],[Service]],tbl_service[Service],tbl_service[Price],"")</f>
        <v>200</v>
      </c>
      <c r="L1543" s="3">
        <v>2</v>
      </c>
      <c r="M1543" s="3">
        <f>IF(AND(tbl_main[[#This Row],[Price]]="",tbl_main[[#This Row],[Qty]]=""),"",tbl_main[[#This Row],[Price]]*tbl_main[[#This Row],[Qty]])</f>
        <v>400</v>
      </c>
      <c r="N1543" s="3">
        <f>_xlfn.LET(_xlpm.x,_xlfn.XLOOKUP(tbl_main[[#This Row],[Service]],tbl_service[Service],tbl_service[Profit],""),
               IF(tbl_main[[#This Row],[Qty]]="","",_xlpm.x*tbl_main[[#This Row],[Qty]]))</f>
        <v>180</v>
      </c>
    </row>
    <row r="1544" spans="1:14" x14ac:dyDescent="0.25">
      <c r="A1544" t="s">
        <v>1586</v>
      </c>
      <c r="B1544" s="1">
        <v>46171</v>
      </c>
      <c r="C1544">
        <f>IF(tbl_main[[#This Row],[Date]]="","",YEAR(B1544))</f>
        <v>2026</v>
      </c>
      <c r="D1544" t="str">
        <f>IF(tbl_main[[#This Row],[Date]]="","",TEXT(B1544,"mmm"))</f>
        <v>May</v>
      </c>
      <c r="E1544" t="str">
        <f>IF(tbl_main[[#This Row],[Date]]="","",TEXT(B1544,"DDD"))</f>
        <v>Fri</v>
      </c>
      <c r="F1544" t="s">
        <v>30</v>
      </c>
      <c r="G1544" t="s">
        <v>31</v>
      </c>
      <c r="H1544" s="3" t="s">
        <v>18</v>
      </c>
      <c r="I1544" s="3" t="s">
        <v>43</v>
      </c>
      <c r="J1544" s="3" t="s">
        <v>25</v>
      </c>
      <c r="K1544" s="3">
        <f>_xlfn.XLOOKUP(tbl_main[[#This Row],[Service]],tbl_service[Service],tbl_service[Price],"")</f>
        <v>500</v>
      </c>
      <c r="L1544" s="3">
        <v>1</v>
      </c>
      <c r="M1544" s="3">
        <f>IF(AND(tbl_main[[#This Row],[Price]]="",tbl_main[[#This Row],[Qty]]=""),"",tbl_main[[#This Row],[Price]]*tbl_main[[#This Row],[Qty]])</f>
        <v>500</v>
      </c>
      <c r="N1544" s="3">
        <f>_xlfn.LET(_xlpm.x,_xlfn.XLOOKUP(tbl_main[[#This Row],[Service]],tbl_service[Service],tbl_service[Profit],""),
               IF(tbl_main[[#This Row],[Qty]]="","",_xlpm.x*tbl_main[[#This Row],[Qty]]))</f>
        <v>157</v>
      </c>
    </row>
    <row r="1545" spans="1:14" x14ac:dyDescent="0.25">
      <c r="A1545" t="s">
        <v>1587</v>
      </c>
      <c r="B1545" s="1">
        <v>46171</v>
      </c>
      <c r="C1545">
        <f>IF(tbl_main[[#This Row],[Date]]="","",YEAR(B1545))</f>
        <v>2026</v>
      </c>
      <c r="D1545" t="str">
        <f>IF(tbl_main[[#This Row],[Date]]="","",TEXT(B1545,"mmm"))</f>
        <v>May</v>
      </c>
      <c r="E1545" t="str">
        <f>IF(tbl_main[[#This Row],[Date]]="","",TEXT(B1545,"DDD"))</f>
        <v>Fri</v>
      </c>
      <c r="F1545" t="s">
        <v>30</v>
      </c>
      <c r="G1545" t="s">
        <v>31</v>
      </c>
      <c r="H1545" s="3" t="s">
        <v>34</v>
      </c>
      <c r="I1545" s="3" t="s">
        <v>41</v>
      </c>
      <c r="J1545" s="3" t="s">
        <v>25</v>
      </c>
      <c r="K1545" s="3">
        <f>_xlfn.XLOOKUP(tbl_main[[#This Row],[Service]],tbl_service[Service],tbl_service[Price],"")</f>
        <v>100</v>
      </c>
      <c r="L1545" s="3">
        <v>2</v>
      </c>
      <c r="M1545" s="3">
        <f>IF(AND(tbl_main[[#This Row],[Price]]="",tbl_main[[#This Row],[Qty]]=""),"",tbl_main[[#This Row],[Price]]*tbl_main[[#This Row],[Qty]])</f>
        <v>200</v>
      </c>
      <c r="N1545" s="3">
        <f>_xlfn.LET(_xlpm.x,_xlfn.XLOOKUP(tbl_main[[#This Row],[Service]],tbl_service[Service],tbl_service[Profit],""),
               IF(tbl_main[[#This Row],[Qty]]="","",_xlpm.x*tbl_main[[#This Row],[Qty]]))</f>
        <v>90</v>
      </c>
    </row>
    <row r="1546" spans="1:14" x14ac:dyDescent="0.25">
      <c r="A1546" t="s">
        <v>1588</v>
      </c>
      <c r="B1546" s="1">
        <v>46171</v>
      </c>
      <c r="C1546">
        <f>IF(tbl_main[[#This Row],[Date]]="","",YEAR(B1546))</f>
        <v>2026</v>
      </c>
      <c r="D1546" t="str">
        <f>IF(tbl_main[[#This Row],[Date]]="","",TEXT(B1546,"mmm"))</f>
        <v>May</v>
      </c>
      <c r="E1546" t="str">
        <f>IF(tbl_main[[#This Row],[Date]]="","",TEXT(B1546,"DDD"))</f>
        <v>Fri</v>
      </c>
      <c r="F1546" t="s">
        <v>13</v>
      </c>
      <c r="G1546" t="s">
        <v>33</v>
      </c>
      <c r="H1546" s="3" t="s">
        <v>24</v>
      </c>
      <c r="I1546" s="3" t="s">
        <v>41</v>
      </c>
      <c r="J1546" s="3" t="s">
        <v>25</v>
      </c>
      <c r="K1546" s="3">
        <f>_xlfn.XLOOKUP(tbl_main[[#This Row],[Service]],tbl_service[Service],tbl_service[Price],"")</f>
        <v>80</v>
      </c>
      <c r="L1546" s="3">
        <v>1</v>
      </c>
      <c r="M1546" s="3">
        <f>IF(AND(tbl_main[[#This Row],[Price]]="",tbl_main[[#This Row],[Qty]]=""),"",tbl_main[[#This Row],[Price]]*tbl_main[[#This Row],[Qty]])</f>
        <v>80</v>
      </c>
      <c r="N1546" s="3">
        <f>_xlfn.LET(_xlpm.x,_xlfn.XLOOKUP(tbl_main[[#This Row],[Service]],tbl_service[Service],tbl_service[Profit],""),
               IF(tbl_main[[#This Row],[Qty]]="","",_xlpm.x*tbl_main[[#This Row],[Qty]]))</f>
        <v>36</v>
      </c>
    </row>
    <row r="1547" spans="1:14" x14ac:dyDescent="0.25">
      <c r="A1547" t="s">
        <v>1589</v>
      </c>
      <c r="B1547" s="1">
        <v>46172</v>
      </c>
      <c r="C1547">
        <f>IF(tbl_main[[#This Row],[Date]]="","",YEAR(B1547))</f>
        <v>2026</v>
      </c>
      <c r="D1547" t="str">
        <f>IF(tbl_main[[#This Row],[Date]]="","",TEXT(B1547,"mmm"))</f>
        <v>May</v>
      </c>
      <c r="E1547" t="str">
        <f>IF(tbl_main[[#This Row],[Date]]="","",TEXT(B1547,"DDD"))</f>
        <v>Sat</v>
      </c>
      <c r="F1547" t="s">
        <v>13</v>
      </c>
      <c r="G1547" t="s">
        <v>33</v>
      </c>
      <c r="H1547" s="3" t="s">
        <v>15</v>
      </c>
      <c r="I1547" s="3" t="s">
        <v>35</v>
      </c>
      <c r="J1547" s="3" t="s">
        <v>32</v>
      </c>
      <c r="K1547" s="3">
        <f>_xlfn.XLOOKUP(tbl_main[[#This Row],[Service]],tbl_service[Service],tbl_service[Price],"")</f>
        <v>500</v>
      </c>
      <c r="L1547" s="3">
        <v>1</v>
      </c>
      <c r="M1547" s="3">
        <f>IF(AND(tbl_main[[#This Row],[Price]]="",tbl_main[[#This Row],[Qty]]=""),"",tbl_main[[#This Row],[Price]]*tbl_main[[#This Row],[Qty]])</f>
        <v>500</v>
      </c>
      <c r="N1547" s="3">
        <f>_xlfn.LET(_xlpm.x,_xlfn.XLOOKUP(tbl_main[[#This Row],[Service]],tbl_service[Service],tbl_service[Profit],""),
               IF(tbl_main[[#This Row],[Qty]]="","",_xlpm.x*tbl_main[[#This Row],[Qty]]))</f>
        <v>225</v>
      </c>
    </row>
    <row r="1548" spans="1:14" x14ac:dyDescent="0.25">
      <c r="A1548" t="s">
        <v>1590</v>
      </c>
      <c r="B1548" s="1">
        <v>46172</v>
      </c>
      <c r="C1548">
        <f>IF(tbl_main[[#This Row],[Date]]="","",YEAR(B1548))</f>
        <v>2026</v>
      </c>
      <c r="D1548" t="str">
        <f>IF(tbl_main[[#This Row],[Date]]="","",TEXT(B1548,"mmm"))</f>
        <v>May</v>
      </c>
      <c r="E1548" t="str">
        <f>IF(tbl_main[[#This Row],[Date]]="","",TEXT(B1548,"DDD"))</f>
        <v>Sat</v>
      </c>
      <c r="F1548" t="s">
        <v>20</v>
      </c>
      <c r="G1548" t="s">
        <v>29</v>
      </c>
      <c r="H1548" s="3" t="s">
        <v>22</v>
      </c>
      <c r="I1548" s="3" t="s">
        <v>35</v>
      </c>
      <c r="J1548" s="3" t="s">
        <v>25</v>
      </c>
      <c r="K1548" s="3">
        <f>_xlfn.XLOOKUP(tbl_main[[#This Row],[Service]],tbl_service[Service],tbl_service[Price],"")</f>
        <v>150</v>
      </c>
      <c r="L1548" s="3">
        <v>1</v>
      </c>
      <c r="M1548" s="3">
        <f>IF(AND(tbl_main[[#This Row],[Price]]="",tbl_main[[#This Row],[Qty]]=""),"",tbl_main[[#This Row],[Price]]*tbl_main[[#This Row],[Qty]])</f>
        <v>150</v>
      </c>
      <c r="N1548" s="3">
        <f>_xlfn.LET(_xlpm.x,_xlfn.XLOOKUP(tbl_main[[#This Row],[Service]],tbl_service[Service],tbl_service[Profit],""),
               IF(tbl_main[[#This Row],[Qty]]="","",_xlpm.x*tbl_main[[#This Row],[Qty]]))</f>
        <v>67</v>
      </c>
    </row>
    <row r="1549" spans="1:14" x14ac:dyDescent="0.25">
      <c r="A1549" t="s">
        <v>1591</v>
      </c>
      <c r="B1549" s="1">
        <v>46173</v>
      </c>
      <c r="C1549">
        <f>IF(tbl_main[[#This Row],[Date]]="","",YEAR(B1549))</f>
        <v>2026</v>
      </c>
      <c r="D1549" t="str">
        <f>IF(tbl_main[[#This Row],[Date]]="","",TEXT(B1549,"mmm"))</f>
        <v>May</v>
      </c>
      <c r="E1549" t="str">
        <f>IF(tbl_main[[#This Row],[Date]]="","",TEXT(B1549,"DDD"))</f>
        <v>Sun</v>
      </c>
      <c r="F1549" t="s">
        <v>13</v>
      </c>
      <c r="G1549" t="s">
        <v>14</v>
      </c>
      <c r="H1549" s="3" t="s">
        <v>26</v>
      </c>
      <c r="I1549" s="3" t="s">
        <v>23</v>
      </c>
      <c r="J1549" s="3" t="s">
        <v>17</v>
      </c>
      <c r="K1549" s="3">
        <f>_xlfn.XLOOKUP(tbl_main[[#This Row],[Service]],tbl_service[Service],tbl_service[Price],"")</f>
        <v>200</v>
      </c>
      <c r="L1549" s="3">
        <v>1</v>
      </c>
      <c r="M1549" s="3">
        <f>IF(AND(tbl_main[[#This Row],[Price]]="",tbl_main[[#This Row],[Qty]]=""),"",tbl_main[[#This Row],[Price]]*tbl_main[[#This Row],[Qty]])</f>
        <v>200</v>
      </c>
      <c r="N1549" s="3">
        <f>_xlfn.LET(_xlpm.x,_xlfn.XLOOKUP(tbl_main[[#This Row],[Service]],tbl_service[Service],tbl_service[Profit],""),
               IF(tbl_main[[#This Row],[Qty]]="","",_xlpm.x*tbl_main[[#This Row],[Qty]]))</f>
        <v>90</v>
      </c>
    </row>
    <row r="1550" spans="1:14" x14ac:dyDescent="0.25">
      <c r="A1550" t="s">
        <v>1592</v>
      </c>
      <c r="B1550" s="1">
        <v>46173</v>
      </c>
      <c r="C1550">
        <f>IF(tbl_main[[#This Row],[Date]]="","",YEAR(B1550))</f>
        <v>2026</v>
      </c>
      <c r="D1550" t="str">
        <f>IF(tbl_main[[#This Row],[Date]]="","",TEXT(B1550,"mmm"))</f>
        <v>May</v>
      </c>
      <c r="E1550" t="str">
        <f>IF(tbl_main[[#This Row],[Date]]="","",TEXT(B1550,"DDD"))</f>
        <v>Sun</v>
      </c>
      <c r="F1550" t="s">
        <v>27</v>
      </c>
      <c r="G1550" t="s">
        <v>40</v>
      </c>
      <c r="H1550" s="3" t="s">
        <v>34</v>
      </c>
      <c r="I1550" s="3" t="s">
        <v>37</v>
      </c>
      <c r="J1550" s="3" t="s">
        <v>17</v>
      </c>
      <c r="K1550" s="3">
        <f>_xlfn.XLOOKUP(tbl_main[[#This Row],[Service]],tbl_service[Service],tbl_service[Price],"")</f>
        <v>100</v>
      </c>
      <c r="L1550" s="3">
        <v>2</v>
      </c>
      <c r="M1550" s="3">
        <f>IF(AND(tbl_main[[#This Row],[Price]]="",tbl_main[[#This Row],[Qty]]=""),"",tbl_main[[#This Row],[Price]]*tbl_main[[#This Row],[Qty]])</f>
        <v>200</v>
      </c>
      <c r="N1550" s="3">
        <f>_xlfn.LET(_xlpm.x,_xlfn.XLOOKUP(tbl_main[[#This Row],[Service]],tbl_service[Service],tbl_service[Profit],""),
               IF(tbl_main[[#This Row],[Qty]]="","",_xlpm.x*tbl_main[[#This Row],[Qty]]))</f>
        <v>90</v>
      </c>
    </row>
    <row r="1551" spans="1:14" x14ac:dyDescent="0.25">
      <c r="A1551" t="s">
        <v>1593</v>
      </c>
      <c r="B1551" s="1">
        <v>46174</v>
      </c>
      <c r="C1551">
        <f>IF(tbl_main[[#This Row],[Date]]="","",YEAR(B1551))</f>
        <v>2026</v>
      </c>
      <c r="D1551" t="str">
        <f>IF(tbl_main[[#This Row],[Date]]="","",TEXT(B1551,"mmm"))</f>
        <v>Jun</v>
      </c>
      <c r="E1551" t="str">
        <f>IF(tbl_main[[#This Row],[Date]]="","",TEXT(B1551,"DDD"))</f>
        <v>Mon</v>
      </c>
      <c r="F1551" t="s">
        <v>20</v>
      </c>
      <c r="G1551" t="s">
        <v>21</v>
      </c>
      <c r="H1551" s="3" t="s">
        <v>26</v>
      </c>
      <c r="I1551" s="3" t="s">
        <v>38</v>
      </c>
      <c r="J1551" s="3" t="s">
        <v>17</v>
      </c>
      <c r="K1551" s="3">
        <f>_xlfn.XLOOKUP(tbl_main[[#This Row],[Service]],tbl_service[Service],tbl_service[Price],"")</f>
        <v>200</v>
      </c>
      <c r="L1551" s="3">
        <v>2</v>
      </c>
      <c r="M1551" s="3">
        <f>IF(AND(tbl_main[[#This Row],[Price]]="",tbl_main[[#This Row],[Qty]]=""),"",tbl_main[[#This Row],[Price]]*tbl_main[[#This Row],[Qty]])</f>
        <v>400</v>
      </c>
      <c r="N1551" s="3">
        <f>_xlfn.LET(_xlpm.x,_xlfn.XLOOKUP(tbl_main[[#This Row],[Service]],tbl_service[Service],tbl_service[Profit],""),
               IF(tbl_main[[#This Row],[Qty]]="","",_xlpm.x*tbl_main[[#This Row],[Qty]]))</f>
        <v>180</v>
      </c>
    </row>
    <row r="1552" spans="1:14" x14ac:dyDescent="0.25">
      <c r="A1552" t="s">
        <v>1594</v>
      </c>
      <c r="B1552" s="1">
        <v>46174</v>
      </c>
      <c r="C1552">
        <f>IF(tbl_main[[#This Row],[Date]]="","",YEAR(B1552))</f>
        <v>2026</v>
      </c>
      <c r="D1552" t="str">
        <f>IF(tbl_main[[#This Row],[Date]]="","",TEXT(B1552,"mmm"))</f>
        <v>Jun</v>
      </c>
      <c r="E1552" t="str">
        <f>IF(tbl_main[[#This Row],[Date]]="","",TEXT(B1552,"DDD"))</f>
        <v>Mon</v>
      </c>
      <c r="F1552" t="s">
        <v>30</v>
      </c>
      <c r="G1552" t="s">
        <v>36</v>
      </c>
      <c r="H1552" s="3" t="s">
        <v>18</v>
      </c>
      <c r="I1552" s="3" t="s">
        <v>16</v>
      </c>
      <c r="J1552" s="3" t="s">
        <v>32</v>
      </c>
      <c r="K1552" s="3">
        <f>_xlfn.XLOOKUP(tbl_main[[#This Row],[Service]],tbl_service[Service],tbl_service[Price],"")</f>
        <v>500</v>
      </c>
      <c r="L1552" s="3">
        <v>1</v>
      </c>
      <c r="M1552" s="3">
        <f>IF(AND(tbl_main[[#This Row],[Price]]="",tbl_main[[#This Row],[Qty]]=""),"",tbl_main[[#This Row],[Price]]*tbl_main[[#This Row],[Qty]])</f>
        <v>500</v>
      </c>
      <c r="N1552" s="3">
        <f>_xlfn.LET(_xlpm.x,_xlfn.XLOOKUP(tbl_main[[#This Row],[Service]],tbl_service[Service],tbl_service[Profit],""),
               IF(tbl_main[[#This Row],[Qty]]="","",_xlpm.x*tbl_main[[#This Row],[Qty]]))</f>
        <v>157</v>
      </c>
    </row>
    <row r="1553" spans="1:14" x14ac:dyDescent="0.25">
      <c r="A1553" t="s">
        <v>1595</v>
      </c>
      <c r="B1553" s="1">
        <v>46175</v>
      </c>
      <c r="C1553">
        <f>IF(tbl_main[[#This Row],[Date]]="","",YEAR(B1553))</f>
        <v>2026</v>
      </c>
      <c r="D1553" t="str">
        <f>IF(tbl_main[[#This Row],[Date]]="","",TEXT(B1553,"mmm"))</f>
        <v>Jun</v>
      </c>
      <c r="E1553" t="str">
        <f>IF(tbl_main[[#This Row],[Date]]="","",TEXT(B1553,"DDD"))</f>
        <v>Tue</v>
      </c>
      <c r="F1553" t="s">
        <v>27</v>
      </c>
      <c r="G1553" t="s">
        <v>28</v>
      </c>
      <c r="H1553" s="3" t="s">
        <v>22</v>
      </c>
      <c r="I1553" s="3" t="s">
        <v>19</v>
      </c>
      <c r="J1553" s="3" t="s">
        <v>17</v>
      </c>
      <c r="K1553" s="3">
        <f>_xlfn.XLOOKUP(tbl_main[[#This Row],[Service]],tbl_service[Service],tbl_service[Price],"")</f>
        <v>150</v>
      </c>
      <c r="L1553" s="3">
        <v>2</v>
      </c>
      <c r="M1553" s="3">
        <f>IF(AND(tbl_main[[#This Row],[Price]]="",tbl_main[[#This Row],[Qty]]=""),"",tbl_main[[#This Row],[Price]]*tbl_main[[#This Row],[Qty]])</f>
        <v>300</v>
      </c>
      <c r="N1553" s="3">
        <f>_xlfn.LET(_xlpm.x,_xlfn.XLOOKUP(tbl_main[[#This Row],[Service]],tbl_service[Service],tbl_service[Profit],""),
               IF(tbl_main[[#This Row],[Qty]]="","",_xlpm.x*tbl_main[[#This Row],[Qty]]))</f>
        <v>134</v>
      </c>
    </row>
    <row r="1554" spans="1:14" x14ac:dyDescent="0.25">
      <c r="A1554" t="s">
        <v>1596</v>
      </c>
      <c r="B1554" s="1">
        <v>46175</v>
      </c>
      <c r="C1554">
        <f>IF(tbl_main[[#This Row],[Date]]="","",YEAR(B1554))</f>
        <v>2026</v>
      </c>
      <c r="D1554" t="str">
        <f>IF(tbl_main[[#This Row],[Date]]="","",TEXT(B1554,"mmm"))</f>
        <v>Jun</v>
      </c>
      <c r="E1554" t="str">
        <f>IF(tbl_main[[#This Row],[Date]]="","",TEXT(B1554,"DDD"))</f>
        <v>Tue</v>
      </c>
      <c r="F1554" t="s">
        <v>30</v>
      </c>
      <c r="G1554" t="s">
        <v>36</v>
      </c>
      <c r="H1554" s="3" t="s">
        <v>34</v>
      </c>
      <c r="I1554" s="3" t="s">
        <v>43</v>
      </c>
      <c r="J1554" s="3" t="s">
        <v>32</v>
      </c>
      <c r="K1554" s="3">
        <f>_xlfn.XLOOKUP(tbl_main[[#This Row],[Service]],tbl_service[Service],tbl_service[Price],"")</f>
        <v>100</v>
      </c>
      <c r="L1554" s="3">
        <v>2</v>
      </c>
      <c r="M1554" s="3">
        <f>IF(AND(tbl_main[[#This Row],[Price]]="",tbl_main[[#This Row],[Qty]]=""),"",tbl_main[[#This Row],[Price]]*tbl_main[[#This Row],[Qty]])</f>
        <v>200</v>
      </c>
      <c r="N1554" s="3">
        <f>_xlfn.LET(_xlpm.x,_xlfn.XLOOKUP(tbl_main[[#This Row],[Service]],tbl_service[Service],tbl_service[Profit],""),
               IF(tbl_main[[#This Row],[Qty]]="","",_xlpm.x*tbl_main[[#This Row],[Qty]]))</f>
        <v>90</v>
      </c>
    </row>
    <row r="1555" spans="1:14" x14ac:dyDescent="0.25">
      <c r="A1555" t="s">
        <v>1597</v>
      </c>
      <c r="B1555" s="1">
        <v>46175</v>
      </c>
      <c r="C1555">
        <f>IF(tbl_main[[#This Row],[Date]]="","",YEAR(B1555))</f>
        <v>2026</v>
      </c>
      <c r="D1555" t="str">
        <f>IF(tbl_main[[#This Row],[Date]]="","",TEXT(B1555,"mmm"))</f>
        <v>Jun</v>
      </c>
      <c r="E1555" t="str">
        <f>IF(tbl_main[[#This Row],[Date]]="","",TEXT(B1555,"DDD"))</f>
        <v>Tue</v>
      </c>
      <c r="F1555" t="s">
        <v>20</v>
      </c>
      <c r="G1555" t="s">
        <v>39</v>
      </c>
      <c r="H1555" s="3" t="s">
        <v>26</v>
      </c>
      <c r="I1555" s="3" t="s">
        <v>41</v>
      </c>
      <c r="J1555" s="3" t="s">
        <v>17</v>
      </c>
      <c r="K1555" s="3">
        <f>_xlfn.XLOOKUP(tbl_main[[#This Row],[Service]],tbl_service[Service],tbl_service[Price],"")</f>
        <v>200</v>
      </c>
      <c r="L1555" s="3">
        <v>1</v>
      </c>
      <c r="M1555" s="3">
        <f>IF(AND(tbl_main[[#This Row],[Price]]="",tbl_main[[#This Row],[Qty]]=""),"",tbl_main[[#This Row],[Price]]*tbl_main[[#This Row],[Qty]])</f>
        <v>200</v>
      </c>
      <c r="N1555" s="3">
        <f>_xlfn.LET(_xlpm.x,_xlfn.XLOOKUP(tbl_main[[#This Row],[Service]],tbl_service[Service],tbl_service[Profit],""),
               IF(tbl_main[[#This Row],[Qty]]="","",_xlpm.x*tbl_main[[#This Row],[Qty]]))</f>
        <v>90</v>
      </c>
    </row>
    <row r="1556" spans="1:14" x14ac:dyDescent="0.25">
      <c r="A1556" t="s">
        <v>1598</v>
      </c>
      <c r="B1556" s="1">
        <v>46175</v>
      </c>
      <c r="C1556">
        <f>IF(tbl_main[[#This Row],[Date]]="","",YEAR(B1556))</f>
        <v>2026</v>
      </c>
      <c r="D1556" t="str">
        <f>IF(tbl_main[[#This Row],[Date]]="","",TEXT(B1556,"mmm"))</f>
        <v>Jun</v>
      </c>
      <c r="E1556" t="str">
        <f>IF(tbl_main[[#This Row],[Date]]="","",TEXT(B1556,"DDD"))</f>
        <v>Tue</v>
      </c>
      <c r="F1556" t="s">
        <v>30</v>
      </c>
      <c r="G1556" t="s">
        <v>36</v>
      </c>
      <c r="H1556" s="3" t="s">
        <v>22</v>
      </c>
      <c r="I1556" s="3" t="s">
        <v>41</v>
      </c>
      <c r="J1556" s="3" t="s">
        <v>25</v>
      </c>
      <c r="K1556" s="3">
        <f>_xlfn.XLOOKUP(tbl_main[[#This Row],[Service]],tbl_service[Service],tbl_service[Price],"")</f>
        <v>150</v>
      </c>
      <c r="L1556" s="3">
        <v>2</v>
      </c>
      <c r="M1556" s="3">
        <f>IF(AND(tbl_main[[#This Row],[Price]]="",tbl_main[[#This Row],[Qty]]=""),"",tbl_main[[#This Row],[Price]]*tbl_main[[#This Row],[Qty]])</f>
        <v>300</v>
      </c>
      <c r="N1556" s="3">
        <f>_xlfn.LET(_xlpm.x,_xlfn.XLOOKUP(tbl_main[[#This Row],[Service]],tbl_service[Service],tbl_service[Profit],""),
               IF(tbl_main[[#This Row],[Qty]]="","",_xlpm.x*tbl_main[[#This Row],[Qty]]))</f>
        <v>134</v>
      </c>
    </row>
    <row r="1557" spans="1:14" x14ac:dyDescent="0.25">
      <c r="A1557" t="s">
        <v>1599</v>
      </c>
      <c r="B1557" s="1">
        <v>46176</v>
      </c>
      <c r="C1557">
        <f>IF(tbl_main[[#This Row],[Date]]="","",YEAR(B1557))</f>
        <v>2026</v>
      </c>
      <c r="D1557" t="str">
        <f>IF(tbl_main[[#This Row],[Date]]="","",TEXT(B1557,"mmm"))</f>
        <v>Jun</v>
      </c>
      <c r="E1557" t="str">
        <f>IF(tbl_main[[#This Row],[Date]]="","",TEXT(B1557,"DDD"))</f>
        <v>Wed</v>
      </c>
      <c r="F1557" t="s">
        <v>13</v>
      </c>
      <c r="G1557" t="s">
        <v>33</v>
      </c>
      <c r="H1557" s="3" t="s">
        <v>34</v>
      </c>
      <c r="I1557" s="3" t="s">
        <v>35</v>
      </c>
      <c r="J1557" s="3" t="s">
        <v>17</v>
      </c>
      <c r="K1557" s="3">
        <f>_xlfn.XLOOKUP(tbl_main[[#This Row],[Service]],tbl_service[Service],tbl_service[Price],"")</f>
        <v>100</v>
      </c>
      <c r="L1557" s="3">
        <v>1</v>
      </c>
      <c r="M1557" s="3">
        <f>IF(AND(tbl_main[[#This Row],[Price]]="",tbl_main[[#This Row],[Qty]]=""),"",tbl_main[[#This Row],[Price]]*tbl_main[[#This Row],[Qty]])</f>
        <v>100</v>
      </c>
      <c r="N1557" s="3">
        <f>_xlfn.LET(_xlpm.x,_xlfn.XLOOKUP(tbl_main[[#This Row],[Service]],tbl_service[Service],tbl_service[Profit],""),
               IF(tbl_main[[#This Row],[Qty]]="","",_xlpm.x*tbl_main[[#This Row],[Qty]]))</f>
        <v>45</v>
      </c>
    </row>
    <row r="1558" spans="1:14" x14ac:dyDescent="0.25">
      <c r="A1558" t="s">
        <v>1600</v>
      </c>
      <c r="B1558" s="1">
        <v>46176</v>
      </c>
      <c r="C1558">
        <f>IF(tbl_main[[#This Row],[Date]]="","",YEAR(B1558))</f>
        <v>2026</v>
      </c>
      <c r="D1558" t="str">
        <f>IF(tbl_main[[#This Row],[Date]]="","",TEXT(B1558,"mmm"))</f>
        <v>Jun</v>
      </c>
      <c r="E1558" t="str">
        <f>IF(tbl_main[[#This Row],[Date]]="","",TEXT(B1558,"DDD"))</f>
        <v>Wed</v>
      </c>
      <c r="F1558" t="s">
        <v>13</v>
      </c>
      <c r="G1558" t="s">
        <v>14</v>
      </c>
      <c r="H1558" s="3" t="s">
        <v>26</v>
      </c>
      <c r="I1558" s="3" t="s">
        <v>35</v>
      </c>
      <c r="J1558" s="3" t="s">
        <v>17</v>
      </c>
      <c r="K1558" s="3">
        <f>_xlfn.XLOOKUP(tbl_main[[#This Row],[Service]],tbl_service[Service],tbl_service[Price],"")</f>
        <v>200</v>
      </c>
      <c r="L1558" s="3">
        <v>2</v>
      </c>
      <c r="M1558" s="3">
        <f>IF(AND(tbl_main[[#This Row],[Price]]="",tbl_main[[#This Row],[Qty]]=""),"",tbl_main[[#This Row],[Price]]*tbl_main[[#This Row],[Qty]])</f>
        <v>400</v>
      </c>
      <c r="N1558" s="3">
        <f>_xlfn.LET(_xlpm.x,_xlfn.XLOOKUP(tbl_main[[#This Row],[Service]],tbl_service[Service],tbl_service[Profit],""),
               IF(tbl_main[[#This Row],[Qty]]="","",_xlpm.x*tbl_main[[#This Row],[Qty]]))</f>
        <v>180</v>
      </c>
    </row>
    <row r="1559" spans="1:14" x14ac:dyDescent="0.25">
      <c r="A1559" t="s">
        <v>1601</v>
      </c>
      <c r="B1559" s="1">
        <v>46176</v>
      </c>
      <c r="C1559">
        <f>IF(tbl_main[[#This Row],[Date]]="","",YEAR(B1559))</f>
        <v>2026</v>
      </c>
      <c r="D1559" t="str">
        <f>IF(tbl_main[[#This Row],[Date]]="","",TEXT(B1559,"mmm"))</f>
        <v>Jun</v>
      </c>
      <c r="E1559" t="str">
        <f>IF(tbl_main[[#This Row],[Date]]="","",TEXT(B1559,"DDD"))</f>
        <v>Wed</v>
      </c>
      <c r="F1559" t="s">
        <v>20</v>
      </c>
      <c r="G1559" t="s">
        <v>29</v>
      </c>
      <c r="H1559" s="3" t="s">
        <v>22</v>
      </c>
      <c r="I1559" s="3" t="s">
        <v>23</v>
      </c>
      <c r="J1559" s="3" t="s">
        <v>32</v>
      </c>
      <c r="K1559" s="3">
        <f>_xlfn.XLOOKUP(tbl_main[[#This Row],[Service]],tbl_service[Service],tbl_service[Price],"")</f>
        <v>150</v>
      </c>
      <c r="L1559" s="3">
        <v>1</v>
      </c>
      <c r="M1559" s="3">
        <f>IF(AND(tbl_main[[#This Row],[Price]]="",tbl_main[[#This Row],[Qty]]=""),"",tbl_main[[#This Row],[Price]]*tbl_main[[#This Row],[Qty]])</f>
        <v>150</v>
      </c>
      <c r="N1559" s="3">
        <f>_xlfn.LET(_xlpm.x,_xlfn.XLOOKUP(tbl_main[[#This Row],[Service]],tbl_service[Service],tbl_service[Profit],""),
               IF(tbl_main[[#This Row],[Qty]]="","",_xlpm.x*tbl_main[[#This Row],[Qty]]))</f>
        <v>67</v>
      </c>
    </row>
    <row r="1560" spans="1:14" x14ac:dyDescent="0.25">
      <c r="A1560" t="s">
        <v>1602</v>
      </c>
      <c r="B1560" s="1">
        <v>46176</v>
      </c>
      <c r="C1560">
        <f>IF(tbl_main[[#This Row],[Date]]="","",YEAR(B1560))</f>
        <v>2026</v>
      </c>
      <c r="D1560" t="str">
        <f>IF(tbl_main[[#This Row],[Date]]="","",TEXT(B1560,"mmm"))</f>
        <v>Jun</v>
      </c>
      <c r="E1560" t="str">
        <f>IF(tbl_main[[#This Row],[Date]]="","",TEXT(B1560,"DDD"))</f>
        <v>Wed</v>
      </c>
      <c r="F1560" t="s">
        <v>20</v>
      </c>
      <c r="G1560" t="s">
        <v>39</v>
      </c>
      <c r="H1560" s="3" t="s">
        <v>24</v>
      </c>
      <c r="I1560" s="3" t="s">
        <v>37</v>
      </c>
      <c r="J1560" s="3" t="s">
        <v>25</v>
      </c>
      <c r="K1560" s="3">
        <f>_xlfn.XLOOKUP(tbl_main[[#This Row],[Service]],tbl_service[Service],tbl_service[Price],"")</f>
        <v>80</v>
      </c>
      <c r="L1560" s="3">
        <v>1</v>
      </c>
      <c r="M1560" s="3">
        <f>IF(AND(tbl_main[[#This Row],[Price]]="",tbl_main[[#This Row],[Qty]]=""),"",tbl_main[[#This Row],[Price]]*tbl_main[[#This Row],[Qty]])</f>
        <v>80</v>
      </c>
      <c r="N1560" s="3">
        <f>_xlfn.LET(_xlpm.x,_xlfn.XLOOKUP(tbl_main[[#This Row],[Service]],tbl_service[Service],tbl_service[Profit],""),
               IF(tbl_main[[#This Row],[Qty]]="","",_xlpm.x*tbl_main[[#This Row],[Qty]]))</f>
        <v>36</v>
      </c>
    </row>
    <row r="1561" spans="1:14" x14ac:dyDescent="0.25">
      <c r="A1561" t="s">
        <v>1603</v>
      </c>
      <c r="B1561" s="1">
        <v>46177</v>
      </c>
      <c r="C1561">
        <f>IF(tbl_main[[#This Row],[Date]]="","",YEAR(B1561))</f>
        <v>2026</v>
      </c>
      <c r="D1561" t="str">
        <f>IF(tbl_main[[#This Row],[Date]]="","",TEXT(B1561,"mmm"))</f>
        <v>Jun</v>
      </c>
      <c r="E1561" t="str">
        <f>IF(tbl_main[[#This Row],[Date]]="","",TEXT(B1561,"DDD"))</f>
        <v>Thu</v>
      </c>
      <c r="F1561" t="s">
        <v>13</v>
      </c>
      <c r="G1561" t="s">
        <v>14</v>
      </c>
      <c r="H1561" s="3" t="s">
        <v>26</v>
      </c>
      <c r="I1561" s="3" t="s">
        <v>38</v>
      </c>
      <c r="J1561" s="3" t="s">
        <v>32</v>
      </c>
      <c r="K1561" s="3">
        <f>_xlfn.XLOOKUP(tbl_main[[#This Row],[Service]],tbl_service[Service],tbl_service[Price],"")</f>
        <v>200</v>
      </c>
      <c r="L1561" s="3">
        <v>1</v>
      </c>
      <c r="M1561" s="3">
        <f>IF(AND(tbl_main[[#This Row],[Price]]="",tbl_main[[#This Row],[Qty]]=""),"",tbl_main[[#This Row],[Price]]*tbl_main[[#This Row],[Qty]])</f>
        <v>200</v>
      </c>
      <c r="N1561" s="3">
        <f>_xlfn.LET(_xlpm.x,_xlfn.XLOOKUP(tbl_main[[#This Row],[Service]],tbl_service[Service],tbl_service[Profit],""),
               IF(tbl_main[[#This Row],[Qty]]="","",_xlpm.x*tbl_main[[#This Row],[Qty]]))</f>
        <v>90</v>
      </c>
    </row>
    <row r="1562" spans="1:14" x14ac:dyDescent="0.25">
      <c r="A1562" t="s">
        <v>1604</v>
      </c>
      <c r="B1562" s="1">
        <v>46177</v>
      </c>
      <c r="C1562">
        <f>IF(tbl_main[[#This Row],[Date]]="","",YEAR(B1562))</f>
        <v>2026</v>
      </c>
      <c r="D1562" t="str">
        <f>IF(tbl_main[[#This Row],[Date]]="","",TEXT(B1562,"mmm"))</f>
        <v>Jun</v>
      </c>
      <c r="E1562" t="str">
        <f>IF(tbl_main[[#This Row],[Date]]="","",TEXT(B1562,"DDD"))</f>
        <v>Thu</v>
      </c>
      <c r="F1562" t="s">
        <v>13</v>
      </c>
      <c r="G1562" t="s">
        <v>33</v>
      </c>
      <c r="H1562" s="3" t="s">
        <v>18</v>
      </c>
      <c r="I1562" s="3" t="s">
        <v>16</v>
      </c>
      <c r="J1562" s="3" t="s">
        <v>32</v>
      </c>
      <c r="K1562" s="3">
        <f>_xlfn.XLOOKUP(tbl_main[[#This Row],[Service]],tbl_service[Service],tbl_service[Price],"")</f>
        <v>500</v>
      </c>
      <c r="L1562" s="3">
        <v>1</v>
      </c>
      <c r="M1562" s="3">
        <f>IF(AND(tbl_main[[#This Row],[Price]]="",tbl_main[[#This Row],[Qty]]=""),"",tbl_main[[#This Row],[Price]]*tbl_main[[#This Row],[Qty]])</f>
        <v>500</v>
      </c>
      <c r="N1562" s="3">
        <f>_xlfn.LET(_xlpm.x,_xlfn.XLOOKUP(tbl_main[[#This Row],[Service]],tbl_service[Service],tbl_service[Profit],""),
               IF(tbl_main[[#This Row],[Qty]]="","",_xlpm.x*tbl_main[[#This Row],[Qty]]))</f>
        <v>157</v>
      </c>
    </row>
    <row r="1563" spans="1:14" x14ac:dyDescent="0.25">
      <c r="A1563" t="s">
        <v>1605</v>
      </c>
      <c r="B1563" s="1">
        <v>46177</v>
      </c>
      <c r="C1563">
        <f>IF(tbl_main[[#This Row],[Date]]="","",YEAR(B1563))</f>
        <v>2026</v>
      </c>
      <c r="D1563" t="str">
        <f>IF(tbl_main[[#This Row],[Date]]="","",TEXT(B1563,"mmm"))</f>
        <v>Jun</v>
      </c>
      <c r="E1563" t="str">
        <f>IF(tbl_main[[#This Row],[Date]]="","",TEXT(B1563,"DDD"))</f>
        <v>Thu</v>
      </c>
      <c r="F1563" t="s">
        <v>30</v>
      </c>
      <c r="G1563" t="s">
        <v>36</v>
      </c>
      <c r="H1563" s="3" t="s">
        <v>34</v>
      </c>
      <c r="I1563" s="3" t="s">
        <v>19</v>
      </c>
      <c r="J1563" s="3" t="s">
        <v>25</v>
      </c>
      <c r="K1563" s="3">
        <f>_xlfn.XLOOKUP(tbl_main[[#This Row],[Service]],tbl_service[Service],tbl_service[Price],"")</f>
        <v>100</v>
      </c>
      <c r="L1563" s="3">
        <v>1</v>
      </c>
      <c r="M1563" s="3">
        <f>IF(AND(tbl_main[[#This Row],[Price]]="",tbl_main[[#This Row],[Qty]]=""),"",tbl_main[[#This Row],[Price]]*tbl_main[[#This Row],[Qty]])</f>
        <v>100</v>
      </c>
      <c r="N1563" s="3">
        <f>_xlfn.LET(_xlpm.x,_xlfn.XLOOKUP(tbl_main[[#This Row],[Service]],tbl_service[Service],tbl_service[Profit],""),
               IF(tbl_main[[#This Row],[Qty]]="","",_xlpm.x*tbl_main[[#This Row],[Qty]]))</f>
        <v>45</v>
      </c>
    </row>
    <row r="1564" spans="1:14" x14ac:dyDescent="0.25">
      <c r="A1564" t="s">
        <v>1606</v>
      </c>
      <c r="B1564" s="1">
        <v>46177</v>
      </c>
      <c r="C1564">
        <f>IF(tbl_main[[#This Row],[Date]]="","",YEAR(B1564))</f>
        <v>2026</v>
      </c>
      <c r="D1564" t="str">
        <f>IF(tbl_main[[#This Row],[Date]]="","",TEXT(B1564,"mmm"))</f>
        <v>Jun</v>
      </c>
      <c r="E1564" t="str">
        <f>IF(tbl_main[[#This Row],[Date]]="","",TEXT(B1564,"DDD"))</f>
        <v>Thu</v>
      </c>
      <c r="F1564" t="s">
        <v>27</v>
      </c>
      <c r="G1564" t="s">
        <v>28</v>
      </c>
      <c r="H1564" s="3" t="s">
        <v>34</v>
      </c>
      <c r="I1564" s="3" t="s">
        <v>43</v>
      </c>
      <c r="J1564" s="3" t="s">
        <v>17</v>
      </c>
      <c r="K1564" s="3">
        <f>_xlfn.XLOOKUP(tbl_main[[#This Row],[Service]],tbl_service[Service],tbl_service[Price],"")</f>
        <v>100</v>
      </c>
      <c r="L1564" s="3">
        <v>2</v>
      </c>
      <c r="M1564" s="3">
        <f>IF(AND(tbl_main[[#This Row],[Price]]="",tbl_main[[#This Row],[Qty]]=""),"",tbl_main[[#This Row],[Price]]*tbl_main[[#This Row],[Qty]])</f>
        <v>200</v>
      </c>
      <c r="N1564" s="3">
        <f>_xlfn.LET(_xlpm.x,_xlfn.XLOOKUP(tbl_main[[#This Row],[Service]],tbl_service[Service],tbl_service[Profit],""),
               IF(tbl_main[[#This Row],[Qty]]="","",_xlpm.x*tbl_main[[#This Row],[Qty]]))</f>
        <v>90</v>
      </c>
    </row>
    <row r="1565" spans="1:14" x14ac:dyDescent="0.25">
      <c r="A1565" t="s">
        <v>1607</v>
      </c>
      <c r="B1565" s="1">
        <v>46178</v>
      </c>
      <c r="C1565">
        <f>IF(tbl_main[[#This Row],[Date]]="","",YEAR(B1565))</f>
        <v>2026</v>
      </c>
      <c r="D1565" t="str">
        <f>IF(tbl_main[[#This Row],[Date]]="","",TEXT(B1565,"mmm"))</f>
        <v>Jun</v>
      </c>
      <c r="E1565" t="str">
        <f>IF(tbl_main[[#This Row],[Date]]="","",TEXT(B1565,"DDD"))</f>
        <v>Fri</v>
      </c>
      <c r="F1565" t="s">
        <v>27</v>
      </c>
      <c r="G1565" t="s">
        <v>28</v>
      </c>
      <c r="H1565" s="3" t="s">
        <v>15</v>
      </c>
      <c r="I1565" s="3" t="s">
        <v>41</v>
      </c>
      <c r="J1565" s="3" t="s">
        <v>25</v>
      </c>
      <c r="K1565" s="3">
        <f>_xlfn.XLOOKUP(tbl_main[[#This Row],[Service]],tbl_service[Service],tbl_service[Price],"")</f>
        <v>500</v>
      </c>
      <c r="L1565" s="3">
        <v>1</v>
      </c>
      <c r="M1565" s="3">
        <f>IF(AND(tbl_main[[#This Row],[Price]]="",tbl_main[[#This Row],[Qty]]=""),"",tbl_main[[#This Row],[Price]]*tbl_main[[#This Row],[Qty]])</f>
        <v>500</v>
      </c>
      <c r="N1565" s="3">
        <f>_xlfn.LET(_xlpm.x,_xlfn.XLOOKUP(tbl_main[[#This Row],[Service]],tbl_service[Service],tbl_service[Profit],""),
               IF(tbl_main[[#This Row],[Qty]]="","",_xlpm.x*tbl_main[[#This Row],[Qty]]))</f>
        <v>225</v>
      </c>
    </row>
    <row r="1566" spans="1:14" x14ac:dyDescent="0.25">
      <c r="A1566" t="s">
        <v>1608</v>
      </c>
      <c r="B1566" s="1">
        <v>46178</v>
      </c>
      <c r="C1566">
        <f>IF(tbl_main[[#This Row],[Date]]="","",YEAR(B1566))</f>
        <v>2026</v>
      </c>
      <c r="D1566" t="str">
        <f>IF(tbl_main[[#This Row],[Date]]="","",TEXT(B1566,"mmm"))</f>
        <v>Jun</v>
      </c>
      <c r="E1566" t="str">
        <f>IF(tbl_main[[#This Row],[Date]]="","",TEXT(B1566,"DDD"))</f>
        <v>Fri</v>
      </c>
      <c r="F1566" t="s">
        <v>20</v>
      </c>
      <c r="G1566" t="s">
        <v>21</v>
      </c>
      <c r="H1566" s="3" t="s">
        <v>24</v>
      </c>
      <c r="I1566" s="3" t="s">
        <v>41</v>
      </c>
      <c r="J1566" s="3" t="s">
        <v>17</v>
      </c>
      <c r="K1566" s="3">
        <f>_xlfn.XLOOKUP(tbl_main[[#This Row],[Service]],tbl_service[Service],tbl_service[Price],"")</f>
        <v>80</v>
      </c>
      <c r="L1566" s="3">
        <v>2</v>
      </c>
      <c r="M1566" s="3">
        <f>IF(AND(tbl_main[[#This Row],[Price]]="",tbl_main[[#This Row],[Qty]]=""),"",tbl_main[[#This Row],[Price]]*tbl_main[[#This Row],[Qty]])</f>
        <v>160</v>
      </c>
      <c r="N1566" s="3">
        <f>_xlfn.LET(_xlpm.x,_xlfn.XLOOKUP(tbl_main[[#This Row],[Service]],tbl_service[Service],tbl_service[Profit],""),
               IF(tbl_main[[#This Row],[Qty]]="","",_xlpm.x*tbl_main[[#This Row],[Qty]]))</f>
        <v>72</v>
      </c>
    </row>
    <row r="1567" spans="1:14" x14ac:dyDescent="0.25">
      <c r="A1567" t="s">
        <v>1609</v>
      </c>
      <c r="B1567" s="1">
        <v>46178</v>
      </c>
      <c r="C1567">
        <f>IF(tbl_main[[#This Row],[Date]]="","",YEAR(B1567))</f>
        <v>2026</v>
      </c>
      <c r="D1567" t="str">
        <f>IF(tbl_main[[#This Row],[Date]]="","",TEXT(B1567,"mmm"))</f>
        <v>Jun</v>
      </c>
      <c r="E1567" t="str">
        <f>IF(tbl_main[[#This Row],[Date]]="","",TEXT(B1567,"DDD"))</f>
        <v>Fri</v>
      </c>
      <c r="F1567" t="s">
        <v>30</v>
      </c>
      <c r="G1567" t="s">
        <v>31</v>
      </c>
      <c r="H1567" s="3" t="s">
        <v>34</v>
      </c>
      <c r="I1567" s="3" t="s">
        <v>35</v>
      </c>
      <c r="J1567" s="3" t="s">
        <v>17</v>
      </c>
      <c r="K1567" s="3">
        <f>_xlfn.XLOOKUP(tbl_main[[#This Row],[Service]],tbl_service[Service],tbl_service[Price],"")</f>
        <v>100</v>
      </c>
      <c r="L1567" s="3">
        <v>1</v>
      </c>
      <c r="M1567" s="3">
        <f>IF(AND(tbl_main[[#This Row],[Price]]="",tbl_main[[#This Row],[Qty]]=""),"",tbl_main[[#This Row],[Price]]*tbl_main[[#This Row],[Qty]])</f>
        <v>100</v>
      </c>
      <c r="N1567" s="3">
        <f>_xlfn.LET(_xlpm.x,_xlfn.XLOOKUP(tbl_main[[#This Row],[Service]],tbl_service[Service],tbl_service[Profit],""),
               IF(tbl_main[[#This Row],[Qty]]="","",_xlpm.x*tbl_main[[#This Row],[Qty]]))</f>
        <v>45</v>
      </c>
    </row>
    <row r="1568" spans="1:14" x14ac:dyDescent="0.25">
      <c r="A1568" t="s">
        <v>1610</v>
      </c>
      <c r="B1568" s="1">
        <v>46178</v>
      </c>
      <c r="C1568">
        <f>IF(tbl_main[[#This Row],[Date]]="","",YEAR(B1568))</f>
        <v>2026</v>
      </c>
      <c r="D1568" t="str">
        <f>IF(tbl_main[[#This Row],[Date]]="","",TEXT(B1568,"mmm"))</f>
        <v>Jun</v>
      </c>
      <c r="E1568" t="str">
        <f>IF(tbl_main[[#This Row],[Date]]="","",TEXT(B1568,"DDD"))</f>
        <v>Fri</v>
      </c>
      <c r="F1568" t="s">
        <v>13</v>
      </c>
      <c r="G1568" t="s">
        <v>14</v>
      </c>
      <c r="H1568" s="3" t="s">
        <v>26</v>
      </c>
      <c r="I1568" s="3" t="s">
        <v>35</v>
      </c>
      <c r="J1568" s="3" t="s">
        <v>17</v>
      </c>
      <c r="K1568" s="3">
        <f>_xlfn.XLOOKUP(tbl_main[[#This Row],[Service]],tbl_service[Service],tbl_service[Price],"")</f>
        <v>200</v>
      </c>
      <c r="L1568" s="3">
        <v>1</v>
      </c>
      <c r="M1568" s="3">
        <f>IF(AND(tbl_main[[#This Row],[Price]]="",tbl_main[[#This Row],[Qty]]=""),"",tbl_main[[#This Row],[Price]]*tbl_main[[#This Row],[Qty]])</f>
        <v>200</v>
      </c>
      <c r="N1568" s="3">
        <f>_xlfn.LET(_xlpm.x,_xlfn.XLOOKUP(tbl_main[[#This Row],[Service]],tbl_service[Service],tbl_service[Profit],""),
               IF(tbl_main[[#This Row],[Qty]]="","",_xlpm.x*tbl_main[[#This Row],[Qty]]))</f>
        <v>90</v>
      </c>
    </row>
    <row r="1569" spans="1:14" x14ac:dyDescent="0.25">
      <c r="A1569" t="s">
        <v>1611</v>
      </c>
      <c r="B1569" s="1">
        <v>46179</v>
      </c>
      <c r="C1569">
        <f>IF(tbl_main[[#This Row],[Date]]="","",YEAR(B1569))</f>
        <v>2026</v>
      </c>
      <c r="D1569" t="str">
        <f>IF(tbl_main[[#This Row],[Date]]="","",TEXT(B1569,"mmm"))</f>
        <v>Jun</v>
      </c>
      <c r="E1569" t="str">
        <f>IF(tbl_main[[#This Row],[Date]]="","",TEXT(B1569,"DDD"))</f>
        <v>Sat</v>
      </c>
      <c r="F1569" t="s">
        <v>13</v>
      </c>
      <c r="G1569" t="s">
        <v>14</v>
      </c>
      <c r="H1569" s="3" t="s">
        <v>22</v>
      </c>
      <c r="I1569" s="3" t="s">
        <v>23</v>
      </c>
      <c r="J1569" s="3" t="s">
        <v>17</v>
      </c>
      <c r="K1569" s="3">
        <f>_xlfn.XLOOKUP(tbl_main[[#This Row],[Service]],tbl_service[Service],tbl_service[Price],"")</f>
        <v>150</v>
      </c>
      <c r="L1569" s="3">
        <v>2</v>
      </c>
      <c r="M1569" s="3">
        <f>IF(AND(tbl_main[[#This Row],[Price]]="",tbl_main[[#This Row],[Qty]]=""),"",tbl_main[[#This Row],[Price]]*tbl_main[[#This Row],[Qty]])</f>
        <v>300</v>
      </c>
      <c r="N1569" s="3">
        <f>_xlfn.LET(_xlpm.x,_xlfn.XLOOKUP(tbl_main[[#This Row],[Service]],tbl_service[Service],tbl_service[Profit],""),
               IF(tbl_main[[#This Row],[Qty]]="","",_xlpm.x*tbl_main[[#This Row],[Qty]]))</f>
        <v>134</v>
      </c>
    </row>
    <row r="1570" spans="1:14" x14ac:dyDescent="0.25">
      <c r="A1570" t="s">
        <v>1612</v>
      </c>
      <c r="B1570" s="1">
        <v>46179</v>
      </c>
      <c r="C1570">
        <f>IF(tbl_main[[#This Row],[Date]]="","",YEAR(B1570))</f>
        <v>2026</v>
      </c>
      <c r="D1570" t="str">
        <f>IF(tbl_main[[#This Row],[Date]]="","",TEXT(B1570,"mmm"))</f>
        <v>Jun</v>
      </c>
      <c r="E1570" t="str">
        <f>IF(tbl_main[[#This Row],[Date]]="","",TEXT(B1570,"DDD"))</f>
        <v>Sat</v>
      </c>
      <c r="F1570" t="s">
        <v>13</v>
      </c>
      <c r="G1570" t="s">
        <v>14</v>
      </c>
      <c r="H1570" s="3" t="s">
        <v>26</v>
      </c>
      <c r="I1570" s="3" t="s">
        <v>37</v>
      </c>
      <c r="J1570" s="3" t="s">
        <v>32</v>
      </c>
      <c r="K1570" s="3">
        <f>_xlfn.XLOOKUP(tbl_main[[#This Row],[Service]],tbl_service[Service],tbl_service[Price],"")</f>
        <v>200</v>
      </c>
      <c r="L1570" s="3">
        <v>2</v>
      </c>
      <c r="M1570" s="3">
        <f>IF(AND(tbl_main[[#This Row],[Price]]="",tbl_main[[#This Row],[Qty]]=""),"",tbl_main[[#This Row],[Price]]*tbl_main[[#This Row],[Qty]])</f>
        <v>400</v>
      </c>
      <c r="N1570" s="3">
        <f>_xlfn.LET(_xlpm.x,_xlfn.XLOOKUP(tbl_main[[#This Row],[Service]],tbl_service[Service],tbl_service[Profit],""),
               IF(tbl_main[[#This Row],[Qty]]="","",_xlpm.x*tbl_main[[#This Row],[Qty]]))</f>
        <v>180</v>
      </c>
    </row>
    <row r="1571" spans="1:14" x14ac:dyDescent="0.25">
      <c r="A1571" t="s">
        <v>1613</v>
      </c>
      <c r="B1571" s="1">
        <v>46179</v>
      </c>
      <c r="C1571">
        <f>IF(tbl_main[[#This Row],[Date]]="","",YEAR(B1571))</f>
        <v>2026</v>
      </c>
      <c r="D1571" t="str">
        <f>IF(tbl_main[[#This Row],[Date]]="","",TEXT(B1571,"mmm"))</f>
        <v>Jun</v>
      </c>
      <c r="E1571" t="str">
        <f>IF(tbl_main[[#This Row],[Date]]="","",TEXT(B1571,"DDD"))</f>
        <v>Sat</v>
      </c>
      <c r="F1571" t="s">
        <v>13</v>
      </c>
      <c r="G1571" t="s">
        <v>33</v>
      </c>
      <c r="H1571" s="3" t="s">
        <v>22</v>
      </c>
      <c r="I1571" s="3" t="s">
        <v>38</v>
      </c>
      <c r="J1571" s="3" t="s">
        <v>25</v>
      </c>
      <c r="K1571" s="3">
        <f>_xlfn.XLOOKUP(tbl_main[[#This Row],[Service]],tbl_service[Service],tbl_service[Price],"")</f>
        <v>150</v>
      </c>
      <c r="L1571" s="3">
        <v>2</v>
      </c>
      <c r="M1571" s="3">
        <f>IF(AND(tbl_main[[#This Row],[Price]]="",tbl_main[[#This Row],[Qty]]=""),"",tbl_main[[#This Row],[Price]]*tbl_main[[#This Row],[Qty]])</f>
        <v>300</v>
      </c>
      <c r="N1571" s="3">
        <f>_xlfn.LET(_xlpm.x,_xlfn.XLOOKUP(tbl_main[[#This Row],[Service]],tbl_service[Service],tbl_service[Profit],""),
               IF(tbl_main[[#This Row],[Qty]]="","",_xlpm.x*tbl_main[[#This Row],[Qty]]))</f>
        <v>134</v>
      </c>
    </row>
    <row r="1572" spans="1:14" x14ac:dyDescent="0.25">
      <c r="A1572" t="s">
        <v>1614</v>
      </c>
      <c r="B1572" s="1">
        <v>46180</v>
      </c>
      <c r="C1572">
        <f>IF(tbl_main[[#This Row],[Date]]="","",YEAR(B1572))</f>
        <v>2026</v>
      </c>
      <c r="D1572" t="str">
        <f>IF(tbl_main[[#This Row],[Date]]="","",TEXT(B1572,"mmm"))</f>
        <v>Jun</v>
      </c>
      <c r="E1572" t="str">
        <f>IF(tbl_main[[#This Row],[Date]]="","",TEXT(B1572,"DDD"))</f>
        <v>Sun</v>
      </c>
      <c r="F1572" t="s">
        <v>13</v>
      </c>
      <c r="G1572" t="s">
        <v>33</v>
      </c>
      <c r="H1572" s="3" t="s">
        <v>34</v>
      </c>
      <c r="I1572" s="3" t="s">
        <v>16</v>
      </c>
      <c r="J1572" s="3" t="s">
        <v>25</v>
      </c>
      <c r="K1572" s="3">
        <f>_xlfn.XLOOKUP(tbl_main[[#This Row],[Service]],tbl_service[Service],tbl_service[Price],"")</f>
        <v>100</v>
      </c>
      <c r="L1572" s="3">
        <v>1</v>
      </c>
      <c r="M1572" s="3">
        <f>IF(AND(tbl_main[[#This Row],[Price]]="",tbl_main[[#This Row],[Qty]]=""),"",tbl_main[[#This Row],[Price]]*tbl_main[[#This Row],[Qty]])</f>
        <v>100</v>
      </c>
      <c r="N1572" s="3">
        <f>_xlfn.LET(_xlpm.x,_xlfn.XLOOKUP(tbl_main[[#This Row],[Service]],tbl_service[Service],tbl_service[Profit],""),
               IF(tbl_main[[#This Row],[Qty]]="","",_xlpm.x*tbl_main[[#This Row],[Qty]]))</f>
        <v>45</v>
      </c>
    </row>
    <row r="1573" spans="1:14" x14ac:dyDescent="0.25">
      <c r="A1573" t="s">
        <v>1615</v>
      </c>
      <c r="B1573" s="1">
        <v>46180</v>
      </c>
      <c r="C1573">
        <f>IF(tbl_main[[#This Row],[Date]]="","",YEAR(B1573))</f>
        <v>2026</v>
      </c>
      <c r="D1573" t="str">
        <f>IF(tbl_main[[#This Row],[Date]]="","",TEXT(B1573,"mmm"))</f>
        <v>Jun</v>
      </c>
      <c r="E1573" t="str">
        <f>IF(tbl_main[[#This Row],[Date]]="","",TEXT(B1573,"DDD"))</f>
        <v>Sun</v>
      </c>
      <c r="F1573" t="s">
        <v>27</v>
      </c>
      <c r="G1573" t="s">
        <v>40</v>
      </c>
      <c r="H1573" s="3" t="s">
        <v>22</v>
      </c>
      <c r="I1573" s="3" t="s">
        <v>19</v>
      </c>
      <c r="J1573" s="3" t="s">
        <v>25</v>
      </c>
      <c r="K1573" s="3">
        <f>_xlfn.XLOOKUP(tbl_main[[#This Row],[Service]],tbl_service[Service],tbl_service[Price],"")</f>
        <v>150</v>
      </c>
      <c r="L1573" s="3">
        <v>1</v>
      </c>
      <c r="M1573" s="3">
        <f>IF(AND(tbl_main[[#This Row],[Price]]="",tbl_main[[#This Row],[Qty]]=""),"",tbl_main[[#This Row],[Price]]*tbl_main[[#This Row],[Qty]])</f>
        <v>150</v>
      </c>
      <c r="N1573" s="3">
        <f>_xlfn.LET(_xlpm.x,_xlfn.XLOOKUP(tbl_main[[#This Row],[Service]],tbl_service[Service],tbl_service[Profit],""),
               IF(tbl_main[[#This Row],[Qty]]="","",_xlpm.x*tbl_main[[#This Row],[Qty]]))</f>
        <v>67</v>
      </c>
    </row>
    <row r="1574" spans="1:14" x14ac:dyDescent="0.25">
      <c r="A1574" t="s">
        <v>1616</v>
      </c>
      <c r="B1574" s="1">
        <v>46181</v>
      </c>
      <c r="C1574">
        <f>IF(tbl_main[[#This Row],[Date]]="","",YEAR(B1574))</f>
        <v>2026</v>
      </c>
      <c r="D1574" t="str">
        <f>IF(tbl_main[[#This Row],[Date]]="","",TEXT(B1574,"mmm"))</f>
        <v>Jun</v>
      </c>
      <c r="E1574" t="str">
        <f>IF(tbl_main[[#This Row],[Date]]="","",TEXT(B1574,"DDD"))</f>
        <v>Mon</v>
      </c>
      <c r="F1574" t="s">
        <v>13</v>
      </c>
      <c r="G1574" t="s">
        <v>33</v>
      </c>
      <c r="H1574" s="3" t="s">
        <v>34</v>
      </c>
      <c r="I1574" s="3" t="s">
        <v>43</v>
      </c>
      <c r="J1574" s="3" t="s">
        <v>25</v>
      </c>
      <c r="K1574" s="3">
        <f>_xlfn.XLOOKUP(tbl_main[[#This Row],[Service]],tbl_service[Service],tbl_service[Price],"")</f>
        <v>100</v>
      </c>
      <c r="L1574" s="3">
        <v>2</v>
      </c>
      <c r="M1574" s="3">
        <f>IF(AND(tbl_main[[#This Row],[Price]]="",tbl_main[[#This Row],[Qty]]=""),"",tbl_main[[#This Row],[Price]]*tbl_main[[#This Row],[Qty]])</f>
        <v>200</v>
      </c>
      <c r="N1574" s="3">
        <f>_xlfn.LET(_xlpm.x,_xlfn.XLOOKUP(tbl_main[[#This Row],[Service]],tbl_service[Service],tbl_service[Profit],""),
               IF(tbl_main[[#This Row],[Qty]]="","",_xlpm.x*tbl_main[[#This Row],[Qty]]))</f>
        <v>90</v>
      </c>
    </row>
    <row r="1575" spans="1:14" x14ac:dyDescent="0.25">
      <c r="A1575" t="s">
        <v>1617</v>
      </c>
      <c r="B1575" s="1">
        <v>46181</v>
      </c>
      <c r="C1575">
        <f>IF(tbl_main[[#This Row],[Date]]="","",YEAR(B1575))</f>
        <v>2026</v>
      </c>
      <c r="D1575" t="str">
        <f>IF(tbl_main[[#This Row],[Date]]="","",TEXT(B1575,"mmm"))</f>
        <v>Jun</v>
      </c>
      <c r="E1575" t="str">
        <f>IF(tbl_main[[#This Row],[Date]]="","",TEXT(B1575,"DDD"))</f>
        <v>Mon</v>
      </c>
      <c r="F1575" t="s">
        <v>27</v>
      </c>
      <c r="G1575" t="s">
        <v>28</v>
      </c>
      <c r="H1575" s="3" t="s">
        <v>15</v>
      </c>
      <c r="I1575" s="3" t="s">
        <v>41</v>
      </c>
      <c r="J1575" s="3" t="s">
        <v>25</v>
      </c>
      <c r="K1575" s="3">
        <f>_xlfn.XLOOKUP(tbl_main[[#This Row],[Service]],tbl_service[Service],tbl_service[Price],"")</f>
        <v>500</v>
      </c>
      <c r="L1575" s="3">
        <v>1</v>
      </c>
      <c r="M1575" s="3">
        <f>IF(AND(tbl_main[[#This Row],[Price]]="",tbl_main[[#This Row],[Qty]]=""),"",tbl_main[[#This Row],[Price]]*tbl_main[[#This Row],[Qty]])</f>
        <v>500</v>
      </c>
      <c r="N1575" s="3">
        <f>_xlfn.LET(_xlpm.x,_xlfn.XLOOKUP(tbl_main[[#This Row],[Service]],tbl_service[Service],tbl_service[Profit],""),
               IF(tbl_main[[#This Row],[Qty]]="","",_xlpm.x*tbl_main[[#This Row],[Qty]]))</f>
        <v>225</v>
      </c>
    </row>
    <row r="1576" spans="1:14" x14ac:dyDescent="0.25">
      <c r="A1576" t="s">
        <v>1618</v>
      </c>
      <c r="B1576" s="1">
        <v>46181</v>
      </c>
      <c r="C1576">
        <f>IF(tbl_main[[#This Row],[Date]]="","",YEAR(B1576))</f>
        <v>2026</v>
      </c>
      <c r="D1576" t="str">
        <f>IF(tbl_main[[#This Row],[Date]]="","",TEXT(B1576,"mmm"))</f>
        <v>Jun</v>
      </c>
      <c r="E1576" t="str">
        <f>IF(tbl_main[[#This Row],[Date]]="","",TEXT(B1576,"DDD"))</f>
        <v>Mon</v>
      </c>
      <c r="F1576" t="s">
        <v>20</v>
      </c>
      <c r="G1576" t="s">
        <v>39</v>
      </c>
      <c r="H1576" s="3" t="s">
        <v>26</v>
      </c>
      <c r="I1576" s="3" t="s">
        <v>41</v>
      </c>
      <c r="J1576" s="3" t="s">
        <v>32</v>
      </c>
      <c r="K1576" s="3">
        <f>_xlfn.XLOOKUP(tbl_main[[#This Row],[Service]],tbl_service[Service],tbl_service[Price],"")</f>
        <v>200</v>
      </c>
      <c r="L1576" s="3">
        <v>2</v>
      </c>
      <c r="M1576" s="3">
        <f>IF(AND(tbl_main[[#This Row],[Price]]="",tbl_main[[#This Row],[Qty]]=""),"",tbl_main[[#This Row],[Price]]*tbl_main[[#This Row],[Qty]])</f>
        <v>400</v>
      </c>
      <c r="N1576" s="3">
        <f>_xlfn.LET(_xlpm.x,_xlfn.XLOOKUP(tbl_main[[#This Row],[Service]],tbl_service[Service],tbl_service[Profit],""),
               IF(tbl_main[[#This Row],[Qty]]="","",_xlpm.x*tbl_main[[#This Row],[Qty]]))</f>
        <v>180</v>
      </c>
    </row>
    <row r="1577" spans="1:14" x14ac:dyDescent="0.25">
      <c r="A1577" t="s">
        <v>1619</v>
      </c>
      <c r="B1577" s="1">
        <v>46181</v>
      </c>
      <c r="C1577">
        <f>IF(tbl_main[[#This Row],[Date]]="","",YEAR(B1577))</f>
        <v>2026</v>
      </c>
      <c r="D1577" t="str">
        <f>IF(tbl_main[[#This Row],[Date]]="","",TEXT(B1577,"mmm"))</f>
        <v>Jun</v>
      </c>
      <c r="E1577" t="str">
        <f>IF(tbl_main[[#This Row],[Date]]="","",TEXT(B1577,"DDD"))</f>
        <v>Mon</v>
      </c>
      <c r="F1577" t="s">
        <v>13</v>
      </c>
      <c r="G1577" t="s">
        <v>14</v>
      </c>
      <c r="H1577" s="3" t="s">
        <v>34</v>
      </c>
      <c r="I1577" s="3" t="s">
        <v>35</v>
      </c>
      <c r="J1577" s="3" t="s">
        <v>25</v>
      </c>
      <c r="K1577" s="3">
        <f>_xlfn.XLOOKUP(tbl_main[[#This Row],[Service]],tbl_service[Service],tbl_service[Price],"")</f>
        <v>100</v>
      </c>
      <c r="L1577" s="3">
        <v>2</v>
      </c>
      <c r="M1577" s="3">
        <f>IF(AND(tbl_main[[#This Row],[Price]]="",tbl_main[[#This Row],[Qty]]=""),"",tbl_main[[#This Row],[Price]]*tbl_main[[#This Row],[Qty]])</f>
        <v>200</v>
      </c>
      <c r="N1577" s="3">
        <f>_xlfn.LET(_xlpm.x,_xlfn.XLOOKUP(tbl_main[[#This Row],[Service]],tbl_service[Service],tbl_service[Profit],""),
               IF(tbl_main[[#This Row],[Qty]]="","",_xlpm.x*tbl_main[[#This Row],[Qty]]))</f>
        <v>90</v>
      </c>
    </row>
    <row r="1578" spans="1:14" x14ac:dyDescent="0.25">
      <c r="A1578" t="s">
        <v>1620</v>
      </c>
      <c r="B1578" s="1">
        <v>46182</v>
      </c>
      <c r="C1578">
        <f>IF(tbl_main[[#This Row],[Date]]="","",YEAR(B1578))</f>
        <v>2026</v>
      </c>
      <c r="D1578" t="str">
        <f>IF(tbl_main[[#This Row],[Date]]="","",TEXT(B1578,"mmm"))</f>
        <v>Jun</v>
      </c>
      <c r="E1578" t="str">
        <f>IF(tbl_main[[#This Row],[Date]]="","",TEXT(B1578,"DDD"))</f>
        <v>Tue</v>
      </c>
      <c r="F1578" t="s">
        <v>27</v>
      </c>
      <c r="G1578" t="s">
        <v>40</v>
      </c>
      <c r="H1578" s="3" t="s">
        <v>18</v>
      </c>
      <c r="I1578" s="3" t="s">
        <v>35</v>
      </c>
      <c r="J1578" s="3" t="s">
        <v>17</v>
      </c>
      <c r="K1578" s="3">
        <f>_xlfn.XLOOKUP(tbl_main[[#This Row],[Service]],tbl_service[Service],tbl_service[Price],"")</f>
        <v>500</v>
      </c>
      <c r="L1578" s="3">
        <v>1</v>
      </c>
      <c r="M1578" s="3">
        <f>IF(AND(tbl_main[[#This Row],[Price]]="",tbl_main[[#This Row],[Qty]]=""),"",tbl_main[[#This Row],[Price]]*tbl_main[[#This Row],[Qty]])</f>
        <v>500</v>
      </c>
      <c r="N1578" s="3">
        <f>_xlfn.LET(_xlpm.x,_xlfn.XLOOKUP(tbl_main[[#This Row],[Service]],tbl_service[Service],tbl_service[Profit],""),
               IF(tbl_main[[#This Row],[Qty]]="","",_xlpm.x*tbl_main[[#This Row],[Qty]]))</f>
        <v>157</v>
      </c>
    </row>
    <row r="1579" spans="1:14" x14ac:dyDescent="0.25">
      <c r="A1579" t="s">
        <v>1621</v>
      </c>
      <c r="B1579" s="1">
        <v>46182</v>
      </c>
      <c r="C1579">
        <f>IF(tbl_main[[#This Row],[Date]]="","",YEAR(B1579))</f>
        <v>2026</v>
      </c>
      <c r="D1579" t="str">
        <f>IF(tbl_main[[#This Row],[Date]]="","",TEXT(B1579,"mmm"))</f>
        <v>Jun</v>
      </c>
      <c r="E1579" t="str">
        <f>IF(tbl_main[[#This Row],[Date]]="","",TEXT(B1579,"DDD"))</f>
        <v>Tue</v>
      </c>
      <c r="F1579" t="s">
        <v>13</v>
      </c>
      <c r="G1579" t="s">
        <v>14</v>
      </c>
      <c r="H1579" s="3" t="s">
        <v>18</v>
      </c>
      <c r="I1579" s="3" t="s">
        <v>23</v>
      </c>
      <c r="J1579" s="3" t="s">
        <v>32</v>
      </c>
      <c r="K1579" s="3">
        <f>_xlfn.XLOOKUP(tbl_main[[#This Row],[Service]],tbl_service[Service],tbl_service[Price],"")</f>
        <v>500</v>
      </c>
      <c r="L1579" s="3">
        <v>1</v>
      </c>
      <c r="M1579" s="3">
        <f>IF(AND(tbl_main[[#This Row],[Price]]="",tbl_main[[#This Row],[Qty]]=""),"",tbl_main[[#This Row],[Price]]*tbl_main[[#This Row],[Qty]])</f>
        <v>500</v>
      </c>
      <c r="N1579" s="3">
        <f>_xlfn.LET(_xlpm.x,_xlfn.XLOOKUP(tbl_main[[#This Row],[Service]],tbl_service[Service],tbl_service[Profit],""),
               IF(tbl_main[[#This Row],[Qty]]="","",_xlpm.x*tbl_main[[#This Row],[Qty]]))</f>
        <v>157</v>
      </c>
    </row>
    <row r="1580" spans="1:14" x14ac:dyDescent="0.25">
      <c r="A1580" t="s">
        <v>1622</v>
      </c>
      <c r="B1580" s="1">
        <v>46182</v>
      </c>
      <c r="C1580">
        <f>IF(tbl_main[[#This Row],[Date]]="","",YEAR(B1580))</f>
        <v>2026</v>
      </c>
      <c r="D1580" t="str">
        <f>IF(tbl_main[[#This Row],[Date]]="","",TEXT(B1580,"mmm"))</f>
        <v>Jun</v>
      </c>
      <c r="E1580" t="str">
        <f>IF(tbl_main[[#This Row],[Date]]="","",TEXT(B1580,"DDD"))</f>
        <v>Tue</v>
      </c>
      <c r="F1580" t="s">
        <v>13</v>
      </c>
      <c r="G1580" t="s">
        <v>14</v>
      </c>
      <c r="H1580" s="3" t="s">
        <v>22</v>
      </c>
      <c r="I1580" s="3" t="s">
        <v>37</v>
      </c>
      <c r="J1580" s="3" t="s">
        <v>32</v>
      </c>
      <c r="K1580" s="3">
        <f>_xlfn.XLOOKUP(tbl_main[[#This Row],[Service]],tbl_service[Service],tbl_service[Price],"")</f>
        <v>150</v>
      </c>
      <c r="L1580" s="3">
        <v>2</v>
      </c>
      <c r="M1580" s="3">
        <f>IF(AND(tbl_main[[#This Row],[Price]]="",tbl_main[[#This Row],[Qty]]=""),"",tbl_main[[#This Row],[Price]]*tbl_main[[#This Row],[Qty]])</f>
        <v>300</v>
      </c>
      <c r="N1580" s="3">
        <f>_xlfn.LET(_xlpm.x,_xlfn.XLOOKUP(tbl_main[[#This Row],[Service]],tbl_service[Service],tbl_service[Profit],""),
               IF(tbl_main[[#This Row],[Qty]]="","",_xlpm.x*tbl_main[[#This Row],[Qty]]))</f>
        <v>134</v>
      </c>
    </row>
    <row r="1581" spans="1:14" x14ac:dyDescent="0.25">
      <c r="A1581" t="s">
        <v>1623</v>
      </c>
      <c r="B1581" s="1">
        <v>46182</v>
      </c>
      <c r="C1581">
        <f>IF(tbl_main[[#This Row],[Date]]="","",YEAR(B1581))</f>
        <v>2026</v>
      </c>
      <c r="D1581" t="str">
        <f>IF(tbl_main[[#This Row],[Date]]="","",TEXT(B1581,"mmm"))</f>
        <v>Jun</v>
      </c>
      <c r="E1581" t="str">
        <f>IF(tbl_main[[#This Row],[Date]]="","",TEXT(B1581,"DDD"))</f>
        <v>Tue</v>
      </c>
      <c r="F1581" t="s">
        <v>20</v>
      </c>
      <c r="G1581" t="s">
        <v>29</v>
      </c>
      <c r="H1581" s="3" t="s">
        <v>24</v>
      </c>
      <c r="I1581" s="3" t="s">
        <v>38</v>
      </c>
      <c r="J1581" s="3" t="s">
        <v>32</v>
      </c>
      <c r="K1581" s="3">
        <f>_xlfn.XLOOKUP(tbl_main[[#This Row],[Service]],tbl_service[Service],tbl_service[Price],"")</f>
        <v>80</v>
      </c>
      <c r="L1581" s="3">
        <v>2</v>
      </c>
      <c r="M1581" s="3">
        <f>IF(AND(tbl_main[[#This Row],[Price]]="",tbl_main[[#This Row],[Qty]]=""),"",tbl_main[[#This Row],[Price]]*tbl_main[[#This Row],[Qty]])</f>
        <v>160</v>
      </c>
      <c r="N1581" s="3">
        <f>_xlfn.LET(_xlpm.x,_xlfn.XLOOKUP(tbl_main[[#This Row],[Service]],tbl_service[Service],tbl_service[Profit],""),
               IF(tbl_main[[#This Row],[Qty]]="","",_xlpm.x*tbl_main[[#This Row],[Qty]]))</f>
        <v>72</v>
      </c>
    </row>
    <row r="1582" spans="1:14" x14ac:dyDescent="0.25">
      <c r="A1582" t="s">
        <v>1624</v>
      </c>
      <c r="B1582" s="1">
        <v>46183</v>
      </c>
      <c r="C1582">
        <f>IF(tbl_main[[#This Row],[Date]]="","",YEAR(B1582))</f>
        <v>2026</v>
      </c>
      <c r="D1582" t="str">
        <f>IF(tbl_main[[#This Row],[Date]]="","",TEXT(B1582,"mmm"))</f>
        <v>Jun</v>
      </c>
      <c r="E1582" t="str">
        <f>IF(tbl_main[[#This Row],[Date]]="","",TEXT(B1582,"DDD"))</f>
        <v>Wed</v>
      </c>
      <c r="F1582" t="s">
        <v>20</v>
      </c>
      <c r="G1582" t="s">
        <v>21</v>
      </c>
      <c r="H1582" s="3" t="s">
        <v>24</v>
      </c>
      <c r="I1582" s="3" t="s">
        <v>16</v>
      </c>
      <c r="J1582" s="3" t="s">
        <v>25</v>
      </c>
      <c r="K1582" s="3">
        <f>_xlfn.XLOOKUP(tbl_main[[#This Row],[Service]],tbl_service[Service],tbl_service[Price],"")</f>
        <v>80</v>
      </c>
      <c r="L1582" s="3">
        <v>1</v>
      </c>
      <c r="M1582" s="3">
        <f>IF(AND(tbl_main[[#This Row],[Price]]="",tbl_main[[#This Row],[Qty]]=""),"",tbl_main[[#This Row],[Price]]*tbl_main[[#This Row],[Qty]])</f>
        <v>80</v>
      </c>
      <c r="N1582" s="3">
        <f>_xlfn.LET(_xlpm.x,_xlfn.XLOOKUP(tbl_main[[#This Row],[Service]],tbl_service[Service],tbl_service[Profit],""),
               IF(tbl_main[[#This Row],[Qty]]="","",_xlpm.x*tbl_main[[#This Row],[Qty]]))</f>
        <v>36</v>
      </c>
    </row>
    <row r="1583" spans="1:14" x14ac:dyDescent="0.25">
      <c r="A1583" t="s">
        <v>1625</v>
      </c>
      <c r="B1583" s="1">
        <v>46183</v>
      </c>
      <c r="C1583">
        <f>IF(tbl_main[[#This Row],[Date]]="","",YEAR(B1583))</f>
        <v>2026</v>
      </c>
      <c r="D1583" t="str">
        <f>IF(tbl_main[[#This Row],[Date]]="","",TEXT(B1583,"mmm"))</f>
        <v>Jun</v>
      </c>
      <c r="E1583" t="str">
        <f>IF(tbl_main[[#This Row],[Date]]="","",TEXT(B1583,"DDD"))</f>
        <v>Wed</v>
      </c>
      <c r="F1583" t="s">
        <v>30</v>
      </c>
      <c r="G1583" t="s">
        <v>31</v>
      </c>
      <c r="H1583" s="3" t="s">
        <v>22</v>
      </c>
      <c r="I1583" s="3" t="s">
        <v>19</v>
      </c>
      <c r="J1583" s="3" t="s">
        <v>32</v>
      </c>
      <c r="K1583" s="3">
        <f>_xlfn.XLOOKUP(tbl_main[[#This Row],[Service]],tbl_service[Service],tbl_service[Price],"")</f>
        <v>150</v>
      </c>
      <c r="L1583" s="3">
        <v>2</v>
      </c>
      <c r="M1583" s="3">
        <f>IF(AND(tbl_main[[#This Row],[Price]]="",tbl_main[[#This Row],[Qty]]=""),"",tbl_main[[#This Row],[Price]]*tbl_main[[#This Row],[Qty]])</f>
        <v>300</v>
      </c>
      <c r="N1583" s="3">
        <f>_xlfn.LET(_xlpm.x,_xlfn.XLOOKUP(tbl_main[[#This Row],[Service]],tbl_service[Service],tbl_service[Profit],""),
               IF(tbl_main[[#This Row],[Qty]]="","",_xlpm.x*tbl_main[[#This Row],[Qty]]))</f>
        <v>134</v>
      </c>
    </row>
    <row r="1584" spans="1:14" x14ac:dyDescent="0.25">
      <c r="A1584" t="s">
        <v>1626</v>
      </c>
      <c r="B1584" s="1">
        <v>46184</v>
      </c>
      <c r="C1584">
        <f>IF(tbl_main[[#This Row],[Date]]="","",YEAR(B1584))</f>
        <v>2026</v>
      </c>
      <c r="D1584" t="str">
        <f>IF(tbl_main[[#This Row],[Date]]="","",TEXT(B1584,"mmm"))</f>
        <v>Jun</v>
      </c>
      <c r="E1584" t="str">
        <f>IF(tbl_main[[#This Row],[Date]]="","",TEXT(B1584,"DDD"))</f>
        <v>Thu</v>
      </c>
      <c r="F1584" t="s">
        <v>13</v>
      </c>
      <c r="G1584" t="s">
        <v>33</v>
      </c>
      <c r="H1584" s="3" t="s">
        <v>18</v>
      </c>
      <c r="I1584" s="3" t="s">
        <v>43</v>
      </c>
      <c r="J1584" s="3" t="s">
        <v>17</v>
      </c>
      <c r="K1584" s="3">
        <f>_xlfn.XLOOKUP(tbl_main[[#This Row],[Service]],tbl_service[Service],tbl_service[Price],"")</f>
        <v>500</v>
      </c>
      <c r="L1584" s="3">
        <v>1</v>
      </c>
      <c r="M1584" s="3">
        <f>IF(AND(tbl_main[[#This Row],[Price]]="",tbl_main[[#This Row],[Qty]]=""),"",tbl_main[[#This Row],[Price]]*tbl_main[[#This Row],[Qty]])</f>
        <v>500</v>
      </c>
      <c r="N1584" s="3">
        <f>_xlfn.LET(_xlpm.x,_xlfn.XLOOKUP(tbl_main[[#This Row],[Service]],tbl_service[Service],tbl_service[Profit],""),
               IF(tbl_main[[#This Row],[Qty]]="","",_xlpm.x*tbl_main[[#This Row],[Qty]]))</f>
        <v>157</v>
      </c>
    </row>
    <row r="1585" spans="1:14" x14ac:dyDescent="0.25">
      <c r="A1585" t="s">
        <v>1627</v>
      </c>
      <c r="B1585" s="1">
        <v>46184</v>
      </c>
      <c r="C1585">
        <f>IF(tbl_main[[#This Row],[Date]]="","",YEAR(B1585))</f>
        <v>2026</v>
      </c>
      <c r="D1585" t="str">
        <f>IF(tbl_main[[#This Row],[Date]]="","",TEXT(B1585,"mmm"))</f>
        <v>Jun</v>
      </c>
      <c r="E1585" t="str">
        <f>IF(tbl_main[[#This Row],[Date]]="","",TEXT(B1585,"DDD"))</f>
        <v>Thu</v>
      </c>
      <c r="F1585" t="s">
        <v>20</v>
      </c>
      <c r="G1585" t="s">
        <v>39</v>
      </c>
      <c r="H1585" s="3" t="s">
        <v>22</v>
      </c>
      <c r="I1585" s="3" t="s">
        <v>41</v>
      </c>
      <c r="J1585" s="3" t="s">
        <v>25</v>
      </c>
      <c r="K1585" s="3">
        <f>_xlfn.XLOOKUP(tbl_main[[#This Row],[Service]],tbl_service[Service],tbl_service[Price],"")</f>
        <v>150</v>
      </c>
      <c r="L1585" s="3">
        <v>1</v>
      </c>
      <c r="M1585" s="3">
        <f>IF(AND(tbl_main[[#This Row],[Price]]="",tbl_main[[#This Row],[Qty]]=""),"",tbl_main[[#This Row],[Price]]*tbl_main[[#This Row],[Qty]])</f>
        <v>150</v>
      </c>
      <c r="N1585" s="3">
        <f>_xlfn.LET(_xlpm.x,_xlfn.XLOOKUP(tbl_main[[#This Row],[Service]],tbl_service[Service],tbl_service[Profit],""),
               IF(tbl_main[[#This Row],[Qty]]="","",_xlpm.x*tbl_main[[#This Row],[Qty]]))</f>
        <v>67</v>
      </c>
    </row>
    <row r="1586" spans="1:14" x14ac:dyDescent="0.25">
      <c r="A1586" t="s">
        <v>1628</v>
      </c>
      <c r="B1586" s="1">
        <v>46185</v>
      </c>
      <c r="C1586">
        <f>IF(tbl_main[[#This Row],[Date]]="","",YEAR(B1586))</f>
        <v>2026</v>
      </c>
      <c r="D1586" t="str">
        <f>IF(tbl_main[[#This Row],[Date]]="","",TEXT(B1586,"mmm"))</f>
        <v>Jun</v>
      </c>
      <c r="E1586" t="str">
        <f>IF(tbl_main[[#This Row],[Date]]="","",TEXT(B1586,"DDD"))</f>
        <v>Fri</v>
      </c>
      <c r="F1586" t="s">
        <v>30</v>
      </c>
      <c r="G1586" t="s">
        <v>36</v>
      </c>
      <c r="H1586" s="3" t="s">
        <v>34</v>
      </c>
      <c r="I1586" s="3" t="s">
        <v>41</v>
      </c>
      <c r="J1586" s="3" t="s">
        <v>32</v>
      </c>
      <c r="K1586" s="3">
        <f>_xlfn.XLOOKUP(tbl_main[[#This Row],[Service]],tbl_service[Service],tbl_service[Price],"")</f>
        <v>100</v>
      </c>
      <c r="L1586" s="3">
        <v>1</v>
      </c>
      <c r="M1586" s="3">
        <f>IF(AND(tbl_main[[#This Row],[Price]]="",tbl_main[[#This Row],[Qty]]=""),"",tbl_main[[#This Row],[Price]]*tbl_main[[#This Row],[Qty]])</f>
        <v>100</v>
      </c>
      <c r="N1586" s="3">
        <f>_xlfn.LET(_xlpm.x,_xlfn.XLOOKUP(tbl_main[[#This Row],[Service]],tbl_service[Service],tbl_service[Profit],""),
               IF(tbl_main[[#This Row],[Qty]]="","",_xlpm.x*tbl_main[[#This Row],[Qty]]))</f>
        <v>45</v>
      </c>
    </row>
    <row r="1587" spans="1:14" x14ac:dyDescent="0.25">
      <c r="A1587" t="s">
        <v>1629</v>
      </c>
      <c r="B1587" s="1">
        <v>46185</v>
      </c>
      <c r="C1587">
        <f>IF(tbl_main[[#This Row],[Date]]="","",YEAR(B1587))</f>
        <v>2026</v>
      </c>
      <c r="D1587" t="str">
        <f>IF(tbl_main[[#This Row],[Date]]="","",TEXT(B1587,"mmm"))</f>
        <v>Jun</v>
      </c>
      <c r="E1587" t="str">
        <f>IF(tbl_main[[#This Row],[Date]]="","",TEXT(B1587,"DDD"))</f>
        <v>Fri</v>
      </c>
      <c r="F1587" t="s">
        <v>13</v>
      </c>
      <c r="G1587" t="s">
        <v>33</v>
      </c>
      <c r="H1587" s="3" t="s">
        <v>22</v>
      </c>
      <c r="I1587" s="3" t="s">
        <v>35</v>
      </c>
      <c r="J1587" s="3" t="s">
        <v>25</v>
      </c>
      <c r="K1587" s="3">
        <f>_xlfn.XLOOKUP(tbl_main[[#This Row],[Service]],tbl_service[Service],tbl_service[Price],"")</f>
        <v>150</v>
      </c>
      <c r="L1587" s="3">
        <v>2</v>
      </c>
      <c r="M1587" s="3">
        <f>IF(AND(tbl_main[[#This Row],[Price]]="",tbl_main[[#This Row],[Qty]]=""),"",tbl_main[[#This Row],[Price]]*tbl_main[[#This Row],[Qty]])</f>
        <v>300</v>
      </c>
      <c r="N1587" s="3">
        <f>_xlfn.LET(_xlpm.x,_xlfn.XLOOKUP(tbl_main[[#This Row],[Service]],tbl_service[Service],tbl_service[Profit],""),
               IF(tbl_main[[#This Row],[Qty]]="","",_xlpm.x*tbl_main[[#This Row],[Qty]]))</f>
        <v>134</v>
      </c>
    </row>
    <row r="1588" spans="1:14" x14ac:dyDescent="0.25">
      <c r="A1588" t="s">
        <v>1630</v>
      </c>
      <c r="B1588" s="1">
        <v>46185</v>
      </c>
      <c r="C1588">
        <f>IF(tbl_main[[#This Row],[Date]]="","",YEAR(B1588))</f>
        <v>2026</v>
      </c>
      <c r="D1588" t="str">
        <f>IF(tbl_main[[#This Row],[Date]]="","",TEXT(B1588,"mmm"))</f>
        <v>Jun</v>
      </c>
      <c r="E1588" t="str">
        <f>IF(tbl_main[[#This Row],[Date]]="","",TEXT(B1588,"DDD"))</f>
        <v>Fri</v>
      </c>
      <c r="F1588" t="s">
        <v>20</v>
      </c>
      <c r="G1588" t="s">
        <v>39</v>
      </c>
      <c r="H1588" s="3" t="s">
        <v>22</v>
      </c>
      <c r="I1588" s="3" t="s">
        <v>35</v>
      </c>
      <c r="J1588" s="3" t="s">
        <v>17</v>
      </c>
      <c r="K1588" s="3">
        <f>_xlfn.XLOOKUP(tbl_main[[#This Row],[Service]],tbl_service[Service],tbl_service[Price],"")</f>
        <v>150</v>
      </c>
      <c r="L1588" s="3">
        <v>2</v>
      </c>
      <c r="M1588" s="3">
        <f>IF(AND(tbl_main[[#This Row],[Price]]="",tbl_main[[#This Row],[Qty]]=""),"",tbl_main[[#This Row],[Price]]*tbl_main[[#This Row],[Qty]])</f>
        <v>300</v>
      </c>
      <c r="N1588" s="3">
        <f>_xlfn.LET(_xlpm.x,_xlfn.XLOOKUP(tbl_main[[#This Row],[Service]],tbl_service[Service],tbl_service[Profit],""),
               IF(tbl_main[[#This Row],[Qty]]="","",_xlpm.x*tbl_main[[#This Row],[Qty]]))</f>
        <v>134</v>
      </c>
    </row>
    <row r="1589" spans="1:14" x14ac:dyDescent="0.25">
      <c r="A1589" t="s">
        <v>1631</v>
      </c>
      <c r="B1589" s="1">
        <v>46185</v>
      </c>
      <c r="C1589">
        <f>IF(tbl_main[[#This Row],[Date]]="","",YEAR(B1589))</f>
        <v>2026</v>
      </c>
      <c r="D1589" t="str">
        <f>IF(tbl_main[[#This Row],[Date]]="","",TEXT(B1589,"mmm"))</f>
        <v>Jun</v>
      </c>
      <c r="E1589" t="str">
        <f>IF(tbl_main[[#This Row],[Date]]="","",TEXT(B1589,"DDD"))</f>
        <v>Fri</v>
      </c>
      <c r="F1589" t="s">
        <v>20</v>
      </c>
      <c r="G1589" t="s">
        <v>39</v>
      </c>
      <c r="H1589" s="3" t="s">
        <v>34</v>
      </c>
      <c r="I1589" s="3" t="s">
        <v>23</v>
      </c>
      <c r="J1589" s="3" t="s">
        <v>17</v>
      </c>
      <c r="K1589" s="3">
        <f>_xlfn.XLOOKUP(tbl_main[[#This Row],[Service]],tbl_service[Service],tbl_service[Price],"")</f>
        <v>100</v>
      </c>
      <c r="L1589" s="3">
        <v>1</v>
      </c>
      <c r="M1589" s="3">
        <f>IF(AND(tbl_main[[#This Row],[Price]]="",tbl_main[[#This Row],[Qty]]=""),"",tbl_main[[#This Row],[Price]]*tbl_main[[#This Row],[Qty]])</f>
        <v>100</v>
      </c>
      <c r="N1589" s="3">
        <f>_xlfn.LET(_xlpm.x,_xlfn.XLOOKUP(tbl_main[[#This Row],[Service]],tbl_service[Service],tbl_service[Profit],""),
               IF(tbl_main[[#This Row],[Qty]]="","",_xlpm.x*tbl_main[[#This Row],[Qty]]))</f>
        <v>45</v>
      </c>
    </row>
    <row r="1590" spans="1:14" x14ac:dyDescent="0.25">
      <c r="A1590" t="s">
        <v>1632</v>
      </c>
      <c r="B1590" s="1">
        <v>46186</v>
      </c>
      <c r="C1590">
        <f>IF(tbl_main[[#This Row],[Date]]="","",YEAR(B1590))</f>
        <v>2026</v>
      </c>
      <c r="D1590" t="str">
        <f>IF(tbl_main[[#This Row],[Date]]="","",TEXT(B1590,"mmm"))</f>
        <v>Jun</v>
      </c>
      <c r="E1590" t="str">
        <f>IF(tbl_main[[#This Row],[Date]]="","",TEXT(B1590,"DDD"))</f>
        <v>Sat</v>
      </c>
      <c r="F1590" t="s">
        <v>30</v>
      </c>
      <c r="G1590" t="s">
        <v>36</v>
      </c>
      <c r="H1590" s="3" t="s">
        <v>34</v>
      </c>
      <c r="I1590" s="3" t="s">
        <v>37</v>
      </c>
      <c r="J1590" s="3" t="s">
        <v>25</v>
      </c>
      <c r="K1590" s="3">
        <f>_xlfn.XLOOKUP(tbl_main[[#This Row],[Service]],tbl_service[Service],tbl_service[Price],"")</f>
        <v>100</v>
      </c>
      <c r="L1590" s="3">
        <v>1</v>
      </c>
      <c r="M1590" s="3">
        <f>IF(AND(tbl_main[[#This Row],[Price]]="",tbl_main[[#This Row],[Qty]]=""),"",tbl_main[[#This Row],[Price]]*tbl_main[[#This Row],[Qty]])</f>
        <v>100</v>
      </c>
      <c r="N1590" s="3">
        <f>_xlfn.LET(_xlpm.x,_xlfn.XLOOKUP(tbl_main[[#This Row],[Service]],tbl_service[Service],tbl_service[Profit],""),
               IF(tbl_main[[#This Row],[Qty]]="","",_xlpm.x*tbl_main[[#This Row],[Qty]]))</f>
        <v>45</v>
      </c>
    </row>
    <row r="1591" spans="1:14" x14ac:dyDescent="0.25">
      <c r="A1591" t="s">
        <v>1633</v>
      </c>
      <c r="B1591" s="1">
        <v>46186</v>
      </c>
      <c r="C1591">
        <f>IF(tbl_main[[#This Row],[Date]]="","",YEAR(B1591))</f>
        <v>2026</v>
      </c>
      <c r="D1591" t="str">
        <f>IF(tbl_main[[#This Row],[Date]]="","",TEXT(B1591,"mmm"))</f>
        <v>Jun</v>
      </c>
      <c r="E1591" t="str">
        <f>IF(tbl_main[[#This Row],[Date]]="","",TEXT(B1591,"DDD"))</f>
        <v>Sat</v>
      </c>
      <c r="F1591" t="s">
        <v>27</v>
      </c>
      <c r="G1591" t="s">
        <v>40</v>
      </c>
      <c r="H1591" s="3" t="s">
        <v>24</v>
      </c>
      <c r="I1591" s="3" t="s">
        <v>38</v>
      </c>
      <c r="J1591" s="3" t="s">
        <v>32</v>
      </c>
      <c r="K1591" s="3">
        <f>_xlfn.XLOOKUP(tbl_main[[#This Row],[Service]],tbl_service[Service],tbl_service[Price],"")</f>
        <v>80</v>
      </c>
      <c r="L1591" s="3">
        <v>1</v>
      </c>
      <c r="M1591" s="3">
        <f>IF(AND(tbl_main[[#This Row],[Price]]="",tbl_main[[#This Row],[Qty]]=""),"",tbl_main[[#This Row],[Price]]*tbl_main[[#This Row],[Qty]])</f>
        <v>80</v>
      </c>
      <c r="N1591" s="3">
        <f>_xlfn.LET(_xlpm.x,_xlfn.XLOOKUP(tbl_main[[#This Row],[Service]],tbl_service[Service],tbl_service[Profit],""),
               IF(tbl_main[[#This Row],[Qty]]="","",_xlpm.x*tbl_main[[#This Row],[Qty]]))</f>
        <v>36</v>
      </c>
    </row>
    <row r="1592" spans="1:14" x14ac:dyDescent="0.25">
      <c r="A1592" t="s">
        <v>1634</v>
      </c>
      <c r="B1592" s="1">
        <v>46186</v>
      </c>
      <c r="C1592">
        <f>IF(tbl_main[[#This Row],[Date]]="","",YEAR(B1592))</f>
        <v>2026</v>
      </c>
      <c r="D1592" t="str">
        <f>IF(tbl_main[[#This Row],[Date]]="","",TEXT(B1592,"mmm"))</f>
        <v>Jun</v>
      </c>
      <c r="E1592" t="str">
        <f>IF(tbl_main[[#This Row],[Date]]="","",TEXT(B1592,"DDD"))</f>
        <v>Sat</v>
      </c>
      <c r="F1592" t="s">
        <v>27</v>
      </c>
      <c r="G1592" t="s">
        <v>28</v>
      </c>
      <c r="H1592" s="3" t="s">
        <v>24</v>
      </c>
      <c r="I1592" s="3" t="s">
        <v>16</v>
      </c>
      <c r="J1592" s="3" t="s">
        <v>25</v>
      </c>
      <c r="K1592" s="3">
        <f>_xlfn.XLOOKUP(tbl_main[[#This Row],[Service]],tbl_service[Service],tbl_service[Price],"")</f>
        <v>80</v>
      </c>
      <c r="L1592" s="3">
        <v>1</v>
      </c>
      <c r="M1592" s="3">
        <f>IF(AND(tbl_main[[#This Row],[Price]]="",tbl_main[[#This Row],[Qty]]=""),"",tbl_main[[#This Row],[Price]]*tbl_main[[#This Row],[Qty]])</f>
        <v>80</v>
      </c>
      <c r="N1592" s="3">
        <f>_xlfn.LET(_xlpm.x,_xlfn.XLOOKUP(tbl_main[[#This Row],[Service]],tbl_service[Service],tbl_service[Profit],""),
               IF(tbl_main[[#This Row],[Qty]]="","",_xlpm.x*tbl_main[[#This Row],[Qty]]))</f>
        <v>36</v>
      </c>
    </row>
    <row r="1593" spans="1:14" x14ac:dyDescent="0.25">
      <c r="A1593" t="s">
        <v>1635</v>
      </c>
      <c r="B1593" s="1">
        <v>46187</v>
      </c>
      <c r="C1593">
        <f>IF(tbl_main[[#This Row],[Date]]="","",YEAR(B1593))</f>
        <v>2026</v>
      </c>
      <c r="D1593" t="str">
        <f>IF(tbl_main[[#This Row],[Date]]="","",TEXT(B1593,"mmm"))</f>
        <v>Jun</v>
      </c>
      <c r="E1593" t="str">
        <f>IF(tbl_main[[#This Row],[Date]]="","",TEXT(B1593,"DDD"))</f>
        <v>Sun</v>
      </c>
      <c r="F1593" t="s">
        <v>13</v>
      </c>
      <c r="G1593" t="s">
        <v>14</v>
      </c>
      <c r="H1593" s="3" t="s">
        <v>15</v>
      </c>
      <c r="I1593" s="3" t="s">
        <v>19</v>
      </c>
      <c r="J1593" s="3" t="s">
        <v>25</v>
      </c>
      <c r="K1593" s="3">
        <f>_xlfn.XLOOKUP(tbl_main[[#This Row],[Service]],tbl_service[Service],tbl_service[Price],"")</f>
        <v>500</v>
      </c>
      <c r="L1593" s="3">
        <v>2</v>
      </c>
      <c r="M1593" s="3">
        <f>IF(AND(tbl_main[[#This Row],[Price]]="",tbl_main[[#This Row],[Qty]]=""),"",tbl_main[[#This Row],[Price]]*tbl_main[[#This Row],[Qty]])</f>
        <v>1000</v>
      </c>
      <c r="N1593" s="3">
        <f>_xlfn.LET(_xlpm.x,_xlfn.XLOOKUP(tbl_main[[#This Row],[Service]],tbl_service[Service],tbl_service[Profit],""),
               IF(tbl_main[[#This Row],[Qty]]="","",_xlpm.x*tbl_main[[#This Row],[Qty]]))</f>
        <v>450</v>
      </c>
    </row>
    <row r="1594" spans="1:14" x14ac:dyDescent="0.25">
      <c r="A1594" t="s">
        <v>1636</v>
      </c>
      <c r="B1594" s="1">
        <v>46187</v>
      </c>
      <c r="C1594">
        <f>IF(tbl_main[[#This Row],[Date]]="","",YEAR(B1594))</f>
        <v>2026</v>
      </c>
      <c r="D1594" t="str">
        <f>IF(tbl_main[[#This Row],[Date]]="","",TEXT(B1594,"mmm"))</f>
        <v>Jun</v>
      </c>
      <c r="E1594" t="str">
        <f>IF(tbl_main[[#This Row],[Date]]="","",TEXT(B1594,"DDD"))</f>
        <v>Sun</v>
      </c>
      <c r="F1594" t="s">
        <v>20</v>
      </c>
      <c r="G1594" t="s">
        <v>21</v>
      </c>
      <c r="H1594" s="3" t="s">
        <v>22</v>
      </c>
      <c r="I1594" s="3" t="s">
        <v>43</v>
      </c>
      <c r="J1594" s="3" t="s">
        <v>17</v>
      </c>
      <c r="K1594" s="3">
        <f>_xlfn.XLOOKUP(tbl_main[[#This Row],[Service]],tbl_service[Service],tbl_service[Price],"")</f>
        <v>150</v>
      </c>
      <c r="L1594" s="3">
        <v>2</v>
      </c>
      <c r="M1594" s="3">
        <f>IF(AND(tbl_main[[#This Row],[Price]]="",tbl_main[[#This Row],[Qty]]=""),"",tbl_main[[#This Row],[Price]]*tbl_main[[#This Row],[Qty]])</f>
        <v>300</v>
      </c>
      <c r="N1594" s="3">
        <f>_xlfn.LET(_xlpm.x,_xlfn.XLOOKUP(tbl_main[[#This Row],[Service]],tbl_service[Service],tbl_service[Profit],""),
               IF(tbl_main[[#This Row],[Qty]]="","",_xlpm.x*tbl_main[[#This Row],[Qty]]))</f>
        <v>134</v>
      </c>
    </row>
    <row r="1595" spans="1:14" x14ac:dyDescent="0.25">
      <c r="A1595" t="s">
        <v>1637</v>
      </c>
      <c r="B1595" s="1">
        <v>46188</v>
      </c>
      <c r="C1595">
        <f>IF(tbl_main[[#This Row],[Date]]="","",YEAR(B1595))</f>
        <v>2026</v>
      </c>
      <c r="D1595" t="str">
        <f>IF(tbl_main[[#This Row],[Date]]="","",TEXT(B1595,"mmm"))</f>
        <v>Jun</v>
      </c>
      <c r="E1595" t="str">
        <f>IF(tbl_main[[#This Row],[Date]]="","",TEXT(B1595,"DDD"))</f>
        <v>Mon</v>
      </c>
      <c r="F1595" t="s">
        <v>20</v>
      </c>
      <c r="G1595" t="s">
        <v>39</v>
      </c>
      <c r="H1595" s="3" t="s">
        <v>34</v>
      </c>
      <c r="I1595" s="3" t="s">
        <v>41</v>
      </c>
      <c r="J1595" s="3" t="s">
        <v>25</v>
      </c>
      <c r="K1595" s="3">
        <f>_xlfn.XLOOKUP(tbl_main[[#This Row],[Service]],tbl_service[Service],tbl_service[Price],"")</f>
        <v>100</v>
      </c>
      <c r="L1595" s="3">
        <v>2</v>
      </c>
      <c r="M1595" s="3">
        <f>IF(AND(tbl_main[[#This Row],[Price]]="",tbl_main[[#This Row],[Qty]]=""),"",tbl_main[[#This Row],[Price]]*tbl_main[[#This Row],[Qty]])</f>
        <v>200</v>
      </c>
      <c r="N1595" s="3">
        <f>_xlfn.LET(_xlpm.x,_xlfn.XLOOKUP(tbl_main[[#This Row],[Service]],tbl_service[Service],tbl_service[Profit],""),
               IF(tbl_main[[#This Row],[Qty]]="","",_xlpm.x*tbl_main[[#This Row],[Qty]]))</f>
        <v>90</v>
      </c>
    </row>
    <row r="1596" spans="1:14" x14ac:dyDescent="0.25">
      <c r="A1596" t="s">
        <v>1638</v>
      </c>
      <c r="B1596" s="1">
        <v>46188</v>
      </c>
      <c r="C1596">
        <f>IF(tbl_main[[#This Row],[Date]]="","",YEAR(B1596))</f>
        <v>2026</v>
      </c>
      <c r="D1596" t="str">
        <f>IF(tbl_main[[#This Row],[Date]]="","",TEXT(B1596,"mmm"))</f>
        <v>Jun</v>
      </c>
      <c r="E1596" t="str">
        <f>IF(tbl_main[[#This Row],[Date]]="","",TEXT(B1596,"DDD"))</f>
        <v>Mon</v>
      </c>
      <c r="F1596" t="s">
        <v>20</v>
      </c>
      <c r="G1596" t="s">
        <v>39</v>
      </c>
      <c r="H1596" s="3" t="s">
        <v>18</v>
      </c>
      <c r="I1596" s="3" t="s">
        <v>41</v>
      </c>
      <c r="J1596" s="3" t="s">
        <v>32</v>
      </c>
      <c r="K1596" s="3">
        <f>_xlfn.XLOOKUP(tbl_main[[#This Row],[Service]],tbl_service[Service],tbl_service[Price],"")</f>
        <v>500</v>
      </c>
      <c r="L1596" s="3">
        <v>1</v>
      </c>
      <c r="M1596" s="3">
        <f>IF(AND(tbl_main[[#This Row],[Price]]="",tbl_main[[#This Row],[Qty]]=""),"",tbl_main[[#This Row],[Price]]*tbl_main[[#This Row],[Qty]])</f>
        <v>500</v>
      </c>
      <c r="N1596" s="3">
        <f>_xlfn.LET(_xlpm.x,_xlfn.XLOOKUP(tbl_main[[#This Row],[Service]],tbl_service[Service],tbl_service[Profit],""),
               IF(tbl_main[[#This Row],[Qty]]="","",_xlpm.x*tbl_main[[#This Row],[Qty]]))</f>
        <v>157</v>
      </c>
    </row>
    <row r="1597" spans="1:14" x14ac:dyDescent="0.25">
      <c r="A1597" t="s">
        <v>1639</v>
      </c>
      <c r="B1597" s="1">
        <v>46188</v>
      </c>
      <c r="C1597">
        <f>IF(tbl_main[[#This Row],[Date]]="","",YEAR(B1597))</f>
        <v>2026</v>
      </c>
      <c r="D1597" t="str">
        <f>IF(tbl_main[[#This Row],[Date]]="","",TEXT(B1597,"mmm"))</f>
        <v>Jun</v>
      </c>
      <c r="E1597" t="str">
        <f>IF(tbl_main[[#This Row],[Date]]="","",TEXT(B1597,"DDD"))</f>
        <v>Mon</v>
      </c>
      <c r="F1597" t="s">
        <v>13</v>
      </c>
      <c r="G1597" t="s">
        <v>33</v>
      </c>
      <c r="H1597" s="3" t="s">
        <v>24</v>
      </c>
      <c r="I1597" s="3" t="s">
        <v>35</v>
      </c>
      <c r="J1597" s="3" t="s">
        <v>17</v>
      </c>
      <c r="K1597" s="3">
        <f>_xlfn.XLOOKUP(tbl_main[[#This Row],[Service]],tbl_service[Service],tbl_service[Price],"")</f>
        <v>80</v>
      </c>
      <c r="L1597" s="3">
        <v>1</v>
      </c>
      <c r="M1597" s="3">
        <f>IF(AND(tbl_main[[#This Row],[Price]]="",tbl_main[[#This Row],[Qty]]=""),"",tbl_main[[#This Row],[Price]]*tbl_main[[#This Row],[Qty]])</f>
        <v>80</v>
      </c>
      <c r="N1597" s="3">
        <f>_xlfn.LET(_xlpm.x,_xlfn.XLOOKUP(tbl_main[[#This Row],[Service]],tbl_service[Service],tbl_service[Profit],""),
               IF(tbl_main[[#This Row],[Qty]]="","",_xlpm.x*tbl_main[[#This Row],[Qty]]))</f>
        <v>36</v>
      </c>
    </row>
    <row r="1598" spans="1:14" x14ac:dyDescent="0.25">
      <c r="A1598" t="s">
        <v>1640</v>
      </c>
      <c r="B1598" s="1">
        <v>46189</v>
      </c>
      <c r="C1598">
        <f>IF(tbl_main[[#This Row],[Date]]="","",YEAR(B1598))</f>
        <v>2026</v>
      </c>
      <c r="D1598" t="str">
        <f>IF(tbl_main[[#This Row],[Date]]="","",TEXT(B1598,"mmm"))</f>
        <v>Jun</v>
      </c>
      <c r="E1598" t="str">
        <f>IF(tbl_main[[#This Row],[Date]]="","",TEXT(B1598,"DDD"))</f>
        <v>Tue</v>
      </c>
      <c r="F1598" t="s">
        <v>27</v>
      </c>
      <c r="G1598" t="s">
        <v>28</v>
      </c>
      <c r="H1598" s="3" t="s">
        <v>22</v>
      </c>
      <c r="I1598" s="3" t="s">
        <v>35</v>
      </c>
      <c r="J1598" s="3" t="s">
        <v>17</v>
      </c>
      <c r="K1598" s="3">
        <f>_xlfn.XLOOKUP(tbl_main[[#This Row],[Service]],tbl_service[Service],tbl_service[Price],"")</f>
        <v>150</v>
      </c>
      <c r="L1598" s="3">
        <v>2</v>
      </c>
      <c r="M1598" s="3">
        <f>IF(AND(tbl_main[[#This Row],[Price]]="",tbl_main[[#This Row],[Qty]]=""),"",tbl_main[[#This Row],[Price]]*tbl_main[[#This Row],[Qty]])</f>
        <v>300</v>
      </c>
      <c r="N1598" s="3">
        <f>_xlfn.LET(_xlpm.x,_xlfn.XLOOKUP(tbl_main[[#This Row],[Service]],tbl_service[Service],tbl_service[Profit],""),
               IF(tbl_main[[#This Row],[Qty]]="","",_xlpm.x*tbl_main[[#This Row],[Qty]]))</f>
        <v>134</v>
      </c>
    </row>
    <row r="1599" spans="1:14" x14ac:dyDescent="0.25">
      <c r="A1599" t="s">
        <v>1641</v>
      </c>
      <c r="B1599" s="1">
        <v>46189</v>
      </c>
      <c r="C1599">
        <f>IF(tbl_main[[#This Row],[Date]]="","",YEAR(B1599))</f>
        <v>2026</v>
      </c>
      <c r="D1599" t="str">
        <f>IF(tbl_main[[#This Row],[Date]]="","",TEXT(B1599,"mmm"))</f>
        <v>Jun</v>
      </c>
      <c r="E1599" t="str">
        <f>IF(tbl_main[[#This Row],[Date]]="","",TEXT(B1599,"DDD"))</f>
        <v>Tue</v>
      </c>
      <c r="F1599" t="s">
        <v>30</v>
      </c>
      <c r="G1599" t="s">
        <v>36</v>
      </c>
      <c r="H1599" s="3" t="s">
        <v>18</v>
      </c>
      <c r="I1599" s="3" t="s">
        <v>23</v>
      </c>
      <c r="J1599" s="3" t="s">
        <v>17</v>
      </c>
      <c r="K1599" s="3">
        <f>_xlfn.XLOOKUP(tbl_main[[#This Row],[Service]],tbl_service[Service],tbl_service[Price],"")</f>
        <v>500</v>
      </c>
      <c r="L1599" s="3">
        <v>1</v>
      </c>
      <c r="M1599" s="3">
        <f>IF(AND(tbl_main[[#This Row],[Price]]="",tbl_main[[#This Row],[Qty]]=""),"",tbl_main[[#This Row],[Price]]*tbl_main[[#This Row],[Qty]])</f>
        <v>500</v>
      </c>
      <c r="N1599" s="3">
        <f>_xlfn.LET(_xlpm.x,_xlfn.XLOOKUP(tbl_main[[#This Row],[Service]],tbl_service[Service],tbl_service[Profit],""),
               IF(tbl_main[[#This Row],[Qty]]="","",_xlpm.x*tbl_main[[#This Row],[Qty]]))</f>
        <v>157</v>
      </c>
    </row>
    <row r="1600" spans="1:14" x14ac:dyDescent="0.25">
      <c r="A1600" t="s">
        <v>1642</v>
      </c>
      <c r="B1600" s="1">
        <v>46189</v>
      </c>
      <c r="C1600">
        <f>IF(tbl_main[[#This Row],[Date]]="","",YEAR(B1600))</f>
        <v>2026</v>
      </c>
      <c r="D1600" t="str">
        <f>IF(tbl_main[[#This Row],[Date]]="","",TEXT(B1600,"mmm"))</f>
        <v>Jun</v>
      </c>
      <c r="E1600" t="str">
        <f>IF(tbl_main[[#This Row],[Date]]="","",TEXT(B1600,"DDD"))</f>
        <v>Tue</v>
      </c>
      <c r="F1600" t="s">
        <v>20</v>
      </c>
      <c r="G1600" t="s">
        <v>21</v>
      </c>
      <c r="H1600" s="3" t="s">
        <v>15</v>
      </c>
      <c r="I1600" s="3" t="s">
        <v>37</v>
      </c>
      <c r="J1600" s="3" t="s">
        <v>32</v>
      </c>
      <c r="K1600" s="3">
        <f>_xlfn.XLOOKUP(tbl_main[[#This Row],[Service]],tbl_service[Service],tbl_service[Price],"")</f>
        <v>500</v>
      </c>
      <c r="L1600" s="3">
        <v>1</v>
      </c>
      <c r="M1600" s="3">
        <f>IF(AND(tbl_main[[#This Row],[Price]]="",tbl_main[[#This Row],[Qty]]=""),"",tbl_main[[#This Row],[Price]]*tbl_main[[#This Row],[Qty]])</f>
        <v>500</v>
      </c>
      <c r="N1600" s="3">
        <f>_xlfn.LET(_xlpm.x,_xlfn.XLOOKUP(tbl_main[[#This Row],[Service]],tbl_service[Service],tbl_service[Profit],""),
               IF(tbl_main[[#This Row],[Qty]]="","",_xlpm.x*tbl_main[[#This Row],[Qty]]))</f>
        <v>225</v>
      </c>
    </row>
    <row r="1601" spans="1:14" x14ac:dyDescent="0.25">
      <c r="A1601" t="s">
        <v>1643</v>
      </c>
      <c r="B1601" s="1">
        <v>46189</v>
      </c>
      <c r="C1601">
        <f>IF(tbl_main[[#This Row],[Date]]="","",YEAR(B1601))</f>
        <v>2026</v>
      </c>
      <c r="D1601" t="str">
        <f>IF(tbl_main[[#This Row],[Date]]="","",TEXT(B1601,"mmm"))</f>
        <v>Jun</v>
      </c>
      <c r="E1601" t="str">
        <f>IF(tbl_main[[#This Row],[Date]]="","",TEXT(B1601,"DDD"))</f>
        <v>Tue</v>
      </c>
      <c r="F1601" t="s">
        <v>27</v>
      </c>
      <c r="G1601" t="s">
        <v>40</v>
      </c>
      <c r="H1601" s="3" t="s">
        <v>34</v>
      </c>
      <c r="I1601" s="3" t="s">
        <v>38</v>
      </c>
      <c r="J1601" s="3" t="s">
        <v>32</v>
      </c>
      <c r="K1601" s="3">
        <f>_xlfn.XLOOKUP(tbl_main[[#This Row],[Service]],tbl_service[Service],tbl_service[Price],"")</f>
        <v>100</v>
      </c>
      <c r="L1601" s="3">
        <v>2</v>
      </c>
      <c r="M1601" s="3">
        <f>IF(AND(tbl_main[[#This Row],[Price]]="",tbl_main[[#This Row],[Qty]]=""),"",tbl_main[[#This Row],[Price]]*tbl_main[[#This Row],[Qty]])</f>
        <v>200</v>
      </c>
      <c r="N1601" s="3">
        <f>_xlfn.LET(_xlpm.x,_xlfn.XLOOKUP(tbl_main[[#This Row],[Service]],tbl_service[Service],tbl_service[Profit],""),
               IF(tbl_main[[#This Row],[Qty]]="","",_xlpm.x*tbl_main[[#This Row],[Qty]]))</f>
        <v>90</v>
      </c>
    </row>
    <row r="1602" spans="1:14" x14ac:dyDescent="0.25">
      <c r="A1602" t="s">
        <v>1644</v>
      </c>
      <c r="B1602" s="1">
        <v>46190</v>
      </c>
      <c r="C1602">
        <f>IF(tbl_main[[#This Row],[Date]]="","",YEAR(B1602))</f>
        <v>2026</v>
      </c>
      <c r="D1602" t="str">
        <f>IF(tbl_main[[#This Row],[Date]]="","",TEXT(B1602,"mmm"))</f>
        <v>Jun</v>
      </c>
      <c r="E1602" t="str">
        <f>IF(tbl_main[[#This Row],[Date]]="","",TEXT(B1602,"DDD"))</f>
        <v>Wed</v>
      </c>
      <c r="F1602" t="s">
        <v>13</v>
      </c>
      <c r="G1602" t="s">
        <v>14</v>
      </c>
      <c r="H1602" s="3" t="s">
        <v>15</v>
      </c>
      <c r="I1602" s="3" t="s">
        <v>16</v>
      </c>
      <c r="J1602" s="3" t="s">
        <v>32</v>
      </c>
      <c r="K1602" s="3">
        <f>_xlfn.XLOOKUP(tbl_main[[#This Row],[Service]],tbl_service[Service],tbl_service[Price],"")</f>
        <v>500</v>
      </c>
      <c r="L1602" s="3">
        <v>1</v>
      </c>
      <c r="M1602" s="3">
        <f>IF(AND(tbl_main[[#This Row],[Price]]="",tbl_main[[#This Row],[Qty]]=""),"",tbl_main[[#This Row],[Price]]*tbl_main[[#This Row],[Qty]])</f>
        <v>500</v>
      </c>
      <c r="N1602" s="3">
        <f>_xlfn.LET(_xlpm.x,_xlfn.XLOOKUP(tbl_main[[#This Row],[Service]],tbl_service[Service],tbl_service[Profit],""),
               IF(tbl_main[[#This Row],[Qty]]="","",_xlpm.x*tbl_main[[#This Row],[Qty]]))</f>
        <v>225</v>
      </c>
    </row>
    <row r="1603" spans="1:14" x14ac:dyDescent="0.25">
      <c r="A1603" t="s">
        <v>1645</v>
      </c>
      <c r="B1603" s="1">
        <v>46190</v>
      </c>
      <c r="C1603">
        <f>IF(tbl_main[[#This Row],[Date]]="","",YEAR(B1603))</f>
        <v>2026</v>
      </c>
      <c r="D1603" t="str">
        <f>IF(tbl_main[[#This Row],[Date]]="","",TEXT(B1603,"mmm"))</f>
        <v>Jun</v>
      </c>
      <c r="E1603" t="str">
        <f>IF(tbl_main[[#This Row],[Date]]="","",TEXT(B1603,"DDD"))</f>
        <v>Wed</v>
      </c>
      <c r="F1603" t="s">
        <v>27</v>
      </c>
      <c r="G1603" t="s">
        <v>40</v>
      </c>
      <c r="H1603" s="3" t="s">
        <v>24</v>
      </c>
      <c r="I1603" s="3" t="s">
        <v>19</v>
      </c>
      <c r="J1603" s="3" t="s">
        <v>32</v>
      </c>
      <c r="K1603" s="3">
        <f>_xlfn.XLOOKUP(tbl_main[[#This Row],[Service]],tbl_service[Service],tbl_service[Price],"")</f>
        <v>80</v>
      </c>
      <c r="L1603" s="3">
        <v>1</v>
      </c>
      <c r="M1603" s="3">
        <f>IF(AND(tbl_main[[#This Row],[Price]]="",tbl_main[[#This Row],[Qty]]=""),"",tbl_main[[#This Row],[Price]]*tbl_main[[#This Row],[Qty]])</f>
        <v>80</v>
      </c>
      <c r="N1603" s="3">
        <f>_xlfn.LET(_xlpm.x,_xlfn.XLOOKUP(tbl_main[[#This Row],[Service]],tbl_service[Service],tbl_service[Profit],""),
               IF(tbl_main[[#This Row],[Qty]]="","",_xlpm.x*tbl_main[[#This Row],[Qty]]))</f>
        <v>36</v>
      </c>
    </row>
    <row r="1604" spans="1:14" x14ac:dyDescent="0.25">
      <c r="A1604" t="s">
        <v>1646</v>
      </c>
      <c r="B1604" s="1">
        <v>46190</v>
      </c>
      <c r="C1604">
        <f>IF(tbl_main[[#This Row],[Date]]="","",YEAR(B1604))</f>
        <v>2026</v>
      </c>
      <c r="D1604" t="str">
        <f>IF(tbl_main[[#This Row],[Date]]="","",TEXT(B1604,"mmm"))</f>
        <v>Jun</v>
      </c>
      <c r="E1604" t="str">
        <f>IF(tbl_main[[#This Row],[Date]]="","",TEXT(B1604,"DDD"))</f>
        <v>Wed</v>
      </c>
      <c r="F1604" t="s">
        <v>27</v>
      </c>
      <c r="G1604" t="s">
        <v>40</v>
      </c>
      <c r="H1604" s="3" t="s">
        <v>18</v>
      </c>
      <c r="I1604" s="3" t="s">
        <v>43</v>
      </c>
      <c r="J1604" s="3" t="s">
        <v>25</v>
      </c>
      <c r="K1604" s="3">
        <f>_xlfn.XLOOKUP(tbl_main[[#This Row],[Service]],tbl_service[Service],tbl_service[Price],"")</f>
        <v>500</v>
      </c>
      <c r="L1604" s="3">
        <v>2</v>
      </c>
      <c r="M1604" s="3">
        <f>IF(AND(tbl_main[[#This Row],[Price]]="",tbl_main[[#This Row],[Qty]]=""),"",tbl_main[[#This Row],[Price]]*tbl_main[[#This Row],[Qty]])</f>
        <v>1000</v>
      </c>
      <c r="N1604" s="3">
        <f>_xlfn.LET(_xlpm.x,_xlfn.XLOOKUP(tbl_main[[#This Row],[Service]],tbl_service[Service],tbl_service[Profit],""),
               IF(tbl_main[[#This Row],[Qty]]="","",_xlpm.x*tbl_main[[#This Row],[Qty]]))</f>
        <v>314</v>
      </c>
    </row>
    <row r="1605" spans="1:14" x14ac:dyDescent="0.25">
      <c r="A1605" t="s">
        <v>1647</v>
      </c>
      <c r="B1605" s="1">
        <v>46190</v>
      </c>
      <c r="C1605">
        <f>IF(tbl_main[[#This Row],[Date]]="","",YEAR(B1605))</f>
        <v>2026</v>
      </c>
      <c r="D1605" t="str">
        <f>IF(tbl_main[[#This Row],[Date]]="","",TEXT(B1605,"mmm"))</f>
        <v>Jun</v>
      </c>
      <c r="E1605" t="str">
        <f>IF(tbl_main[[#This Row],[Date]]="","",TEXT(B1605,"DDD"))</f>
        <v>Wed</v>
      </c>
      <c r="F1605" t="s">
        <v>27</v>
      </c>
      <c r="G1605" t="s">
        <v>40</v>
      </c>
      <c r="H1605" s="3" t="s">
        <v>15</v>
      </c>
      <c r="I1605" s="3" t="s">
        <v>41</v>
      </c>
      <c r="J1605" s="3" t="s">
        <v>25</v>
      </c>
      <c r="K1605" s="3">
        <f>_xlfn.XLOOKUP(tbl_main[[#This Row],[Service]],tbl_service[Service],tbl_service[Price],"")</f>
        <v>500</v>
      </c>
      <c r="L1605" s="3">
        <v>1</v>
      </c>
      <c r="M1605" s="3">
        <f>IF(AND(tbl_main[[#This Row],[Price]]="",tbl_main[[#This Row],[Qty]]=""),"",tbl_main[[#This Row],[Price]]*tbl_main[[#This Row],[Qty]])</f>
        <v>500</v>
      </c>
      <c r="N1605" s="3">
        <f>_xlfn.LET(_xlpm.x,_xlfn.XLOOKUP(tbl_main[[#This Row],[Service]],tbl_service[Service],tbl_service[Profit],""),
               IF(tbl_main[[#This Row],[Qty]]="","",_xlpm.x*tbl_main[[#This Row],[Qty]]))</f>
        <v>225</v>
      </c>
    </row>
    <row r="1606" spans="1:14" x14ac:dyDescent="0.25">
      <c r="A1606" t="s">
        <v>1648</v>
      </c>
      <c r="B1606" s="1">
        <v>46191</v>
      </c>
      <c r="C1606">
        <f>IF(tbl_main[[#This Row],[Date]]="","",YEAR(B1606))</f>
        <v>2026</v>
      </c>
      <c r="D1606" t="str">
        <f>IF(tbl_main[[#This Row],[Date]]="","",TEXT(B1606,"mmm"))</f>
        <v>Jun</v>
      </c>
      <c r="E1606" t="str">
        <f>IF(tbl_main[[#This Row],[Date]]="","",TEXT(B1606,"DDD"))</f>
        <v>Thu</v>
      </c>
      <c r="F1606" t="s">
        <v>13</v>
      </c>
      <c r="G1606" t="s">
        <v>33</v>
      </c>
      <c r="H1606" s="3" t="s">
        <v>22</v>
      </c>
      <c r="I1606" s="3" t="s">
        <v>41</v>
      </c>
      <c r="J1606" s="3" t="s">
        <v>32</v>
      </c>
      <c r="K1606" s="3">
        <f>_xlfn.XLOOKUP(tbl_main[[#This Row],[Service]],tbl_service[Service],tbl_service[Price],"")</f>
        <v>150</v>
      </c>
      <c r="L1606" s="3">
        <v>1</v>
      </c>
      <c r="M1606" s="3">
        <f>IF(AND(tbl_main[[#This Row],[Price]]="",tbl_main[[#This Row],[Qty]]=""),"",tbl_main[[#This Row],[Price]]*tbl_main[[#This Row],[Qty]])</f>
        <v>150</v>
      </c>
      <c r="N1606" s="3">
        <f>_xlfn.LET(_xlpm.x,_xlfn.XLOOKUP(tbl_main[[#This Row],[Service]],tbl_service[Service],tbl_service[Profit],""),
               IF(tbl_main[[#This Row],[Qty]]="","",_xlpm.x*tbl_main[[#This Row],[Qty]]))</f>
        <v>67</v>
      </c>
    </row>
    <row r="1607" spans="1:14" x14ac:dyDescent="0.25">
      <c r="A1607" t="s">
        <v>1649</v>
      </c>
      <c r="B1607" s="1">
        <v>46191</v>
      </c>
      <c r="C1607">
        <f>IF(tbl_main[[#This Row],[Date]]="","",YEAR(B1607))</f>
        <v>2026</v>
      </c>
      <c r="D1607" t="str">
        <f>IF(tbl_main[[#This Row],[Date]]="","",TEXT(B1607,"mmm"))</f>
        <v>Jun</v>
      </c>
      <c r="E1607" t="str">
        <f>IF(tbl_main[[#This Row],[Date]]="","",TEXT(B1607,"DDD"))</f>
        <v>Thu</v>
      </c>
      <c r="F1607" t="s">
        <v>20</v>
      </c>
      <c r="G1607" t="s">
        <v>29</v>
      </c>
      <c r="H1607" s="3" t="s">
        <v>22</v>
      </c>
      <c r="I1607" s="3" t="s">
        <v>35</v>
      </c>
      <c r="J1607" s="3" t="s">
        <v>17</v>
      </c>
      <c r="K1607" s="3">
        <f>_xlfn.XLOOKUP(tbl_main[[#This Row],[Service]],tbl_service[Service],tbl_service[Price],"")</f>
        <v>150</v>
      </c>
      <c r="L1607" s="3">
        <v>1</v>
      </c>
      <c r="M1607" s="3">
        <f>IF(AND(tbl_main[[#This Row],[Price]]="",tbl_main[[#This Row],[Qty]]=""),"",tbl_main[[#This Row],[Price]]*tbl_main[[#This Row],[Qty]])</f>
        <v>150</v>
      </c>
      <c r="N1607" s="3">
        <f>_xlfn.LET(_xlpm.x,_xlfn.XLOOKUP(tbl_main[[#This Row],[Service]],tbl_service[Service],tbl_service[Profit],""),
               IF(tbl_main[[#This Row],[Qty]]="","",_xlpm.x*tbl_main[[#This Row],[Qty]]))</f>
        <v>67</v>
      </c>
    </row>
    <row r="1608" spans="1:14" x14ac:dyDescent="0.25">
      <c r="A1608" t="s">
        <v>1650</v>
      </c>
      <c r="B1608" s="1">
        <v>46192</v>
      </c>
      <c r="C1608">
        <f>IF(tbl_main[[#This Row],[Date]]="","",YEAR(B1608))</f>
        <v>2026</v>
      </c>
      <c r="D1608" t="str">
        <f>IF(tbl_main[[#This Row],[Date]]="","",TEXT(B1608,"mmm"))</f>
        <v>Jun</v>
      </c>
      <c r="E1608" t="str">
        <f>IF(tbl_main[[#This Row],[Date]]="","",TEXT(B1608,"DDD"))</f>
        <v>Fri</v>
      </c>
      <c r="F1608" t="s">
        <v>20</v>
      </c>
      <c r="G1608" t="s">
        <v>39</v>
      </c>
      <c r="H1608" s="3" t="s">
        <v>34</v>
      </c>
      <c r="I1608" s="3" t="s">
        <v>35</v>
      </c>
      <c r="J1608" s="3" t="s">
        <v>32</v>
      </c>
      <c r="K1608" s="3">
        <f>_xlfn.XLOOKUP(tbl_main[[#This Row],[Service]],tbl_service[Service],tbl_service[Price],"")</f>
        <v>100</v>
      </c>
      <c r="L1608" s="3">
        <v>1</v>
      </c>
      <c r="M1608" s="3">
        <f>IF(AND(tbl_main[[#This Row],[Price]]="",tbl_main[[#This Row],[Qty]]=""),"",tbl_main[[#This Row],[Price]]*tbl_main[[#This Row],[Qty]])</f>
        <v>100</v>
      </c>
      <c r="N1608" s="3">
        <f>_xlfn.LET(_xlpm.x,_xlfn.XLOOKUP(tbl_main[[#This Row],[Service]],tbl_service[Service],tbl_service[Profit],""),
               IF(tbl_main[[#This Row],[Qty]]="","",_xlpm.x*tbl_main[[#This Row],[Qty]]))</f>
        <v>45</v>
      </c>
    </row>
    <row r="1609" spans="1:14" x14ac:dyDescent="0.25">
      <c r="A1609" t="s">
        <v>1651</v>
      </c>
      <c r="B1609" s="1">
        <v>46192</v>
      </c>
      <c r="C1609">
        <f>IF(tbl_main[[#This Row],[Date]]="","",YEAR(B1609))</f>
        <v>2026</v>
      </c>
      <c r="D1609" t="str">
        <f>IF(tbl_main[[#This Row],[Date]]="","",TEXT(B1609,"mmm"))</f>
        <v>Jun</v>
      </c>
      <c r="E1609" t="str">
        <f>IF(tbl_main[[#This Row],[Date]]="","",TEXT(B1609,"DDD"))</f>
        <v>Fri</v>
      </c>
      <c r="F1609" t="s">
        <v>13</v>
      </c>
      <c r="G1609" t="s">
        <v>33</v>
      </c>
      <c r="H1609" s="3" t="s">
        <v>15</v>
      </c>
      <c r="I1609" s="3" t="s">
        <v>23</v>
      </c>
      <c r="J1609" s="3" t="s">
        <v>32</v>
      </c>
      <c r="K1609" s="3">
        <f>_xlfn.XLOOKUP(tbl_main[[#This Row],[Service]],tbl_service[Service],tbl_service[Price],"")</f>
        <v>500</v>
      </c>
      <c r="L1609" s="3">
        <v>1</v>
      </c>
      <c r="M1609" s="3">
        <f>IF(AND(tbl_main[[#This Row],[Price]]="",tbl_main[[#This Row],[Qty]]=""),"",tbl_main[[#This Row],[Price]]*tbl_main[[#This Row],[Qty]])</f>
        <v>500</v>
      </c>
      <c r="N1609" s="3">
        <f>_xlfn.LET(_xlpm.x,_xlfn.XLOOKUP(tbl_main[[#This Row],[Service]],tbl_service[Service],tbl_service[Profit],""),
               IF(tbl_main[[#This Row],[Qty]]="","",_xlpm.x*tbl_main[[#This Row],[Qty]]))</f>
        <v>225</v>
      </c>
    </row>
    <row r="1610" spans="1:14" x14ac:dyDescent="0.25">
      <c r="A1610" t="s">
        <v>1652</v>
      </c>
      <c r="B1610" s="1">
        <v>46192</v>
      </c>
      <c r="C1610">
        <f>IF(tbl_main[[#This Row],[Date]]="","",YEAR(B1610))</f>
        <v>2026</v>
      </c>
      <c r="D1610" t="str">
        <f>IF(tbl_main[[#This Row],[Date]]="","",TEXT(B1610,"mmm"))</f>
        <v>Jun</v>
      </c>
      <c r="E1610" t="str">
        <f>IF(tbl_main[[#This Row],[Date]]="","",TEXT(B1610,"DDD"))</f>
        <v>Fri</v>
      </c>
      <c r="F1610" t="s">
        <v>13</v>
      </c>
      <c r="G1610" t="s">
        <v>14</v>
      </c>
      <c r="H1610" s="3" t="s">
        <v>15</v>
      </c>
      <c r="I1610" s="3" t="s">
        <v>37</v>
      </c>
      <c r="J1610" s="3" t="s">
        <v>25</v>
      </c>
      <c r="K1610" s="3">
        <f>_xlfn.XLOOKUP(tbl_main[[#This Row],[Service]],tbl_service[Service],tbl_service[Price],"")</f>
        <v>500</v>
      </c>
      <c r="L1610" s="3">
        <v>1</v>
      </c>
      <c r="M1610" s="3">
        <f>IF(AND(tbl_main[[#This Row],[Price]]="",tbl_main[[#This Row],[Qty]]=""),"",tbl_main[[#This Row],[Price]]*tbl_main[[#This Row],[Qty]])</f>
        <v>500</v>
      </c>
      <c r="N1610" s="3">
        <f>_xlfn.LET(_xlpm.x,_xlfn.XLOOKUP(tbl_main[[#This Row],[Service]],tbl_service[Service],tbl_service[Profit],""),
               IF(tbl_main[[#This Row],[Qty]]="","",_xlpm.x*tbl_main[[#This Row],[Qty]]))</f>
        <v>225</v>
      </c>
    </row>
    <row r="1611" spans="1:14" x14ac:dyDescent="0.25">
      <c r="A1611" t="s">
        <v>1653</v>
      </c>
      <c r="B1611" s="1">
        <v>46192</v>
      </c>
      <c r="C1611">
        <f>IF(tbl_main[[#This Row],[Date]]="","",YEAR(B1611))</f>
        <v>2026</v>
      </c>
      <c r="D1611" t="str">
        <f>IF(tbl_main[[#This Row],[Date]]="","",TEXT(B1611,"mmm"))</f>
        <v>Jun</v>
      </c>
      <c r="E1611" t="str">
        <f>IF(tbl_main[[#This Row],[Date]]="","",TEXT(B1611,"DDD"))</f>
        <v>Fri</v>
      </c>
      <c r="F1611" t="s">
        <v>27</v>
      </c>
      <c r="G1611" t="s">
        <v>28</v>
      </c>
      <c r="H1611" s="3" t="s">
        <v>18</v>
      </c>
      <c r="I1611" s="3" t="s">
        <v>38</v>
      </c>
      <c r="J1611" s="3" t="s">
        <v>17</v>
      </c>
      <c r="K1611" s="3">
        <f>_xlfn.XLOOKUP(tbl_main[[#This Row],[Service]],tbl_service[Service],tbl_service[Price],"")</f>
        <v>500</v>
      </c>
      <c r="L1611" s="3">
        <v>1</v>
      </c>
      <c r="M1611" s="3">
        <f>IF(AND(tbl_main[[#This Row],[Price]]="",tbl_main[[#This Row],[Qty]]=""),"",tbl_main[[#This Row],[Price]]*tbl_main[[#This Row],[Qty]])</f>
        <v>500</v>
      </c>
      <c r="N1611" s="3">
        <f>_xlfn.LET(_xlpm.x,_xlfn.XLOOKUP(tbl_main[[#This Row],[Service]],tbl_service[Service],tbl_service[Profit],""),
               IF(tbl_main[[#This Row],[Qty]]="","",_xlpm.x*tbl_main[[#This Row],[Qty]]))</f>
        <v>157</v>
      </c>
    </row>
    <row r="1612" spans="1:14" x14ac:dyDescent="0.25">
      <c r="A1612" t="s">
        <v>1654</v>
      </c>
      <c r="B1612" s="1">
        <v>46193</v>
      </c>
      <c r="C1612">
        <f>IF(tbl_main[[#This Row],[Date]]="","",YEAR(B1612))</f>
        <v>2026</v>
      </c>
      <c r="D1612" t="str">
        <f>IF(tbl_main[[#This Row],[Date]]="","",TEXT(B1612,"mmm"))</f>
        <v>Jun</v>
      </c>
      <c r="E1612" t="str">
        <f>IF(tbl_main[[#This Row],[Date]]="","",TEXT(B1612,"DDD"))</f>
        <v>Sat</v>
      </c>
      <c r="F1612" t="s">
        <v>30</v>
      </c>
      <c r="G1612" t="s">
        <v>36</v>
      </c>
      <c r="H1612" s="3" t="s">
        <v>34</v>
      </c>
      <c r="I1612" s="3" t="s">
        <v>16</v>
      </c>
      <c r="J1612" s="3" t="s">
        <v>32</v>
      </c>
      <c r="K1612" s="3">
        <f>_xlfn.XLOOKUP(tbl_main[[#This Row],[Service]],tbl_service[Service],tbl_service[Price],"")</f>
        <v>100</v>
      </c>
      <c r="L1612" s="3">
        <v>2</v>
      </c>
      <c r="M1612" s="3">
        <f>IF(AND(tbl_main[[#This Row],[Price]]="",tbl_main[[#This Row],[Qty]]=""),"",tbl_main[[#This Row],[Price]]*tbl_main[[#This Row],[Qty]])</f>
        <v>200</v>
      </c>
      <c r="N1612" s="3">
        <f>_xlfn.LET(_xlpm.x,_xlfn.XLOOKUP(tbl_main[[#This Row],[Service]],tbl_service[Service],tbl_service[Profit],""),
               IF(tbl_main[[#This Row],[Qty]]="","",_xlpm.x*tbl_main[[#This Row],[Qty]]))</f>
        <v>90</v>
      </c>
    </row>
    <row r="1613" spans="1:14" x14ac:dyDescent="0.25">
      <c r="A1613" t="s">
        <v>1655</v>
      </c>
      <c r="B1613" s="1">
        <v>46193</v>
      </c>
      <c r="C1613">
        <f>IF(tbl_main[[#This Row],[Date]]="","",YEAR(B1613))</f>
        <v>2026</v>
      </c>
      <c r="D1613" t="str">
        <f>IF(tbl_main[[#This Row],[Date]]="","",TEXT(B1613,"mmm"))</f>
        <v>Jun</v>
      </c>
      <c r="E1613" t="str">
        <f>IF(tbl_main[[#This Row],[Date]]="","",TEXT(B1613,"DDD"))</f>
        <v>Sat</v>
      </c>
      <c r="F1613" t="s">
        <v>13</v>
      </c>
      <c r="G1613" t="s">
        <v>33</v>
      </c>
      <c r="H1613" s="3" t="s">
        <v>34</v>
      </c>
      <c r="I1613" s="3" t="s">
        <v>19</v>
      </c>
      <c r="J1613" s="3" t="s">
        <v>32</v>
      </c>
      <c r="K1613" s="3">
        <f>_xlfn.XLOOKUP(tbl_main[[#This Row],[Service]],tbl_service[Service],tbl_service[Price],"")</f>
        <v>100</v>
      </c>
      <c r="L1613" s="3">
        <v>1</v>
      </c>
      <c r="M1613" s="3">
        <f>IF(AND(tbl_main[[#This Row],[Price]]="",tbl_main[[#This Row],[Qty]]=""),"",tbl_main[[#This Row],[Price]]*tbl_main[[#This Row],[Qty]])</f>
        <v>100</v>
      </c>
      <c r="N1613" s="3">
        <f>_xlfn.LET(_xlpm.x,_xlfn.XLOOKUP(tbl_main[[#This Row],[Service]],tbl_service[Service],tbl_service[Profit],""),
               IF(tbl_main[[#This Row],[Qty]]="","",_xlpm.x*tbl_main[[#This Row],[Qty]]))</f>
        <v>45</v>
      </c>
    </row>
    <row r="1614" spans="1:14" x14ac:dyDescent="0.25">
      <c r="A1614" t="s">
        <v>1656</v>
      </c>
      <c r="B1614" s="1">
        <v>46193</v>
      </c>
      <c r="C1614">
        <f>IF(tbl_main[[#This Row],[Date]]="","",YEAR(B1614))</f>
        <v>2026</v>
      </c>
      <c r="D1614" t="str">
        <f>IF(tbl_main[[#This Row],[Date]]="","",TEXT(B1614,"mmm"))</f>
        <v>Jun</v>
      </c>
      <c r="E1614" t="str">
        <f>IF(tbl_main[[#This Row],[Date]]="","",TEXT(B1614,"DDD"))</f>
        <v>Sat</v>
      </c>
      <c r="F1614" t="s">
        <v>30</v>
      </c>
      <c r="G1614" t="s">
        <v>31</v>
      </c>
      <c r="H1614" s="3" t="s">
        <v>18</v>
      </c>
      <c r="I1614" s="3" t="s">
        <v>43</v>
      </c>
      <c r="J1614" s="3" t="s">
        <v>32</v>
      </c>
      <c r="K1614" s="3">
        <f>_xlfn.XLOOKUP(tbl_main[[#This Row],[Service]],tbl_service[Service],tbl_service[Price],"")</f>
        <v>500</v>
      </c>
      <c r="L1614" s="3">
        <v>1</v>
      </c>
      <c r="M1614" s="3">
        <f>IF(AND(tbl_main[[#This Row],[Price]]="",tbl_main[[#This Row],[Qty]]=""),"",tbl_main[[#This Row],[Price]]*tbl_main[[#This Row],[Qty]])</f>
        <v>500</v>
      </c>
      <c r="N1614" s="3">
        <f>_xlfn.LET(_xlpm.x,_xlfn.XLOOKUP(tbl_main[[#This Row],[Service]],tbl_service[Service],tbl_service[Profit],""),
               IF(tbl_main[[#This Row],[Qty]]="","",_xlpm.x*tbl_main[[#This Row],[Qty]]))</f>
        <v>157</v>
      </c>
    </row>
    <row r="1615" spans="1:14" x14ac:dyDescent="0.25">
      <c r="A1615" t="s">
        <v>1657</v>
      </c>
      <c r="B1615" s="1">
        <v>46194</v>
      </c>
      <c r="C1615">
        <f>IF(tbl_main[[#This Row],[Date]]="","",YEAR(B1615))</f>
        <v>2026</v>
      </c>
      <c r="D1615" t="str">
        <f>IF(tbl_main[[#This Row],[Date]]="","",TEXT(B1615,"mmm"))</f>
        <v>Jun</v>
      </c>
      <c r="E1615" t="str">
        <f>IF(tbl_main[[#This Row],[Date]]="","",TEXT(B1615,"DDD"))</f>
        <v>Sun</v>
      </c>
      <c r="F1615" t="s">
        <v>27</v>
      </c>
      <c r="G1615" t="s">
        <v>40</v>
      </c>
      <c r="H1615" s="3" t="s">
        <v>18</v>
      </c>
      <c r="I1615" s="3" t="s">
        <v>41</v>
      </c>
      <c r="J1615" s="3" t="s">
        <v>32</v>
      </c>
      <c r="K1615" s="3">
        <f>_xlfn.XLOOKUP(tbl_main[[#This Row],[Service]],tbl_service[Service],tbl_service[Price],"")</f>
        <v>500</v>
      </c>
      <c r="L1615" s="3">
        <v>2</v>
      </c>
      <c r="M1615" s="3">
        <f>IF(AND(tbl_main[[#This Row],[Price]]="",tbl_main[[#This Row],[Qty]]=""),"",tbl_main[[#This Row],[Price]]*tbl_main[[#This Row],[Qty]])</f>
        <v>1000</v>
      </c>
      <c r="N1615" s="3">
        <f>_xlfn.LET(_xlpm.x,_xlfn.XLOOKUP(tbl_main[[#This Row],[Service]],tbl_service[Service],tbl_service[Profit],""),
               IF(tbl_main[[#This Row],[Qty]]="","",_xlpm.x*tbl_main[[#This Row],[Qty]]))</f>
        <v>314</v>
      </c>
    </row>
    <row r="1616" spans="1:14" x14ac:dyDescent="0.25">
      <c r="A1616" t="s">
        <v>1658</v>
      </c>
      <c r="B1616" s="1">
        <v>46194</v>
      </c>
      <c r="C1616">
        <f>IF(tbl_main[[#This Row],[Date]]="","",YEAR(B1616))</f>
        <v>2026</v>
      </c>
      <c r="D1616" t="str">
        <f>IF(tbl_main[[#This Row],[Date]]="","",TEXT(B1616,"mmm"))</f>
        <v>Jun</v>
      </c>
      <c r="E1616" t="str">
        <f>IF(tbl_main[[#This Row],[Date]]="","",TEXT(B1616,"DDD"))</f>
        <v>Sun</v>
      </c>
      <c r="F1616" t="s">
        <v>30</v>
      </c>
      <c r="G1616" t="s">
        <v>36</v>
      </c>
      <c r="H1616" s="3" t="s">
        <v>22</v>
      </c>
      <c r="I1616" s="3" t="s">
        <v>41</v>
      </c>
      <c r="J1616" s="3" t="s">
        <v>17</v>
      </c>
      <c r="K1616" s="3">
        <f>_xlfn.XLOOKUP(tbl_main[[#This Row],[Service]],tbl_service[Service],tbl_service[Price],"")</f>
        <v>150</v>
      </c>
      <c r="L1616" s="3">
        <v>1</v>
      </c>
      <c r="M1616" s="3">
        <f>IF(AND(tbl_main[[#This Row],[Price]]="",tbl_main[[#This Row],[Qty]]=""),"",tbl_main[[#This Row],[Price]]*tbl_main[[#This Row],[Qty]])</f>
        <v>150</v>
      </c>
      <c r="N1616" s="3">
        <f>_xlfn.LET(_xlpm.x,_xlfn.XLOOKUP(tbl_main[[#This Row],[Service]],tbl_service[Service],tbl_service[Profit],""),
               IF(tbl_main[[#This Row],[Qty]]="","",_xlpm.x*tbl_main[[#This Row],[Qty]]))</f>
        <v>67</v>
      </c>
    </row>
    <row r="1617" spans="1:14" x14ac:dyDescent="0.25">
      <c r="A1617" t="s">
        <v>1659</v>
      </c>
      <c r="B1617" s="1">
        <v>46194</v>
      </c>
      <c r="C1617">
        <f>IF(tbl_main[[#This Row],[Date]]="","",YEAR(B1617))</f>
        <v>2026</v>
      </c>
      <c r="D1617" t="str">
        <f>IF(tbl_main[[#This Row],[Date]]="","",TEXT(B1617,"mmm"))</f>
        <v>Jun</v>
      </c>
      <c r="E1617" t="str">
        <f>IF(tbl_main[[#This Row],[Date]]="","",TEXT(B1617,"DDD"))</f>
        <v>Sun</v>
      </c>
      <c r="F1617" t="s">
        <v>30</v>
      </c>
      <c r="G1617" t="s">
        <v>31</v>
      </c>
      <c r="H1617" s="3" t="s">
        <v>34</v>
      </c>
      <c r="I1617" s="3" t="s">
        <v>35</v>
      </c>
      <c r="J1617" s="3" t="s">
        <v>32</v>
      </c>
      <c r="K1617" s="3">
        <f>_xlfn.XLOOKUP(tbl_main[[#This Row],[Service]],tbl_service[Service],tbl_service[Price],"")</f>
        <v>100</v>
      </c>
      <c r="L1617" s="3">
        <v>2</v>
      </c>
      <c r="M1617" s="3">
        <f>IF(AND(tbl_main[[#This Row],[Price]]="",tbl_main[[#This Row],[Qty]]=""),"",tbl_main[[#This Row],[Price]]*tbl_main[[#This Row],[Qty]])</f>
        <v>200</v>
      </c>
      <c r="N1617" s="3">
        <f>_xlfn.LET(_xlpm.x,_xlfn.XLOOKUP(tbl_main[[#This Row],[Service]],tbl_service[Service],tbl_service[Profit],""),
               IF(tbl_main[[#This Row],[Qty]]="","",_xlpm.x*tbl_main[[#This Row],[Qty]]))</f>
        <v>90</v>
      </c>
    </row>
    <row r="1618" spans="1:14" x14ac:dyDescent="0.25">
      <c r="A1618" t="s">
        <v>1660</v>
      </c>
      <c r="B1618" s="1">
        <v>46195</v>
      </c>
      <c r="C1618">
        <f>IF(tbl_main[[#This Row],[Date]]="","",YEAR(B1618))</f>
        <v>2026</v>
      </c>
      <c r="D1618" t="str">
        <f>IF(tbl_main[[#This Row],[Date]]="","",TEXT(B1618,"mmm"))</f>
        <v>Jun</v>
      </c>
      <c r="E1618" t="str">
        <f>IF(tbl_main[[#This Row],[Date]]="","",TEXT(B1618,"DDD"))</f>
        <v>Mon</v>
      </c>
      <c r="F1618" t="s">
        <v>20</v>
      </c>
      <c r="G1618" t="s">
        <v>39</v>
      </c>
      <c r="H1618" s="3" t="s">
        <v>34</v>
      </c>
      <c r="I1618" s="3" t="s">
        <v>35</v>
      </c>
      <c r="J1618" s="3" t="s">
        <v>32</v>
      </c>
      <c r="K1618" s="3">
        <f>_xlfn.XLOOKUP(tbl_main[[#This Row],[Service]],tbl_service[Service],tbl_service[Price],"")</f>
        <v>100</v>
      </c>
      <c r="L1618" s="3">
        <v>1</v>
      </c>
      <c r="M1618" s="3">
        <f>IF(AND(tbl_main[[#This Row],[Price]]="",tbl_main[[#This Row],[Qty]]=""),"",tbl_main[[#This Row],[Price]]*tbl_main[[#This Row],[Qty]])</f>
        <v>100</v>
      </c>
      <c r="N1618" s="3">
        <f>_xlfn.LET(_xlpm.x,_xlfn.XLOOKUP(tbl_main[[#This Row],[Service]],tbl_service[Service],tbl_service[Profit],""),
               IF(tbl_main[[#This Row],[Qty]]="","",_xlpm.x*tbl_main[[#This Row],[Qty]]))</f>
        <v>45</v>
      </c>
    </row>
    <row r="1619" spans="1:14" x14ac:dyDescent="0.25">
      <c r="A1619" t="s">
        <v>1661</v>
      </c>
      <c r="B1619" s="1">
        <v>46195</v>
      </c>
      <c r="C1619">
        <f>IF(tbl_main[[#This Row],[Date]]="","",YEAR(B1619))</f>
        <v>2026</v>
      </c>
      <c r="D1619" t="str">
        <f>IF(tbl_main[[#This Row],[Date]]="","",TEXT(B1619,"mmm"))</f>
        <v>Jun</v>
      </c>
      <c r="E1619" t="str">
        <f>IF(tbl_main[[#This Row],[Date]]="","",TEXT(B1619,"DDD"))</f>
        <v>Mon</v>
      </c>
      <c r="F1619" t="s">
        <v>13</v>
      </c>
      <c r="G1619" t="s">
        <v>14</v>
      </c>
      <c r="H1619" s="3" t="s">
        <v>15</v>
      </c>
      <c r="I1619" s="3" t="s">
        <v>23</v>
      </c>
      <c r="J1619" s="3" t="s">
        <v>25</v>
      </c>
      <c r="K1619" s="3">
        <f>_xlfn.XLOOKUP(tbl_main[[#This Row],[Service]],tbl_service[Service],tbl_service[Price],"")</f>
        <v>500</v>
      </c>
      <c r="L1619" s="3">
        <v>2</v>
      </c>
      <c r="M1619" s="3">
        <f>IF(AND(tbl_main[[#This Row],[Price]]="",tbl_main[[#This Row],[Qty]]=""),"",tbl_main[[#This Row],[Price]]*tbl_main[[#This Row],[Qty]])</f>
        <v>1000</v>
      </c>
      <c r="N1619" s="3">
        <f>_xlfn.LET(_xlpm.x,_xlfn.XLOOKUP(tbl_main[[#This Row],[Service]],tbl_service[Service],tbl_service[Profit],""),
               IF(tbl_main[[#This Row],[Qty]]="","",_xlpm.x*tbl_main[[#This Row],[Qty]]))</f>
        <v>450</v>
      </c>
    </row>
    <row r="1620" spans="1:14" x14ac:dyDescent="0.25">
      <c r="A1620" t="s">
        <v>1662</v>
      </c>
      <c r="B1620" s="1">
        <v>46195</v>
      </c>
      <c r="C1620">
        <f>IF(tbl_main[[#This Row],[Date]]="","",YEAR(B1620))</f>
        <v>2026</v>
      </c>
      <c r="D1620" t="str">
        <f>IF(tbl_main[[#This Row],[Date]]="","",TEXT(B1620,"mmm"))</f>
        <v>Jun</v>
      </c>
      <c r="E1620" t="str">
        <f>IF(tbl_main[[#This Row],[Date]]="","",TEXT(B1620,"DDD"))</f>
        <v>Mon</v>
      </c>
      <c r="F1620" t="s">
        <v>30</v>
      </c>
      <c r="G1620" t="s">
        <v>31</v>
      </c>
      <c r="H1620" s="3" t="s">
        <v>15</v>
      </c>
      <c r="I1620" s="3" t="s">
        <v>37</v>
      </c>
      <c r="J1620" s="3" t="s">
        <v>32</v>
      </c>
      <c r="K1620" s="3">
        <f>_xlfn.XLOOKUP(tbl_main[[#This Row],[Service]],tbl_service[Service],tbl_service[Price],"")</f>
        <v>500</v>
      </c>
      <c r="L1620" s="3">
        <v>1</v>
      </c>
      <c r="M1620" s="3">
        <f>IF(AND(tbl_main[[#This Row],[Price]]="",tbl_main[[#This Row],[Qty]]=""),"",tbl_main[[#This Row],[Price]]*tbl_main[[#This Row],[Qty]])</f>
        <v>500</v>
      </c>
      <c r="N1620" s="3">
        <f>_xlfn.LET(_xlpm.x,_xlfn.XLOOKUP(tbl_main[[#This Row],[Service]],tbl_service[Service],tbl_service[Profit],""),
               IF(tbl_main[[#This Row],[Qty]]="","",_xlpm.x*tbl_main[[#This Row],[Qty]]))</f>
        <v>225</v>
      </c>
    </row>
    <row r="1621" spans="1:14" x14ac:dyDescent="0.25">
      <c r="A1621" t="s">
        <v>1663</v>
      </c>
      <c r="B1621" s="1">
        <v>46195</v>
      </c>
      <c r="C1621">
        <f>IF(tbl_main[[#This Row],[Date]]="","",YEAR(B1621))</f>
        <v>2026</v>
      </c>
      <c r="D1621" t="str">
        <f>IF(tbl_main[[#This Row],[Date]]="","",TEXT(B1621,"mmm"))</f>
        <v>Jun</v>
      </c>
      <c r="E1621" t="str">
        <f>IF(tbl_main[[#This Row],[Date]]="","",TEXT(B1621,"DDD"))</f>
        <v>Mon</v>
      </c>
      <c r="F1621" t="s">
        <v>30</v>
      </c>
      <c r="G1621" t="s">
        <v>31</v>
      </c>
      <c r="H1621" s="3" t="s">
        <v>15</v>
      </c>
      <c r="I1621" s="3" t="s">
        <v>38</v>
      </c>
      <c r="J1621" s="3" t="s">
        <v>17</v>
      </c>
      <c r="K1621" s="3">
        <f>_xlfn.XLOOKUP(tbl_main[[#This Row],[Service]],tbl_service[Service],tbl_service[Price],"")</f>
        <v>500</v>
      </c>
      <c r="L1621" s="3">
        <v>2</v>
      </c>
      <c r="M1621" s="3">
        <f>IF(AND(tbl_main[[#This Row],[Price]]="",tbl_main[[#This Row],[Qty]]=""),"",tbl_main[[#This Row],[Price]]*tbl_main[[#This Row],[Qty]])</f>
        <v>1000</v>
      </c>
      <c r="N1621" s="3">
        <f>_xlfn.LET(_xlpm.x,_xlfn.XLOOKUP(tbl_main[[#This Row],[Service]],tbl_service[Service],tbl_service[Profit],""),
               IF(tbl_main[[#This Row],[Qty]]="","",_xlpm.x*tbl_main[[#This Row],[Qty]]))</f>
        <v>450</v>
      </c>
    </row>
    <row r="1622" spans="1:14" x14ac:dyDescent="0.25">
      <c r="A1622" t="s">
        <v>1664</v>
      </c>
      <c r="B1622" s="1">
        <v>46196</v>
      </c>
      <c r="C1622">
        <f>IF(tbl_main[[#This Row],[Date]]="","",YEAR(B1622))</f>
        <v>2026</v>
      </c>
      <c r="D1622" t="str">
        <f>IF(tbl_main[[#This Row],[Date]]="","",TEXT(B1622,"mmm"))</f>
        <v>Jun</v>
      </c>
      <c r="E1622" t="str">
        <f>IF(tbl_main[[#This Row],[Date]]="","",TEXT(B1622,"DDD"))</f>
        <v>Tue</v>
      </c>
      <c r="F1622" t="s">
        <v>13</v>
      </c>
      <c r="G1622" t="s">
        <v>14</v>
      </c>
      <c r="H1622" s="3" t="s">
        <v>24</v>
      </c>
      <c r="I1622" s="3" t="s">
        <v>16</v>
      </c>
      <c r="J1622" s="3" t="s">
        <v>25</v>
      </c>
      <c r="K1622" s="3">
        <f>_xlfn.XLOOKUP(tbl_main[[#This Row],[Service]],tbl_service[Service],tbl_service[Price],"")</f>
        <v>80</v>
      </c>
      <c r="L1622" s="3">
        <v>1</v>
      </c>
      <c r="M1622" s="3">
        <f>IF(AND(tbl_main[[#This Row],[Price]]="",tbl_main[[#This Row],[Qty]]=""),"",tbl_main[[#This Row],[Price]]*tbl_main[[#This Row],[Qty]])</f>
        <v>80</v>
      </c>
      <c r="N1622" s="3">
        <f>_xlfn.LET(_xlpm.x,_xlfn.XLOOKUP(tbl_main[[#This Row],[Service]],tbl_service[Service],tbl_service[Profit],""),
               IF(tbl_main[[#This Row],[Qty]]="","",_xlpm.x*tbl_main[[#This Row],[Qty]]))</f>
        <v>36</v>
      </c>
    </row>
    <row r="1623" spans="1:14" x14ac:dyDescent="0.25">
      <c r="A1623" t="s">
        <v>1665</v>
      </c>
      <c r="B1623" s="1">
        <v>46196</v>
      </c>
      <c r="C1623">
        <f>IF(tbl_main[[#This Row],[Date]]="","",YEAR(B1623))</f>
        <v>2026</v>
      </c>
      <c r="D1623" t="str">
        <f>IF(tbl_main[[#This Row],[Date]]="","",TEXT(B1623,"mmm"))</f>
        <v>Jun</v>
      </c>
      <c r="E1623" t="str">
        <f>IF(tbl_main[[#This Row],[Date]]="","",TEXT(B1623,"DDD"))</f>
        <v>Tue</v>
      </c>
      <c r="F1623" t="s">
        <v>13</v>
      </c>
      <c r="G1623" t="s">
        <v>14</v>
      </c>
      <c r="H1623" s="3" t="s">
        <v>26</v>
      </c>
      <c r="I1623" s="3" t="s">
        <v>19</v>
      </c>
      <c r="J1623" s="3" t="s">
        <v>25</v>
      </c>
      <c r="K1623" s="3">
        <f>_xlfn.XLOOKUP(tbl_main[[#This Row],[Service]],tbl_service[Service],tbl_service[Price],"")</f>
        <v>200</v>
      </c>
      <c r="L1623" s="3">
        <v>2</v>
      </c>
      <c r="M1623" s="3">
        <f>IF(AND(tbl_main[[#This Row],[Price]]="",tbl_main[[#This Row],[Qty]]=""),"",tbl_main[[#This Row],[Price]]*tbl_main[[#This Row],[Qty]])</f>
        <v>400</v>
      </c>
      <c r="N1623" s="3">
        <f>_xlfn.LET(_xlpm.x,_xlfn.XLOOKUP(tbl_main[[#This Row],[Service]],tbl_service[Service],tbl_service[Profit],""),
               IF(tbl_main[[#This Row],[Qty]]="","",_xlpm.x*tbl_main[[#This Row],[Qty]]))</f>
        <v>180</v>
      </c>
    </row>
    <row r="1624" spans="1:14" x14ac:dyDescent="0.25">
      <c r="A1624" t="s">
        <v>1666</v>
      </c>
      <c r="B1624" s="1">
        <v>46196</v>
      </c>
      <c r="C1624">
        <f>IF(tbl_main[[#This Row],[Date]]="","",YEAR(B1624))</f>
        <v>2026</v>
      </c>
      <c r="D1624" t="str">
        <f>IF(tbl_main[[#This Row],[Date]]="","",TEXT(B1624,"mmm"))</f>
        <v>Jun</v>
      </c>
      <c r="E1624" t="str">
        <f>IF(tbl_main[[#This Row],[Date]]="","",TEXT(B1624,"DDD"))</f>
        <v>Tue</v>
      </c>
      <c r="F1624" t="s">
        <v>27</v>
      </c>
      <c r="G1624" t="s">
        <v>40</v>
      </c>
      <c r="H1624" s="3" t="s">
        <v>22</v>
      </c>
      <c r="I1624" s="3" t="s">
        <v>43</v>
      </c>
      <c r="J1624" s="3" t="s">
        <v>32</v>
      </c>
      <c r="K1624" s="3">
        <f>_xlfn.XLOOKUP(tbl_main[[#This Row],[Service]],tbl_service[Service],tbl_service[Price],"")</f>
        <v>150</v>
      </c>
      <c r="L1624" s="3">
        <v>2</v>
      </c>
      <c r="M1624" s="3">
        <f>IF(AND(tbl_main[[#This Row],[Price]]="",tbl_main[[#This Row],[Qty]]=""),"",tbl_main[[#This Row],[Price]]*tbl_main[[#This Row],[Qty]])</f>
        <v>300</v>
      </c>
      <c r="N1624" s="3">
        <f>_xlfn.LET(_xlpm.x,_xlfn.XLOOKUP(tbl_main[[#This Row],[Service]],tbl_service[Service],tbl_service[Profit],""),
               IF(tbl_main[[#This Row],[Qty]]="","",_xlpm.x*tbl_main[[#This Row],[Qty]]))</f>
        <v>134</v>
      </c>
    </row>
    <row r="1625" spans="1:14" x14ac:dyDescent="0.25">
      <c r="A1625" t="s">
        <v>1667</v>
      </c>
      <c r="B1625" s="1">
        <v>46197</v>
      </c>
      <c r="C1625">
        <f>IF(tbl_main[[#This Row],[Date]]="","",YEAR(B1625))</f>
        <v>2026</v>
      </c>
      <c r="D1625" t="str">
        <f>IF(tbl_main[[#This Row],[Date]]="","",TEXT(B1625,"mmm"))</f>
        <v>Jun</v>
      </c>
      <c r="E1625" t="str">
        <f>IF(tbl_main[[#This Row],[Date]]="","",TEXT(B1625,"DDD"))</f>
        <v>Wed</v>
      </c>
      <c r="F1625" t="s">
        <v>20</v>
      </c>
      <c r="G1625" t="s">
        <v>39</v>
      </c>
      <c r="H1625" s="3" t="s">
        <v>26</v>
      </c>
      <c r="I1625" s="3" t="s">
        <v>41</v>
      </c>
      <c r="J1625" s="3" t="s">
        <v>32</v>
      </c>
      <c r="K1625" s="3">
        <f>_xlfn.XLOOKUP(tbl_main[[#This Row],[Service]],tbl_service[Service],tbl_service[Price],"")</f>
        <v>200</v>
      </c>
      <c r="L1625" s="3">
        <v>2</v>
      </c>
      <c r="M1625" s="3">
        <f>IF(AND(tbl_main[[#This Row],[Price]]="",tbl_main[[#This Row],[Qty]]=""),"",tbl_main[[#This Row],[Price]]*tbl_main[[#This Row],[Qty]])</f>
        <v>400</v>
      </c>
      <c r="N1625" s="3">
        <f>_xlfn.LET(_xlpm.x,_xlfn.XLOOKUP(tbl_main[[#This Row],[Service]],tbl_service[Service],tbl_service[Profit],""),
               IF(tbl_main[[#This Row],[Qty]]="","",_xlpm.x*tbl_main[[#This Row],[Qty]]))</f>
        <v>180</v>
      </c>
    </row>
    <row r="1626" spans="1:14" x14ac:dyDescent="0.25">
      <c r="A1626" t="s">
        <v>1668</v>
      </c>
      <c r="B1626" s="1">
        <v>46197</v>
      </c>
      <c r="C1626">
        <f>IF(tbl_main[[#This Row],[Date]]="","",YEAR(B1626))</f>
        <v>2026</v>
      </c>
      <c r="D1626" t="str">
        <f>IF(tbl_main[[#This Row],[Date]]="","",TEXT(B1626,"mmm"))</f>
        <v>Jun</v>
      </c>
      <c r="E1626" t="str">
        <f>IF(tbl_main[[#This Row],[Date]]="","",TEXT(B1626,"DDD"))</f>
        <v>Wed</v>
      </c>
      <c r="F1626" t="s">
        <v>27</v>
      </c>
      <c r="G1626" t="s">
        <v>40</v>
      </c>
      <c r="H1626" s="3" t="s">
        <v>18</v>
      </c>
      <c r="I1626" s="3" t="s">
        <v>41</v>
      </c>
      <c r="J1626" s="3" t="s">
        <v>17</v>
      </c>
      <c r="K1626" s="3">
        <f>_xlfn.XLOOKUP(tbl_main[[#This Row],[Service]],tbl_service[Service],tbl_service[Price],"")</f>
        <v>500</v>
      </c>
      <c r="L1626" s="3">
        <v>1</v>
      </c>
      <c r="M1626" s="3">
        <f>IF(AND(tbl_main[[#This Row],[Price]]="",tbl_main[[#This Row],[Qty]]=""),"",tbl_main[[#This Row],[Price]]*tbl_main[[#This Row],[Qty]])</f>
        <v>500</v>
      </c>
      <c r="N1626" s="3">
        <f>_xlfn.LET(_xlpm.x,_xlfn.XLOOKUP(tbl_main[[#This Row],[Service]],tbl_service[Service],tbl_service[Profit],""),
               IF(tbl_main[[#This Row],[Qty]]="","",_xlpm.x*tbl_main[[#This Row],[Qty]]))</f>
        <v>157</v>
      </c>
    </row>
    <row r="1627" spans="1:14" x14ac:dyDescent="0.25">
      <c r="A1627" t="s">
        <v>1669</v>
      </c>
      <c r="B1627" s="1">
        <v>46197</v>
      </c>
      <c r="C1627">
        <f>IF(tbl_main[[#This Row],[Date]]="","",YEAR(B1627))</f>
        <v>2026</v>
      </c>
      <c r="D1627" t="str">
        <f>IF(tbl_main[[#This Row],[Date]]="","",TEXT(B1627,"mmm"))</f>
        <v>Jun</v>
      </c>
      <c r="E1627" t="str">
        <f>IF(tbl_main[[#This Row],[Date]]="","",TEXT(B1627,"DDD"))</f>
        <v>Wed</v>
      </c>
      <c r="F1627" t="s">
        <v>27</v>
      </c>
      <c r="G1627" t="s">
        <v>40</v>
      </c>
      <c r="H1627" s="3" t="s">
        <v>22</v>
      </c>
      <c r="I1627" s="3" t="s">
        <v>35</v>
      </c>
      <c r="J1627" s="3" t="s">
        <v>32</v>
      </c>
      <c r="K1627" s="3">
        <f>_xlfn.XLOOKUP(tbl_main[[#This Row],[Service]],tbl_service[Service],tbl_service[Price],"")</f>
        <v>150</v>
      </c>
      <c r="L1627" s="3">
        <v>1</v>
      </c>
      <c r="M1627" s="3">
        <f>IF(AND(tbl_main[[#This Row],[Price]]="",tbl_main[[#This Row],[Qty]]=""),"",tbl_main[[#This Row],[Price]]*tbl_main[[#This Row],[Qty]])</f>
        <v>150</v>
      </c>
      <c r="N1627" s="3">
        <f>_xlfn.LET(_xlpm.x,_xlfn.XLOOKUP(tbl_main[[#This Row],[Service]],tbl_service[Service],tbl_service[Profit],""),
               IF(tbl_main[[#This Row],[Qty]]="","",_xlpm.x*tbl_main[[#This Row],[Qty]]))</f>
        <v>67</v>
      </c>
    </row>
    <row r="1628" spans="1:14" x14ac:dyDescent="0.25">
      <c r="A1628" t="s">
        <v>1670</v>
      </c>
      <c r="B1628" s="1">
        <v>46198</v>
      </c>
      <c r="C1628">
        <f>IF(tbl_main[[#This Row],[Date]]="","",YEAR(B1628))</f>
        <v>2026</v>
      </c>
      <c r="D1628" t="str">
        <f>IF(tbl_main[[#This Row],[Date]]="","",TEXT(B1628,"mmm"))</f>
        <v>Jun</v>
      </c>
      <c r="E1628" t="str">
        <f>IF(tbl_main[[#This Row],[Date]]="","",TEXT(B1628,"DDD"))</f>
        <v>Thu</v>
      </c>
      <c r="F1628" t="s">
        <v>27</v>
      </c>
      <c r="G1628" t="s">
        <v>40</v>
      </c>
      <c r="H1628" s="3" t="s">
        <v>26</v>
      </c>
      <c r="I1628" s="3" t="s">
        <v>35</v>
      </c>
      <c r="J1628" s="3" t="s">
        <v>25</v>
      </c>
      <c r="K1628" s="3">
        <f>_xlfn.XLOOKUP(tbl_main[[#This Row],[Service]],tbl_service[Service],tbl_service[Price],"")</f>
        <v>200</v>
      </c>
      <c r="L1628" s="3">
        <v>2</v>
      </c>
      <c r="M1628" s="3">
        <f>IF(AND(tbl_main[[#This Row],[Price]]="",tbl_main[[#This Row],[Qty]]=""),"",tbl_main[[#This Row],[Price]]*tbl_main[[#This Row],[Qty]])</f>
        <v>400</v>
      </c>
      <c r="N1628" s="3">
        <f>_xlfn.LET(_xlpm.x,_xlfn.XLOOKUP(tbl_main[[#This Row],[Service]],tbl_service[Service],tbl_service[Profit],""),
               IF(tbl_main[[#This Row],[Qty]]="","",_xlpm.x*tbl_main[[#This Row],[Qty]]))</f>
        <v>180</v>
      </c>
    </row>
    <row r="1629" spans="1:14" x14ac:dyDescent="0.25">
      <c r="A1629" t="s">
        <v>1671</v>
      </c>
      <c r="B1629" s="1">
        <v>46198</v>
      </c>
      <c r="C1629">
        <f>IF(tbl_main[[#This Row],[Date]]="","",YEAR(B1629))</f>
        <v>2026</v>
      </c>
      <c r="D1629" t="str">
        <f>IF(tbl_main[[#This Row],[Date]]="","",TEXT(B1629,"mmm"))</f>
        <v>Jun</v>
      </c>
      <c r="E1629" t="str">
        <f>IF(tbl_main[[#This Row],[Date]]="","",TEXT(B1629,"DDD"))</f>
        <v>Thu</v>
      </c>
      <c r="F1629" t="s">
        <v>30</v>
      </c>
      <c r="G1629" t="s">
        <v>36</v>
      </c>
      <c r="H1629" s="3" t="s">
        <v>34</v>
      </c>
      <c r="I1629" s="3" t="s">
        <v>23</v>
      </c>
      <c r="J1629" s="3" t="s">
        <v>17</v>
      </c>
      <c r="K1629" s="3">
        <f>_xlfn.XLOOKUP(tbl_main[[#This Row],[Service]],tbl_service[Service],tbl_service[Price],"")</f>
        <v>100</v>
      </c>
      <c r="L1629" s="3">
        <v>1</v>
      </c>
      <c r="M1629" s="3">
        <f>IF(AND(tbl_main[[#This Row],[Price]]="",tbl_main[[#This Row],[Qty]]=""),"",tbl_main[[#This Row],[Price]]*tbl_main[[#This Row],[Qty]])</f>
        <v>100</v>
      </c>
      <c r="N1629" s="3">
        <f>_xlfn.LET(_xlpm.x,_xlfn.XLOOKUP(tbl_main[[#This Row],[Service]],tbl_service[Service],tbl_service[Profit],""),
               IF(tbl_main[[#This Row],[Qty]]="","",_xlpm.x*tbl_main[[#This Row],[Qty]]))</f>
        <v>45</v>
      </c>
    </row>
    <row r="1630" spans="1:14" x14ac:dyDescent="0.25">
      <c r="A1630" t="s">
        <v>1672</v>
      </c>
      <c r="B1630" s="1">
        <v>46198</v>
      </c>
      <c r="C1630">
        <f>IF(tbl_main[[#This Row],[Date]]="","",YEAR(B1630))</f>
        <v>2026</v>
      </c>
      <c r="D1630" t="str">
        <f>IF(tbl_main[[#This Row],[Date]]="","",TEXT(B1630,"mmm"))</f>
        <v>Jun</v>
      </c>
      <c r="E1630" t="str">
        <f>IF(tbl_main[[#This Row],[Date]]="","",TEXT(B1630,"DDD"))</f>
        <v>Thu</v>
      </c>
      <c r="F1630" t="s">
        <v>30</v>
      </c>
      <c r="G1630" t="s">
        <v>31</v>
      </c>
      <c r="H1630" s="3" t="s">
        <v>34</v>
      </c>
      <c r="I1630" s="3" t="s">
        <v>37</v>
      </c>
      <c r="J1630" s="3" t="s">
        <v>17</v>
      </c>
      <c r="K1630" s="3">
        <f>_xlfn.XLOOKUP(tbl_main[[#This Row],[Service]],tbl_service[Service],tbl_service[Price],"")</f>
        <v>100</v>
      </c>
      <c r="L1630" s="3">
        <v>2</v>
      </c>
      <c r="M1630" s="3">
        <f>IF(AND(tbl_main[[#This Row],[Price]]="",tbl_main[[#This Row],[Qty]]=""),"",tbl_main[[#This Row],[Price]]*tbl_main[[#This Row],[Qty]])</f>
        <v>200</v>
      </c>
      <c r="N1630" s="3">
        <f>_xlfn.LET(_xlpm.x,_xlfn.XLOOKUP(tbl_main[[#This Row],[Service]],tbl_service[Service],tbl_service[Profit],""),
               IF(tbl_main[[#This Row],[Qty]]="","",_xlpm.x*tbl_main[[#This Row],[Qty]]))</f>
        <v>90</v>
      </c>
    </row>
    <row r="1631" spans="1:14" x14ac:dyDescent="0.25">
      <c r="A1631" t="s">
        <v>1673</v>
      </c>
      <c r="B1631" s="1">
        <v>46198</v>
      </c>
      <c r="C1631">
        <f>IF(tbl_main[[#This Row],[Date]]="","",YEAR(B1631))</f>
        <v>2026</v>
      </c>
      <c r="D1631" t="str">
        <f>IF(tbl_main[[#This Row],[Date]]="","",TEXT(B1631,"mmm"))</f>
        <v>Jun</v>
      </c>
      <c r="E1631" t="str">
        <f>IF(tbl_main[[#This Row],[Date]]="","",TEXT(B1631,"DDD"))</f>
        <v>Thu</v>
      </c>
      <c r="F1631" t="s">
        <v>20</v>
      </c>
      <c r="G1631" t="s">
        <v>29</v>
      </c>
      <c r="H1631" s="3" t="s">
        <v>24</v>
      </c>
      <c r="I1631" s="3" t="s">
        <v>38</v>
      </c>
      <c r="J1631" s="3" t="s">
        <v>32</v>
      </c>
      <c r="K1631" s="3">
        <f>_xlfn.XLOOKUP(tbl_main[[#This Row],[Service]],tbl_service[Service],tbl_service[Price],"")</f>
        <v>80</v>
      </c>
      <c r="L1631" s="3">
        <v>2</v>
      </c>
      <c r="M1631" s="3">
        <f>IF(AND(tbl_main[[#This Row],[Price]]="",tbl_main[[#This Row],[Qty]]=""),"",tbl_main[[#This Row],[Price]]*tbl_main[[#This Row],[Qty]])</f>
        <v>160</v>
      </c>
      <c r="N1631" s="3">
        <f>_xlfn.LET(_xlpm.x,_xlfn.XLOOKUP(tbl_main[[#This Row],[Service]],tbl_service[Service],tbl_service[Profit],""),
               IF(tbl_main[[#This Row],[Qty]]="","",_xlpm.x*tbl_main[[#This Row],[Qty]]))</f>
        <v>72</v>
      </c>
    </row>
    <row r="1632" spans="1:14" x14ac:dyDescent="0.25">
      <c r="A1632" t="s">
        <v>1674</v>
      </c>
      <c r="B1632" s="1">
        <v>46199</v>
      </c>
      <c r="C1632">
        <f>IF(tbl_main[[#This Row],[Date]]="","",YEAR(B1632))</f>
        <v>2026</v>
      </c>
      <c r="D1632" t="str">
        <f>IF(tbl_main[[#This Row],[Date]]="","",TEXT(B1632,"mmm"))</f>
        <v>Jun</v>
      </c>
      <c r="E1632" t="str">
        <f>IF(tbl_main[[#This Row],[Date]]="","",TEXT(B1632,"DDD"))</f>
        <v>Fri</v>
      </c>
      <c r="F1632" t="s">
        <v>20</v>
      </c>
      <c r="G1632" t="s">
        <v>29</v>
      </c>
      <c r="H1632" s="3" t="s">
        <v>22</v>
      </c>
      <c r="I1632" s="3" t="s">
        <v>16</v>
      </c>
      <c r="J1632" s="3" t="s">
        <v>32</v>
      </c>
      <c r="K1632" s="3">
        <f>_xlfn.XLOOKUP(tbl_main[[#This Row],[Service]],tbl_service[Service],tbl_service[Price],"")</f>
        <v>150</v>
      </c>
      <c r="L1632" s="3">
        <v>1</v>
      </c>
      <c r="M1632" s="3">
        <f>IF(AND(tbl_main[[#This Row],[Price]]="",tbl_main[[#This Row],[Qty]]=""),"",tbl_main[[#This Row],[Price]]*tbl_main[[#This Row],[Qty]])</f>
        <v>150</v>
      </c>
      <c r="N1632" s="3">
        <f>_xlfn.LET(_xlpm.x,_xlfn.XLOOKUP(tbl_main[[#This Row],[Service]],tbl_service[Service],tbl_service[Profit],""),
               IF(tbl_main[[#This Row],[Qty]]="","",_xlpm.x*tbl_main[[#This Row],[Qty]]))</f>
        <v>67</v>
      </c>
    </row>
    <row r="1633" spans="1:14" x14ac:dyDescent="0.25">
      <c r="A1633" t="s">
        <v>1675</v>
      </c>
      <c r="B1633" s="1">
        <v>46199</v>
      </c>
      <c r="C1633">
        <f>IF(tbl_main[[#This Row],[Date]]="","",YEAR(B1633))</f>
        <v>2026</v>
      </c>
      <c r="D1633" t="str">
        <f>IF(tbl_main[[#This Row],[Date]]="","",TEXT(B1633,"mmm"))</f>
        <v>Jun</v>
      </c>
      <c r="E1633" t="str">
        <f>IF(tbl_main[[#This Row],[Date]]="","",TEXT(B1633,"DDD"))</f>
        <v>Fri</v>
      </c>
      <c r="F1633" t="s">
        <v>20</v>
      </c>
      <c r="G1633" t="s">
        <v>29</v>
      </c>
      <c r="H1633" s="3" t="s">
        <v>15</v>
      </c>
      <c r="I1633" s="3" t="s">
        <v>19</v>
      </c>
      <c r="J1633" s="3" t="s">
        <v>32</v>
      </c>
      <c r="K1633" s="3">
        <f>_xlfn.XLOOKUP(tbl_main[[#This Row],[Service]],tbl_service[Service],tbl_service[Price],"")</f>
        <v>500</v>
      </c>
      <c r="L1633" s="3">
        <v>2</v>
      </c>
      <c r="M1633" s="3">
        <f>IF(AND(tbl_main[[#This Row],[Price]]="",tbl_main[[#This Row],[Qty]]=""),"",tbl_main[[#This Row],[Price]]*tbl_main[[#This Row],[Qty]])</f>
        <v>1000</v>
      </c>
      <c r="N1633" s="3">
        <f>_xlfn.LET(_xlpm.x,_xlfn.XLOOKUP(tbl_main[[#This Row],[Service]],tbl_service[Service],tbl_service[Profit],""),
               IF(tbl_main[[#This Row],[Qty]]="","",_xlpm.x*tbl_main[[#This Row],[Qty]]))</f>
        <v>450</v>
      </c>
    </row>
    <row r="1634" spans="1:14" x14ac:dyDescent="0.25">
      <c r="A1634" t="s">
        <v>1676</v>
      </c>
      <c r="B1634" s="1">
        <v>46199</v>
      </c>
      <c r="C1634">
        <f>IF(tbl_main[[#This Row],[Date]]="","",YEAR(B1634))</f>
        <v>2026</v>
      </c>
      <c r="D1634" t="str">
        <f>IF(tbl_main[[#This Row],[Date]]="","",TEXT(B1634,"mmm"))</f>
        <v>Jun</v>
      </c>
      <c r="E1634" t="str">
        <f>IF(tbl_main[[#This Row],[Date]]="","",TEXT(B1634,"DDD"))</f>
        <v>Fri</v>
      </c>
      <c r="F1634" t="s">
        <v>30</v>
      </c>
      <c r="G1634" t="s">
        <v>36</v>
      </c>
      <c r="H1634" s="3" t="s">
        <v>22</v>
      </c>
      <c r="I1634" s="3" t="s">
        <v>43</v>
      </c>
      <c r="J1634" s="3" t="s">
        <v>25</v>
      </c>
      <c r="K1634" s="3">
        <f>_xlfn.XLOOKUP(tbl_main[[#This Row],[Service]],tbl_service[Service],tbl_service[Price],"")</f>
        <v>150</v>
      </c>
      <c r="L1634" s="3">
        <v>2</v>
      </c>
      <c r="M1634" s="3">
        <f>IF(AND(tbl_main[[#This Row],[Price]]="",tbl_main[[#This Row],[Qty]]=""),"",tbl_main[[#This Row],[Price]]*tbl_main[[#This Row],[Qty]])</f>
        <v>300</v>
      </c>
      <c r="N1634" s="3">
        <f>_xlfn.LET(_xlpm.x,_xlfn.XLOOKUP(tbl_main[[#This Row],[Service]],tbl_service[Service],tbl_service[Profit],""),
               IF(tbl_main[[#This Row],[Qty]]="","",_xlpm.x*tbl_main[[#This Row],[Qty]]))</f>
        <v>134</v>
      </c>
    </row>
    <row r="1635" spans="1:14" x14ac:dyDescent="0.25">
      <c r="A1635" t="s">
        <v>1677</v>
      </c>
      <c r="B1635" s="1">
        <v>46199</v>
      </c>
      <c r="C1635">
        <f>IF(tbl_main[[#This Row],[Date]]="","",YEAR(B1635))</f>
        <v>2026</v>
      </c>
      <c r="D1635" t="str">
        <f>IF(tbl_main[[#This Row],[Date]]="","",TEXT(B1635,"mmm"))</f>
        <v>Jun</v>
      </c>
      <c r="E1635" t="str">
        <f>IF(tbl_main[[#This Row],[Date]]="","",TEXT(B1635,"DDD"))</f>
        <v>Fri</v>
      </c>
      <c r="F1635" t="s">
        <v>27</v>
      </c>
      <c r="G1635" t="s">
        <v>28</v>
      </c>
      <c r="H1635" s="3" t="s">
        <v>24</v>
      </c>
      <c r="I1635" s="3" t="s">
        <v>41</v>
      </c>
      <c r="J1635" s="3" t="s">
        <v>17</v>
      </c>
      <c r="K1635" s="3">
        <f>_xlfn.XLOOKUP(tbl_main[[#This Row],[Service]],tbl_service[Service],tbl_service[Price],"")</f>
        <v>80</v>
      </c>
      <c r="L1635" s="3">
        <v>2</v>
      </c>
      <c r="M1635" s="3">
        <f>IF(AND(tbl_main[[#This Row],[Price]]="",tbl_main[[#This Row],[Qty]]=""),"",tbl_main[[#This Row],[Price]]*tbl_main[[#This Row],[Qty]])</f>
        <v>160</v>
      </c>
      <c r="N1635" s="3">
        <f>_xlfn.LET(_xlpm.x,_xlfn.XLOOKUP(tbl_main[[#This Row],[Service]],tbl_service[Service],tbl_service[Profit],""),
               IF(tbl_main[[#This Row],[Qty]]="","",_xlpm.x*tbl_main[[#This Row],[Qty]]))</f>
        <v>72</v>
      </c>
    </row>
    <row r="1636" spans="1:14" x14ac:dyDescent="0.25">
      <c r="A1636" t="s">
        <v>1678</v>
      </c>
      <c r="B1636" s="1">
        <v>46200</v>
      </c>
      <c r="C1636">
        <f>IF(tbl_main[[#This Row],[Date]]="","",YEAR(B1636))</f>
        <v>2026</v>
      </c>
      <c r="D1636" t="str">
        <f>IF(tbl_main[[#This Row],[Date]]="","",TEXT(B1636,"mmm"))</f>
        <v>Jun</v>
      </c>
      <c r="E1636" t="str">
        <f>IF(tbl_main[[#This Row],[Date]]="","",TEXT(B1636,"DDD"))</f>
        <v>Sat</v>
      </c>
      <c r="F1636" t="s">
        <v>27</v>
      </c>
      <c r="G1636" t="s">
        <v>28</v>
      </c>
      <c r="H1636" s="3" t="s">
        <v>18</v>
      </c>
      <c r="I1636" s="3" t="s">
        <v>41</v>
      </c>
      <c r="J1636" s="3" t="s">
        <v>32</v>
      </c>
      <c r="K1636" s="3">
        <f>_xlfn.XLOOKUP(tbl_main[[#This Row],[Service]],tbl_service[Service],tbl_service[Price],"")</f>
        <v>500</v>
      </c>
      <c r="L1636" s="3">
        <v>2</v>
      </c>
      <c r="M1636" s="3">
        <f>IF(AND(tbl_main[[#This Row],[Price]]="",tbl_main[[#This Row],[Qty]]=""),"",tbl_main[[#This Row],[Price]]*tbl_main[[#This Row],[Qty]])</f>
        <v>1000</v>
      </c>
      <c r="N1636" s="3">
        <f>_xlfn.LET(_xlpm.x,_xlfn.XLOOKUP(tbl_main[[#This Row],[Service]],tbl_service[Service],tbl_service[Profit],""),
               IF(tbl_main[[#This Row],[Qty]]="","",_xlpm.x*tbl_main[[#This Row],[Qty]]))</f>
        <v>314</v>
      </c>
    </row>
    <row r="1637" spans="1:14" x14ac:dyDescent="0.25">
      <c r="A1637" t="s">
        <v>1679</v>
      </c>
      <c r="B1637" s="1">
        <v>46200</v>
      </c>
      <c r="C1637">
        <f>IF(tbl_main[[#This Row],[Date]]="","",YEAR(B1637))</f>
        <v>2026</v>
      </c>
      <c r="D1637" t="str">
        <f>IF(tbl_main[[#This Row],[Date]]="","",TEXT(B1637,"mmm"))</f>
        <v>Jun</v>
      </c>
      <c r="E1637" t="str">
        <f>IF(tbl_main[[#This Row],[Date]]="","",TEXT(B1637,"DDD"))</f>
        <v>Sat</v>
      </c>
      <c r="F1637" t="s">
        <v>13</v>
      </c>
      <c r="G1637" t="s">
        <v>33</v>
      </c>
      <c r="H1637" s="3" t="s">
        <v>24</v>
      </c>
      <c r="I1637" s="3" t="s">
        <v>35</v>
      </c>
      <c r="J1637" s="3" t="s">
        <v>25</v>
      </c>
      <c r="K1637" s="3">
        <f>_xlfn.XLOOKUP(tbl_main[[#This Row],[Service]],tbl_service[Service],tbl_service[Price],"")</f>
        <v>80</v>
      </c>
      <c r="L1637" s="3">
        <v>1</v>
      </c>
      <c r="M1637" s="3">
        <f>IF(AND(tbl_main[[#This Row],[Price]]="",tbl_main[[#This Row],[Qty]]=""),"",tbl_main[[#This Row],[Price]]*tbl_main[[#This Row],[Qty]])</f>
        <v>80</v>
      </c>
      <c r="N1637" s="3">
        <f>_xlfn.LET(_xlpm.x,_xlfn.XLOOKUP(tbl_main[[#This Row],[Service]],tbl_service[Service],tbl_service[Profit],""),
               IF(tbl_main[[#This Row],[Qty]]="","",_xlpm.x*tbl_main[[#This Row],[Qty]]))</f>
        <v>36</v>
      </c>
    </row>
    <row r="1638" spans="1:14" x14ac:dyDescent="0.25">
      <c r="A1638" t="s">
        <v>1680</v>
      </c>
      <c r="B1638" s="1">
        <v>46200</v>
      </c>
      <c r="C1638">
        <f>IF(tbl_main[[#This Row],[Date]]="","",YEAR(B1638))</f>
        <v>2026</v>
      </c>
      <c r="D1638" t="str">
        <f>IF(tbl_main[[#This Row],[Date]]="","",TEXT(B1638,"mmm"))</f>
        <v>Jun</v>
      </c>
      <c r="E1638" t="str">
        <f>IF(tbl_main[[#This Row],[Date]]="","",TEXT(B1638,"DDD"))</f>
        <v>Sat</v>
      </c>
      <c r="F1638" t="s">
        <v>27</v>
      </c>
      <c r="G1638" t="s">
        <v>40</v>
      </c>
      <c r="H1638" s="3" t="s">
        <v>34</v>
      </c>
      <c r="I1638" s="3" t="s">
        <v>35</v>
      </c>
      <c r="J1638" s="3" t="s">
        <v>32</v>
      </c>
      <c r="K1638" s="3">
        <f>_xlfn.XLOOKUP(tbl_main[[#This Row],[Service]],tbl_service[Service],tbl_service[Price],"")</f>
        <v>100</v>
      </c>
      <c r="L1638" s="3">
        <v>2</v>
      </c>
      <c r="M1638" s="3">
        <f>IF(AND(tbl_main[[#This Row],[Price]]="",tbl_main[[#This Row],[Qty]]=""),"",tbl_main[[#This Row],[Price]]*tbl_main[[#This Row],[Qty]])</f>
        <v>200</v>
      </c>
      <c r="N1638" s="3">
        <f>_xlfn.LET(_xlpm.x,_xlfn.XLOOKUP(tbl_main[[#This Row],[Service]],tbl_service[Service],tbl_service[Profit],""),
               IF(tbl_main[[#This Row],[Qty]]="","",_xlpm.x*tbl_main[[#This Row],[Qty]]))</f>
        <v>90</v>
      </c>
    </row>
    <row r="1639" spans="1:14" x14ac:dyDescent="0.25">
      <c r="A1639" t="s">
        <v>1681</v>
      </c>
      <c r="B1639" s="1">
        <v>46201</v>
      </c>
      <c r="C1639">
        <f>IF(tbl_main[[#This Row],[Date]]="","",YEAR(B1639))</f>
        <v>2026</v>
      </c>
      <c r="D1639" t="str">
        <f>IF(tbl_main[[#This Row],[Date]]="","",TEXT(B1639,"mmm"))</f>
        <v>Jun</v>
      </c>
      <c r="E1639" t="str">
        <f>IF(tbl_main[[#This Row],[Date]]="","",TEXT(B1639,"DDD"))</f>
        <v>Sun</v>
      </c>
      <c r="F1639" t="s">
        <v>27</v>
      </c>
      <c r="G1639" t="s">
        <v>28</v>
      </c>
      <c r="H1639" s="3" t="s">
        <v>24</v>
      </c>
      <c r="I1639" s="3" t="s">
        <v>23</v>
      </c>
      <c r="J1639" s="3" t="s">
        <v>17</v>
      </c>
      <c r="K1639" s="3">
        <f>_xlfn.XLOOKUP(tbl_main[[#This Row],[Service]],tbl_service[Service],tbl_service[Price],"")</f>
        <v>80</v>
      </c>
      <c r="L1639" s="3">
        <v>1</v>
      </c>
      <c r="M1639" s="3">
        <f>IF(AND(tbl_main[[#This Row],[Price]]="",tbl_main[[#This Row],[Qty]]=""),"",tbl_main[[#This Row],[Price]]*tbl_main[[#This Row],[Qty]])</f>
        <v>80</v>
      </c>
      <c r="N1639" s="3">
        <f>_xlfn.LET(_xlpm.x,_xlfn.XLOOKUP(tbl_main[[#This Row],[Service]],tbl_service[Service],tbl_service[Profit],""),
               IF(tbl_main[[#This Row],[Qty]]="","",_xlpm.x*tbl_main[[#This Row],[Qty]]))</f>
        <v>36</v>
      </c>
    </row>
    <row r="1640" spans="1:14" x14ac:dyDescent="0.25">
      <c r="A1640" t="s">
        <v>1682</v>
      </c>
      <c r="B1640" s="1">
        <v>46201</v>
      </c>
      <c r="C1640">
        <f>IF(tbl_main[[#This Row],[Date]]="","",YEAR(B1640))</f>
        <v>2026</v>
      </c>
      <c r="D1640" t="str">
        <f>IF(tbl_main[[#This Row],[Date]]="","",TEXT(B1640,"mmm"))</f>
        <v>Jun</v>
      </c>
      <c r="E1640" t="str">
        <f>IF(tbl_main[[#This Row],[Date]]="","",TEXT(B1640,"DDD"))</f>
        <v>Sun</v>
      </c>
      <c r="F1640" t="s">
        <v>27</v>
      </c>
      <c r="G1640" t="s">
        <v>40</v>
      </c>
      <c r="H1640" s="3" t="s">
        <v>15</v>
      </c>
      <c r="I1640" s="3" t="s">
        <v>37</v>
      </c>
      <c r="J1640" s="3" t="s">
        <v>32</v>
      </c>
      <c r="K1640" s="3">
        <f>_xlfn.XLOOKUP(tbl_main[[#This Row],[Service]],tbl_service[Service],tbl_service[Price],"")</f>
        <v>500</v>
      </c>
      <c r="L1640" s="3">
        <v>1</v>
      </c>
      <c r="M1640" s="3">
        <f>IF(AND(tbl_main[[#This Row],[Price]]="",tbl_main[[#This Row],[Qty]]=""),"",tbl_main[[#This Row],[Price]]*tbl_main[[#This Row],[Qty]])</f>
        <v>500</v>
      </c>
      <c r="N1640" s="3">
        <f>_xlfn.LET(_xlpm.x,_xlfn.XLOOKUP(tbl_main[[#This Row],[Service]],tbl_service[Service],tbl_service[Profit],""),
               IF(tbl_main[[#This Row],[Qty]]="","",_xlpm.x*tbl_main[[#This Row],[Qty]]))</f>
        <v>225</v>
      </c>
    </row>
    <row r="1641" spans="1:14" x14ac:dyDescent="0.25">
      <c r="A1641" t="s">
        <v>1683</v>
      </c>
      <c r="B1641" s="1">
        <v>46201</v>
      </c>
      <c r="C1641">
        <f>IF(tbl_main[[#This Row],[Date]]="","",YEAR(B1641))</f>
        <v>2026</v>
      </c>
      <c r="D1641" t="str">
        <f>IF(tbl_main[[#This Row],[Date]]="","",TEXT(B1641,"mmm"))</f>
        <v>Jun</v>
      </c>
      <c r="E1641" t="str">
        <f>IF(tbl_main[[#This Row],[Date]]="","",TEXT(B1641,"DDD"))</f>
        <v>Sun</v>
      </c>
      <c r="F1641" t="s">
        <v>13</v>
      </c>
      <c r="G1641" t="s">
        <v>33</v>
      </c>
      <c r="H1641" s="3" t="s">
        <v>18</v>
      </c>
      <c r="I1641" s="3" t="s">
        <v>38</v>
      </c>
      <c r="J1641" s="3" t="s">
        <v>32</v>
      </c>
      <c r="K1641" s="3">
        <f>_xlfn.XLOOKUP(tbl_main[[#This Row],[Service]],tbl_service[Service],tbl_service[Price],"")</f>
        <v>500</v>
      </c>
      <c r="L1641" s="3">
        <v>2</v>
      </c>
      <c r="M1641" s="3">
        <f>IF(AND(tbl_main[[#This Row],[Price]]="",tbl_main[[#This Row],[Qty]]=""),"",tbl_main[[#This Row],[Price]]*tbl_main[[#This Row],[Qty]])</f>
        <v>1000</v>
      </c>
      <c r="N1641" s="3">
        <f>_xlfn.LET(_xlpm.x,_xlfn.XLOOKUP(tbl_main[[#This Row],[Service]],tbl_service[Service],tbl_service[Profit],""),
               IF(tbl_main[[#This Row],[Qty]]="","",_xlpm.x*tbl_main[[#This Row],[Qty]]))</f>
        <v>314</v>
      </c>
    </row>
    <row r="1642" spans="1:14" x14ac:dyDescent="0.25">
      <c r="A1642" t="s">
        <v>1684</v>
      </c>
      <c r="B1642" s="1">
        <v>46201</v>
      </c>
      <c r="C1642">
        <f>IF(tbl_main[[#This Row],[Date]]="","",YEAR(B1642))</f>
        <v>2026</v>
      </c>
      <c r="D1642" t="str">
        <f>IF(tbl_main[[#This Row],[Date]]="","",TEXT(B1642,"mmm"))</f>
        <v>Jun</v>
      </c>
      <c r="E1642" t="str">
        <f>IF(tbl_main[[#This Row],[Date]]="","",TEXT(B1642,"DDD"))</f>
        <v>Sun</v>
      </c>
      <c r="F1642" t="s">
        <v>30</v>
      </c>
      <c r="G1642" t="s">
        <v>36</v>
      </c>
      <c r="H1642" s="3" t="s">
        <v>34</v>
      </c>
      <c r="I1642" s="3" t="s">
        <v>16</v>
      </c>
      <c r="J1642" s="3" t="s">
        <v>25</v>
      </c>
      <c r="K1642" s="3">
        <f>_xlfn.XLOOKUP(tbl_main[[#This Row],[Service]],tbl_service[Service],tbl_service[Price],"")</f>
        <v>100</v>
      </c>
      <c r="L1642" s="3">
        <v>1</v>
      </c>
      <c r="M1642" s="3">
        <f>IF(AND(tbl_main[[#This Row],[Price]]="",tbl_main[[#This Row],[Qty]]=""),"",tbl_main[[#This Row],[Price]]*tbl_main[[#This Row],[Qty]])</f>
        <v>100</v>
      </c>
      <c r="N1642" s="3">
        <f>_xlfn.LET(_xlpm.x,_xlfn.XLOOKUP(tbl_main[[#This Row],[Service]],tbl_service[Service],tbl_service[Profit],""),
               IF(tbl_main[[#This Row],[Qty]]="","",_xlpm.x*tbl_main[[#This Row],[Qty]]))</f>
        <v>45</v>
      </c>
    </row>
    <row r="1643" spans="1:14" x14ac:dyDescent="0.25">
      <c r="A1643" t="s">
        <v>1685</v>
      </c>
      <c r="B1643" s="1">
        <v>46202</v>
      </c>
      <c r="C1643">
        <f>IF(tbl_main[[#This Row],[Date]]="","",YEAR(B1643))</f>
        <v>2026</v>
      </c>
      <c r="D1643" t="str">
        <f>IF(tbl_main[[#This Row],[Date]]="","",TEXT(B1643,"mmm"))</f>
        <v>Jun</v>
      </c>
      <c r="E1643" t="str">
        <f>IF(tbl_main[[#This Row],[Date]]="","",TEXT(B1643,"DDD"))</f>
        <v>Mon</v>
      </c>
      <c r="F1643" t="s">
        <v>30</v>
      </c>
      <c r="G1643" t="s">
        <v>36</v>
      </c>
      <c r="H1643" s="3" t="s">
        <v>26</v>
      </c>
      <c r="I1643" s="3" t="s">
        <v>19</v>
      </c>
      <c r="J1643" s="3" t="s">
        <v>32</v>
      </c>
      <c r="K1643" s="3">
        <f>_xlfn.XLOOKUP(tbl_main[[#This Row],[Service]],tbl_service[Service],tbl_service[Price],"")</f>
        <v>200</v>
      </c>
      <c r="L1643" s="3">
        <v>2</v>
      </c>
      <c r="M1643" s="3">
        <f>IF(AND(tbl_main[[#This Row],[Price]]="",tbl_main[[#This Row],[Qty]]=""),"",tbl_main[[#This Row],[Price]]*tbl_main[[#This Row],[Qty]])</f>
        <v>400</v>
      </c>
      <c r="N1643" s="3">
        <f>_xlfn.LET(_xlpm.x,_xlfn.XLOOKUP(tbl_main[[#This Row],[Service]],tbl_service[Service],tbl_service[Profit],""),
               IF(tbl_main[[#This Row],[Qty]]="","",_xlpm.x*tbl_main[[#This Row],[Qty]]))</f>
        <v>180</v>
      </c>
    </row>
    <row r="1644" spans="1:14" x14ac:dyDescent="0.25">
      <c r="A1644" t="s">
        <v>1686</v>
      </c>
      <c r="B1644" s="1">
        <v>46202</v>
      </c>
      <c r="C1644">
        <f>IF(tbl_main[[#This Row],[Date]]="","",YEAR(B1644))</f>
        <v>2026</v>
      </c>
      <c r="D1644" t="str">
        <f>IF(tbl_main[[#This Row],[Date]]="","",TEXT(B1644,"mmm"))</f>
        <v>Jun</v>
      </c>
      <c r="E1644" t="str">
        <f>IF(tbl_main[[#This Row],[Date]]="","",TEXT(B1644,"DDD"))</f>
        <v>Mon</v>
      </c>
      <c r="F1644" t="s">
        <v>30</v>
      </c>
      <c r="G1644" t="s">
        <v>31</v>
      </c>
      <c r="H1644" s="3" t="s">
        <v>15</v>
      </c>
      <c r="I1644" s="3" t="s">
        <v>43</v>
      </c>
      <c r="J1644" s="3" t="s">
        <v>32</v>
      </c>
      <c r="K1644" s="3">
        <f>_xlfn.XLOOKUP(tbl_main[[#This Row],[Service]],tbl_service[Service],tbl_service[Price],"")</f>
        <v>500</v>
      </c>
      <c r="L1644" s="3">
        <v>1</v>
      </c>
      <c r="M1644" s="3">
        <f>IF(AND(tbl_main[[#This Row],[Price]]="",tbl_main[[#This Row],[Qty]]=""),"",tbl_main[[#This Row],[Price]]*tbl_main[[#This Row],[Qty]])</f>
        <v>500</v>
      </c>
      <c r="N1644" s="3">
        <f>_xlfn.LET(_xlpm.x,_xlfn.XLOOKUP(tbl_main[[#This Row],[Service]],tbl_service[Service],tbl_service[Profit],""),
               IF(tbl_main[[#This Row],[Qty]]="","",_xlpm.x*tbl_main[[#This Row],[Qty]]))</f>
        <v>225</v>
      </c>
    </row>
    <row r="1645" spans="1:14" x14ac:dyDescent="0.25">
      <c r="A1645" t="s">
        <v>1687</v>
      </c>
      <c r="B1645" s="1">
        <v>46203</v>
      </c>
      <c r="C1645">
        <f>IF(tbl_main[[#This Row],[Date]]="","",YEAR(B1645))</f>
        <v>2026</v>
      </c>
      <c r="D1645" t="str">
        <f>IF(tbl_main[[#This Row],[Date]]="","",TEXT(B1645,"mmm"))</f>
        <v>Jun</v>
      </c>
      <c r="E1645" t="str">
        <f>IF(tbl_main[[#This Row],[Date]]="","",TEXT(B1645,"DDD"))</f>
        <v>Tue</v>
      </c>
      <c r="F1645" t="s">
        <v>20</v>
      </c>
      <c r="G1645" t="s">
        <v>39</v>
      </c>
      <c r="H1645" s="3" t="s">
        <v>15</v>
      </c>
      <c r="I1645" s="3" t="s">
        <v>41</v>
      </c>
      <c r="J1645" s="3" t="s">
        <v>17</v>
      </c>
      <c r="K1645" s="3">
        <f>_xlfn.XLOOKUP(tbl_main[[#This Row],[Service]],tbl_service[Service],tbl_service[Price],"")</f>
        <v>500</v>
      </c>
      <c r="L1645" s="3">
        <v>2</v>
      </c>
      <c r="M1645" s="3">
        <f>IF(AND(tbl_main[[#This Row],[Price]]="",tbl_main[[#This Row],[Qty]]=""),"",tbl_main[[#This Row],[Price]]*tbl_main[[#This Row],[Qty]])</f>
        <v>1000</v>
      </c>
      <c r="N1645" s="3">
        <f>_xlfn.LET(_xlpm.x,_xlfn.XLOOKUP(tbl_main[[#This Row],[Service]],tbl_service[Service],tbl_service[Profit],""),
               IF(tbl_main[[#This Row],[Qty]]="","",_xlpm.x*tbl_main[[#This Row],[Qty]]))</f>
        <v>450</v>
      </c>
    </row>
    <row r="1646" spans="1:14" x14ac:dyDescent="0.25">
      <c r="A1646" t="s">
        <v>1688</v>
      </c>
      <c r="B1646" s="1">
        <v>46203</v>
      </c>
      <c r="C1646">
        <f>IF(tbl_main[[#This Row],[Date]]="","",YEAR(B1646))</f>
        <v>2026</v>
      </c>
      <c r="D1646" t="str">
        <f>IF(tbl_main[[#This Row],[Date]]="","",TEXT(B1646,"mmm"))</f>
        <v>Jun</v>
      </c>
      <c r="E1646" t="str">
        <f>IF(tbl_main[[#This Row],[Date]]="","",TEXT(B1646,"DDD"))</f>
        <v>Tue</v>
      </c>
      <c r="F1646" t="s">
        <v>30</v>
      </c>
      <c r="G1646" t="s">
        <v>36</v>
      </c>
      <c r="H1646" s="3" t="s">
        <v>15</v>
      </c>
      <c r="I1646" s="3" t="s">
        <v>41</v>
      </c>
      <c r="J1646" s="3" t="s">
        <v>25</v>
      </c>
      <c r="K1646" s="3">
        <f>_xlfn.XLOOKUP(tbl_main[[#This Row],[Service]],tbl_service[Service],tbl_service[Price],"")</f>
        <v>500</v>
      </c>
      <c r="L1646" s="3">
        <v>1</v>
      </c>
      <c r="M1646" s="3">
        <f>IF(AND(tbl_main[[#This Row],[Price]]="",tbl_main[[#This Row],[Qty]]=""),"",tbl_main[[#This Row],[Price]]*tbl_main[[#This Row],[Qty]])</f>
        <v>500</v>
      </c>
      <c r="N1646" s="3">
        <f>_xlfn.LET(_xlpm.x,_xlfn.XLOOKUP(tbl_main[[#This Row],[Service]],tbl_service[Service],tbl_service[Profit],""),
               IF(tbl_main[[#This Row],[Qty]]="","",_xlpm.x*tbl_main[[#This Row],[Qty]]))</f>
        <v>225</v>
      </c>
    </row>
    <row r="1647" spans="1:14" x14ac:dyDescent="0.25">
      <c r="A1647" t="s">
        <v>1689</v>
      </c>
      <c r="B1647" s="1">
        <v>46203</v>
      </c>
      <c r="C1647">
        <f>IF(tbl_main[[#This Row],[Date]]="","",YEAR(B1647))</f>
        <v>2026</v>
      </c>
      <c r="D1647" t="str">
        <f>IF(tbl_main[[#This Row],[Date]]="","",TEXT(B1647,"mmm"))</f>
        <v>Jun</v>
      </c>
      <c r="E1647" t="str">
        <f>IF(tbl_main[[#This Row],[Date]]="","",TEXT(B1647,"DDD"))</f>
        <v>Tue</v>
      </c>
      <c r="F1647" t="s">
        <v>30</v>
      </c>
      <c r="G1647" t="s">
        <v>31</v>
      </c>
      <c r="H1647" s="3" t="s">
        <v>18</v>
      </c>
      <c r="I1647" s="3" t="s">
        <v>35</v>
      </c>
      <c r="J1647" s="3" t="s">
        <v>17</v>
      </c>
      <c r="K1647" s="3">
        <f>_xlfn.XLOOKUP(tbl_main[[#This Row],[Service]],tbl_service[Service],tbl_service[Price],"")</f>
        <v>500</v>
      </c>
      <c r="L1647" s="3">
        <v>2</v>
      </c>
      <c r="M1647" s="3">
        <f>IF(AND(tbl_main[[#This Row],[Price]]="",tbl_main[[#This Row],[Qty]]=""),"",tbl_main[[#This Row],[Price]]*tbl_main[[#This Row],[Qty]])</f>
        <v>1000</v>
      </c>
      <c r="N1647" s="3">
        <f>_xlfn.LET(_xlpm.x,_xlfn.XLOOKUP(tbl_main[[#This Row],[Service]],tbl_service[Service],tbl_service[Profit],""),
               IF(tbl_main[[#This Row],[Qty]]="","",_xlpm.x*tbl_main[[#This Row],[Qty]]))</f>
        <v>314</v>
      </c>
    </row>
    <row r="1648" spans="1:14" x14ac:dyDescent="0.25">
      <c r="A1648" t="s">
        <v>1690</v>
      </c>
      <c r="B1648" s="1">
        <v>46203</v>
      </c>
      <c r="C1648">
        <f>IF(tbl_main[[#This Row],[Date]]="","",YEAR(B1648))</f>
        <v>2026</v>
      </c>
      <c r="D1648" t="str">
        <f>IF(tbl_main[[#This Row],[Date]]="","",TEXT(B1648,"mmm"))</f>
        <v>Jun</v>
      </c>
      <c r="E1648" t="str">
        <f>IF(tbl_main[[#This Row],[Date]]="","",TEXT(B1648,"DDD"))</f>
        <v>Tue</v>
      </c>
      <c r="F1648" t="s">
        <v>27</v>
      </c>
      <c r="G1648" t="s">
        <v>28</v>
      </c>
      <c r="H1648" s="3" t="s">
        <v>26</v>
      </c>
      <c r="I1648" s="3" t="s">
        <v>35</v>
      </c>
      <c r="J1648" s="3" t="s">
        <v>32</v>
      </c>
      <c r="K1648" s="3">
        <f>_xlfn.XLOOKUP(tbl_main[[#This Row],[Service]],tbl_service[Service],tbl_service[Price],"")</f>
        <v>200</v>
      </c>
      <c r="L1648" s="3">
        <v>1</v>
      </c>
      <c r="M1648" s="3">
        <f>IF(AND(tbl_main[[#This Row],[Price]]="",tbl_main[[#This Row],[Qty]]=""),"",tbl_main[[#This Row],[Price]]*tbl_main[[#This Row],[Qty]])</f>
        <v>200</v>
      </c>
      <c r="N1648" s="3">
        <f>_xlfn.LET(_xlpm.x,_xlfn.XLOOKUP(tbl_main[[#This Row],[Service]],tbl_service[Service],tbl_service[Profit],""),
               IF(tbl_main[[#This Row],[Qty]]="","",_xlpm.x*tbl_main[[#This Row],[Qty]]))</f>
        <v>90</v>
      </c>
    </row>
    <row r="1649" spans="1:14" x14ac:dyDescent="0.25">
      <c r="A1649" t="s">
        <v>1691</v>
      </c>
      <c r="B1649" s="1">
        <v>46204</v>
      </c>
      <c r="C1649">
        <f>IF(tbl_main[[#This Row],[Date]]="","",YEAR(B1649))</f>
        <v>2026</v>
      </c>
      <c r="D1649" t="str">
        <f>IF(tbl_main[[#This Row],[Date]]="","",TEXT(B1649,"mmm"))</f>
        <v>Jul</v>
      </c>
      <c r="E1649" t="str">
        <f>IF(tbl_main[[#This Row],[Date]]="","",TEXT(B1649,"DDD"))</f>
        <v>Wed</v>
      </c>
      <c r="F1649" t="s">
        <v>30</v>
      </c>
      <c r="G1649" t="s">
        <v>36</v>
      </c>
      <c r="H1649" s="3" t="s">
        <v>18</v>
      </c>
      <c r="I1649" s="3" t="s">
        <v>23</v>
      </c>
      <c r="J1649" s="3" t="s">
        <v>25</v>
      </c>
      <c r="K1649" s="3">
        <f>_xlfn.XLOOKUP(tbl_main[[#This Row],[Service]],tbl_service[Service],tbl_service[Price],"")</f>
        <v>500</v>
      </c>
      <c r="L1649" s="3">
        <v>2</v>
      </c>
      <c r="M1649" s="3">
        <f>IF(AND(tbl_main[[#This Row],[Price]]="",tbl_main[[#This Row],[Qty]]=""),"",tbl_main[[#This Row],[Price]]*tbl_main[[#This Row],[Qty]])</f>
        <v>1000</v>
      </c>
      <c r="N1649" s="3">
        <f>_xlfn.LET(_xlpm.x,_xlfn.XLOOKUP(tbl_main[[#This Row],[Service]],tbl_service[Service],tbl_service[Profit],""),
               IF(tbl_main[[#This Row],[Qty]]="","",_xlpm.x*tbl_main[[#This Row],[Qty]]))</f>
        <v>314</v>
      </c>
    </row>
    <row r="1650" spans="1:14" x14ac:dyDescent="0.25">
      <c r="A1650" t="s">
        <v>1692</v>
      </c>
      <c r="B1650" s="1">
        <v>46204</v>
      </c>
      <c r="C1650">
        <f>IF(tbl_main[[#This Row],[Date]]="","",YEAR(B1650))</f>
        <v>2026</v>
      </c>
      <c r="D1650" t="str">
        <f>IF(tbl_main[[#This Row],[Date]]="","",TEXT(B1650,"mmm"))</f>
        <v>Jul</v>
      </c>
      <c r="E1650" t="str">
        <f>IF(tbl_main[[#This Row],[Date]]="","",TEXT(B1650,"DDD"))</f>
        <v>Wed</v>
      </c>
      <c r="F1650" t="s">
        <v>30</v>
      </c>
      <c r="G1650" t="s">
        <v>36</v>
      </c>
      <c r="H1650" s="3" t="s">
        <v>34</v>
      </c>
      <c r="I1650" s="3" t="s">
        <v>37</v>
      </c>
      <c r="J1650" s="3" t="s">
        <v>25</v>
      </c>
      <c r="K1650" s="3">
        <f>_xlfn.XLOOKUP(tbl_main[[#This Row],[Service]],tbl_service[Service],tbl_service[Price],"")</f>
        <v>100</v>
      </c>
      <c r="L1650" s="3">
        <v>2</v>
      </c>
      <c r="M1650" s="3">
        <f>IF(AND(tbl_main[[#This Row],[Price]]="",tbl_main[[#This Row],[Qty]]=""),"",tbl_main[[#This Row],[Price]]*tbl_main[[#This Row],[Qty]])</f>
        <v>200</v>
      </c>
      <c r="N1650" s="3">
        <f>_xlfn.LET(_xlpm.x,_xlfn.XLOOKUP(tbl_main[[#This Row],[Service]],tbl_service[Service],tbl_service[Profit],""),
               IF(tbl_main[[#This Row],[Qty]]="","",_xlpm.x*tbl_main[[#This Row],[Qty]]))</f>
        <v>90</v>
      </c>
    </row>
    <row r="1651" spans="1:14" x14ac:dyDescent="0.25">
      <c r="A1651" t="s">
        <v>1693</v>
      </c>
      <c r="B1651" s="1">
        <v>46205</v>
      </c>
      <c r="C1651">
        <f>IF(tbl_main[[#This Row],[Date]]="","",YEAR(B1651))</f>
        <v>2026</v>
      </c>
      <c r="D1651" t="str">
        <f>IF(tbl_main[[#This Row],[Date]]="","",TEXT(B1651,"mmm"))</f>
        <v>Jul</v>
      </c>
      <c r="E1651" t="str">
        <f>IF(tbl_main[[#This Row],[Date]]="","",TEXT(B1651,"DDD"))</f>
        <v>Thu</v>
      </c>
      <c r="F1651" t="s">
        <v>30</v>
      </c>
      <c r="G1651" t="s">
        <v>36</v>
      </c>
      <c r="H1651" s="3" t="s">
        <v>34</v>
      </c>
      <c r="I1651" s="3" t="s">
        <v>38</v>
      </c>
      <c r="J1651" s="3" t="s">
        <v>25</v>
      </c>
      <c r="K1651" s="3">
        <f>_xlfn.XLOOKUP(tbl_main[[#This Row],[Service]],tbl_service[Service],tbl_service[Price],"")</f>
        <v>100</v>
      </c>
      <c r="L1651" s="3">
        <v>1</v>
      </c>
      <c r="M1651" s="3">
        <f>IF(AND(tbl_main[[#This Row],[Price]]="",tbl_main[[#This Row],[Qty]]=""),"",tbl_main[[#This Row],[Price]]*tbl_main[[#This Row],[Qty]])</f>
        <v>100</v>
      </c>
      <c r="N1651" s="3">
        <f>_xlfn.LET(_xlpm.x,_xlfn.XLOOKUP(tbl_main[[#This Row],[Service]],tbl_service[Service],tbl_service[Profit],""),
               IF(tbl_main[[#This Row],[Qty]]="","",_xlpm.x*tbl_main[[#This Row],[Qty]]))</f>
        <v>45</v>
      </c>
    </row>
    <row r="1652" spans="1:14" x14ac:dyDescent="0.25">
      <c r="A1652" t="s">
        <v>1694</v>
      </c>
      <c r="B1652" s="1">
        <v>46205</v>
      </c>
      <c r="C1652">
        <f>IF(tbl_main[[#This Row],[Date]]="","",YEAR(B1652))</f>
        <v>2026</v>
      </c>
      <c r="D1652" t="str">
        <f>IF(tbl_main[[#This Row],[Date]]="","",TEXT(B1652,"mmm"))</f>
        <v>Jul</v>
      </c>
      <c r="E1652" t="str">
        <f>IF(tbl_main[[#This Row],[Date]]="","",TEXT(B1652,"DDD"))</f>
        <v>Thu</v>
      </c>
      <c r="F1652" t="s">
        <v>30</v>
      </c>
      <c r="G1652" t="s">
        <v>36</v>
      </c>
      <c r="H1652" s="3" t="s">
        <v>18</v>
      </c>
      <c r="I1652" s="3" t="s">
        <v>16</v>
      </c>
      <c r="J1652" s="3" t="s">
        <v>25</v>
      </c>
      <c r="K1652" s="3">
        <f>_xlfn.XLOOKUP(tbl_main[[#This Row],[Service]],tbl_service[Service],tbl_service[Price],"")</f>
        <v>500</v>
      </c>
      <c r="L1652" s="3">
        <v>2</v>
      </c>
      <c r="M1652" s="3">
        <f>IF(AND(tbl_main[[#This Row],[Price]]="",tbl_main[[#This Row],[Qty]]=""),"",tbl_main[[#This Row],[Price]]*tbl_main[[#This Row],[Qty]])</f>
        <v>1000</v>
      </c>
      <c r="N1652" s="3">
        <f>_xlfn.LET(_xlpm.x,_xlfn.XLOOKUP(tbl_main[[#This Row],[Service]],tbl_service[Service],tbl_service[Profit],""),
               IF(tbl_main[[#This Row],[Qty]]="","",_xlpm.x*tbl_main[[#This Row],[Qty]]))</f>
        <v>314</v>
      </c>
    </row>
    <row r="1653" spans="1:14" x14ac:dyDescent="0.25">
      <c r="A1653" t="s">
        <v>1695</v>
      </c>
      <c r="B1653" s="1">
        <v>46205</v>
      </c>
      <c r="C1653">
        <f>IF(tbl_main[[#This Row],[Date]]="","",YEAR(B1653))</f>
        <v>2026</v>
      </c>
      <c r="D1653" t="str">
        <f>IF(tbl_main[[#This Row],[Date]]="","",TEXT(B1653,"mmm"))</f>
        <v>Jul</v>
      </c>
      <c r="E1653" t="str">
        <f>IF(tbl_main[[#This Row],[Date]]="","",TEXT(B1653,"DDD"))</f>
        <v>Thu</v>
      </c>
      <c r="F1653" t="s">
        <v>30</v>
      </c>
      <c r="G1653" t="s">
        <v>36</v>
      </c>
      <c r="H1653" s="3" t="s">
        <v>24</v>
      </c>
      <c r="I1653" s="3" t="s">
        <v>19</v>
      </c>
      <c r="J1653" s="3" t="s">
        <v>25</v>
      </c>
      <c r="K1653" s="3">
        <f>_xlfn.XLOOKUP(tbl_main[[#This Row],[Service]],tbl_service[Service],tbl_service[Price],"")</f>
        <v>80</v>
      </c>
      <c r="L1653" s="3">
        <v>1</v>
      </c>
      <c r="M1653" s="3">
        <f>IF(AND(tbl_main[[#This Row],[Price]]="",tbl_main[[#This Row],[Qty]]=""),"",tbl_main[[#This Row],[Price]]*tbl_main[[#This Row],[Qty]])</f>
        <v>80</v>
      </c>
      <c r="N1653" s="3">
        <f>_xlfn.LET(_xlpm.x,_xlfn.XLOOKUP(tbl_main[[#This Row],[Service]],tbl_service[Service],tbl_service[Profit],""),
               IF(tbl_main[[#This Row],[Qty]]="","",_xlpm.x*tbl_main[[#This Row],[Qty]]))</f>
        <v>36</v>
      </c>
    </row>
    <row r="1654" spans="1:14" x14ac:dyDescent="0.25">
      <c r="A1654" t="s">
        <v>1696</v>
      </c>
      <c r="B1654" s="1">
        <v>46205</v>
      </c>
      <c r="C1654">
        <f>IF(tbl_main[[#This Row],[Date]]="","",YEAR(B1654))</f>
        <v>2026</v>
      </c>
      <c r="D1654" t="str">
        <f>IF(tbl_main[[#This Row],[Date]]="","",TEXT(B1654,"mmm"))</f>
        <v>Jul</v>
      </c>
      <c r="E1654" t="str">
        <f>IF(tbl_main[[#This Row],[Date]]="","",TEXT(B1654,"DDD"))</f>
        <v>Thu</v>
      </c>
      <c r="F1654" t="s">
        <v>27</v>
      </c>
      <c r="G1654" t="s">
        <v>28</v>
      </c>
      <c r="H1654" s="3" t="s">
        <v>15</v>
      </c>
      <c r="I1654" s="3" t="s">
        <v>43</v>
      </c>
      <c r="J1654" s="3" t="s">
        <v>25</v>
      </c>
      <c r="K1654" s="3">
        <f>_xlfn.XLOOKUP(tbl_main[[#This Row],[Service]],tbl_service[Service],tbl_service[Price],"")</f>
        <v>500</v>
      </c>
      <c r="L1654" s="3">
        <v>2</v>
      </c>
      <c r="M1654" s="3">
        <f>IF(AND(tbl_main[[#This Row],[Price]]="",tbl_main[[#This Row],[Qty]]=""),"",tbl_main[[#This Row],[Price]]*tbl_main[[#This Row],[Qty]])</f>
        <v>1000</v>
      </c>
      <c r="N1654" s="3">
        <f>_xlfn.LET(_xlpm.x,_xlfn.XLOOKUP(tbl_main[[#This Row],[Service]],tbl_service[Service],tbl_service[Profit],""),
               IF(tbl_main[[#This Row],[Qty]]="","",_xlpm.x*tbl_main[[#This Row],[Qty]]))</f>
        <v>450</v>
      </c>
    </row>
    <row r="1655" spans="1:14" x14ac:dyDescent="0.25">
      <c r="A1655" t="s">
        <v>1697</v>
      </c>
      <c r="B1655" s="1">
        <v>46206</v>
      </c>
      <c r="C1655">
        <f>IF(tbl_main[[#This Row],[Date]]="","",YEAR(B1655))</f>
        <v>2026</v>
      </c>
      <c r="D1655" t="str">
        <f>IF(tbl_main[[#This Row],[Date]]="","",TEXT(B1655,"mmm"))</f>
        <v>Jul</v>
      </c>
      <c r="E1655" t="str">
        <f>IF(tbl_main[[#This Row],[Date]]="","",TEXT(B1655,"DDD"))</f>
        <v>Fri</v>
      </c>
      <c r="F1655" t="s">
        <v>30</v>
      </c>
      <c r="G1655" t="s">
        <v>36</v>
      </c>
      <c r="H1655" s="3" t="s">
        <v>22</v>
      </c>
      <c r="I1655" s="3" t="s">
        <v>41</v>
      </c>
      <c r="J1655" s="3" t="s">
        <v>32</v>
      </c>
      <c r="K1655" s="3">
        <f>_xlfn.XLOOKUP(tbl_main[[#This Row],[Service]],tbl_service[Service],tbl_service[Price],"")</f>
        <v>150</v>
      </c>
      <c r="L1655" s="3">
        <v>1</v>
      </c>
      <c r="M1655" s="3">
        <f>IF(AND(tbl_main[[#This Row],[Price]]="",tbl_main[[#This Row],[Qty]]=""),"",tbl_main[[#This Row],[Price]]*tbl_main[[#This Row],[Qty]])</f>
        <v>150</v>
      </c>
      <c r="N1655" s="3">
        <f>_xlfn.LET(_xlpm.x,_xlfn.XLOOKUP(tbl_main[[#This Row],[Service]],tbl_service[Service],tbl_service[Profit],""),
               IF(tbl_main[[#This Row],[Qty]]="","",_xlpm.x*tbl_main[[#This Row],[Qty]]))</f>
        <v>67</v>
      </c>
    </row>
    <row r="1656" spans="1:14" x14ac:dyDescent="0.25">
      <c r="A1656" t="s">
        <v>1698</v>
      </c>
      <c r="B1656" s="1">
        <v>46206</v>
      </c>
      <c r="C1656">
        <f>IF(tbl_main[[#This Row],[Date]]="","",YEAR(B1656))</f>
        <v>2026</v>
      </c>
      <c r="D1656" t="str">
        <f>IF(tbl_main[[#This Row],[Date]]="","",TEXT(B1656,"mmm"))</f>
        <v>Jul</v>
      </c>
      <c r="E1656" t="str">
        <f>IF(tbl_main[[#This Row],[Date]]="","",TEXT(B1656,"DDD"))</f>
        <v>Fri</v>
      </c>
      <c r="F1656" t="s">
        <v>27</v>
      </c>
      <c r="G1656" t="s">
        <v>40</v>
      </c>
      <c r="H1656" s="3" t="s">
        <v>22</v>
      </c>
      <c r="I1656" s="3" t="s">
        <v>41</v>
      </c>
      <c r="J1656" s="3" t="s">
        <v>25</v>
      </c>
      <c r="K1656" s="3">
        <f>_xlfn.XLOOKUP(tbl_main[[#This Row],[Service]],tbl_service[Service],tbl_service[Price],"")</f>
        <v>150</v>
      </c>
      <c r="L1656" s="3">
        <v>1</v>
      </c>
      <c r="M1656" s="3">
        <f>IF(AND(tbl_main[[#This Row],[Price]]="",tbl_main[[#This Row],[Qty]]=""),"",tbl_main[[#This Row],[Price]]*tbl_main[[#This Row],[Qty]])</f>
        <v>150</v>
      </c>
      <c r="N1656" s="3">
        <f>_xlfn.LET(_xlpm.x,_xlfn.XLOOKUP(tbl_main[[#This Row],[Service]],tbl_service[Service],tbl_service[Profit],""),
               IF(tbl_main[[#This Row],[Qty]]="","",_xlpm.x*tbl_main[[#This Row],[Qty]]))</f>
        <v>67</v>
      </c>
    </row>
    <row r="1657" spans="1:14" x14ac:dyDescent="0.25">
      <c r="A1657" t="s">
        <v>1699</v>
      </c>
      <c r="B1657" s="1">
        <v>46206</v>
      </c>
      <c r="C1657">
        <f>IF(tbl_main[[#This Row],[Date]]="","",YEAR(B1657))</f>
        <v>2026</v>
      </c>
      <c r="D1657" t="str">
        <f>IF(tbl_main[[#This Row],[Date]]="","",TEXT(B1657,"mmm"))</f>
        <v>Jul</v>
      </c>
      <c r="E1657" t="str">
        <f>IF(tbl_main[[#This Row],[Date]]="","",TEXT(B1657,"DDD"))</f>
        <v>Fri</v>
      </c>
      <c r="F1657" t="s">
        <v>27</v>
      </c>
      <c r="G1657" t="s">
        <v>40</v>
      </c>
      <c r="H1657" s="3" t="s">
        <v>34</v>
      </c>
      <c r="I1657" s="3" t="s">
        <v>35</v>
      </c>
      <c r="J1657" s="3" t="s">
        <v>32</v>
      </c>
      <c r="K1657" s="3">
        <f>_xlfn.XLOOKUP(tbl_main[[#This Row],[Service]],tbl_service[Service],tbl_service[Price],"")</f>
        <v>100</v>
      </c>
      <c r="L1657" s="3">
        <v>1</v>
      </c>
      <c r="M1657" s="3">
        <f>IF(AND(tbl_main[[#This Row],[Price]]="",tbl_main[[#This Row],[Qty]]=""),"",tbl_main[[#This Row],[Price]]*tbl_main[[#This Row],[Qty]])</f>
        <v>100</v>
      </c>
      <c r="N1657" s="3">
        <f>_xlfn.LET(_xlpm.x,_xlfn.XLOOKUP(tbl_main[[#This Row],[Service]],tbl_service[Service],tbl_service[Profit],""),
               IF(tbl_main[[#This Row],[Qty]]="","",_xlpm.x*tbl_main[[#This Row],[Qty]]))</f>
        <v>45</v>
      </c>
    </row>
    <row r="1658" spans="1:14" x14ac:dyDescent="0.25">
      <c r="A1658" t="s">
        <v>1700</v>
      </c>
      <c r="B1658" s="1">
        <v>46207</v>
      </c>
      <c r="C1658">
        <f>IF(tbl_main[[#This Row],[Date]]="","",YEAR(B1658))</f>
        <v>2026</v>
      </c>
      <c r="D1658" t="str">
        <f>IF(tbl_main[[#This Row],[Date]]="","",TEXT(B1658,"mmm"))</f>
        <v>Jul</v>
      </c>
      <c r="E1658" t="str">
        <f>IF(tbl_main[[#This Row],[Date]]="","",TEXT(B1658,"DDD"))</f>
        <v>Sat</v>
      </c>
      <c r="F1658" t="s">
        <v>30</v>
      </c>
      <c r="G1658" t="s">
        <v>36</v>
      </c>
      <c r="H1658" s="3" t="s">
        <v>34</v>
      </c>
      <c r="I1658" s="3" t="s">
        <v>35</v>
      </c>
      <c r="J1658" s="3" t="s">
        <v>25</v>
      </c>
      <c r="K1658" s="3">
        <f>_xlfn.XLOOKUP(tbl_main[[#This Row],[Service]],tbl_service[Service],tbl_service[Price],"")</f>
        <v>100</v>
      </c>
      <c r="L1658" s="3">
        <v>2</v>
      </c>
      <c r="M1658" s="3">
        <f>IF(AND(tbl_main[[#This Row],[Price]]="",tbl_main[[#This Row],[Qty]]=""),"",tbl_main[[#This Row],[Price]]*tbl_main[[#This Row],[Qty]])</f>
        <v>200</v>
      </c>
      <c r="N1658" s="3">
        <f>_xlfn.LET(_xlpm.x,_xlfn.XLOOKUP(tbl_main[[#This Row],[Service]],tbl_service[Service],tbl_service[Profit],""),
               IF(tbl_main[[#This Row],[Qty]]="","",_xlpm.x*tbl_main[[#This Row],[Qty]]))</f>
        <v>90</v>
      </c>
    </row>
    <row r="1659" spans="1:14" x14ac:dyDescent="0.25">
      <c r="A1659" t="s">
        <v>1701</v>
      </c>
      <c r="B1659" s="1">
        <v>46207</v>
      </c>
      <c r="C1659">
        <f>IF(tbl_main[[#This Row],[Date]]="","",YEAR(B1659))</f>
        <v>2026</v>
      </c>
      <c r="D1659" t="str">
        <f>IF(tbl_main[[#This Row],[Date]]="","",TEXT(B1659,"mmm"))</f>
        <v>Jul</v>
      </c>
      <c r="E1659" t="str">
        <f>IF(tbl_main[[#This Row],[Date]]="","",TEXT(B1659,"DDD"))</f>
        <v>Sat</v>
      </c>
      <c r="F1659" t="s">
        <v>27</v>
      </c>
      <c r="G1659" t="s">
        <v>40</v>
      </c>
      <c r="H1659" s="3" t="s">
        <v>22</v>
      </c>
      <c r="I1659" s="3" t="s">
        <v>23</v>
      </c>
      <c r="J1659" s="3" t="s">
        <v>32</v>
      </c>
      <c r="K1659" s="3">
        <f>_xlfn.XLOOKUP(tbl_main[[#This Row],[Service]],tbl_service[Service],tbl_service[Price],"")</f>
        <v>150</v>
      </c>
      <c r="L1659" s="3">
        <v>1</v>
      </c>
      <c r="M1659" s="3">
        <f>IF(AND(tbl_main[[#This Row],[Price]]="",tbl_main[[#This Row],[Qty]]=""),"",tbl_main[[#This Row],[Price]]*tbl_main[[#This Row],[Qty]])</f>
        <v>150</v>
      </c>
      <c r="N1659" s="3">
        <f>_xlfn.LET(_xlpm.x,_xlfn.XLOOKUP(tbl_main[[#This Row],[Service]],tbl_service[Service],tbl_service[Profit],""),
               IF(tbl_main[[#This Row],[Qty]]="","",_xlpm.x*tbl_main[[#This Row],[Qty]]))</f>
        <v>67</v>
      </c>
    </row>
    <row r="1660" spans="1:14" x14ac:dyDescent="0.25">
      <c r="A1660" t="s">
        <v>1702</v>
      </c>
      <c r="B1660" s="1">
        <v>46207</v>
      </c>
      <c r="C1660">
        <f>IF(tbl_main[[#This Row],[Date]]="","",YEAR(B1660))</f>
        <v>2026</v>
      </c>
      <c r="D1660" t="str">
        <f>IF(tbl_main[[#This Row],[Date]]="","",TEXT(B1660,"mmm"))</f>
        <v>Jul</v>
      </c>
      <c r="E1660" t="str">
        <f>IF(tbl_main[[#This Row],[Date]]="","",TEXT(B1660,"DDD"))</f>
        <v>Sat</v>
      </c>
      <c r="F1660" t="s">
        <v>30</v>
      </c>
      <c r="G1660" t="s">
        <v>31</v>
      </c>
      <c r="H1660" s="3" t="s">
        <v>26</v>
      </c>
      <c r="I1660" s="3" t="s">
        <v>37</v>
      </c>
      <c r="J1660" s="3" t="s">
        <v>32</v>
      </c>
      <c r="K1660" s="3">
        <f>_xlfn.XLOOKUP(tbl_main[[#This Row],[Service]],tbl_service[Service],tbl_service[Price],"")</f>
        <v>200</v>
      </c>
      <c r="L1660" s="3">
        <v>2</v>
      </c>
      <c r="M1660" s="3">
        <f>IF(AND(tbl_main[[#This Row],[Price]]="",tbl_main[[#This Row],[Qty]]=""),"",tbl_main[[#This Row],[Price]]*tbl_main[[#This Row],[Qty]])</f>
        <v>400</v>
      </c>
      <c r="N1660" s="3">
        <f>_xlfn.LET(_xlpm.x,_xlfn.XLOOKUP(tbl_main[[#This Row],[Service]],tbl_service[Service],tbl_service[Profit],""),
               IF(tbl_main[[#This Row],[Qty]]="","",_xlpm.x*tbl_main[[#This Row],[Qty]]))</f>
        <v>180</v>
      </c>
    </row>
    <row r="1661" spans="1:14" x14ac:dyDescent="0.25">
      <c r="A1661" t="s">
        <v>1703</v>
      </c>
      <c r="B1661" s="1">
        <v>46208</v>
      </c>
      <c r="C1661">
        <f>IF(tbl_main[[#This Row],[Date]]="","",YEAR(B1661))</f>
        <v>2026</v>
      </c>
      <c r="D1661" t="str">
        <f>IF(tbl_main[[#This Row],[Date]]="","",TEXT(B1661,"mmm"))</f>
        <v>Jul</v>
      </c>
      <c r="E1661" t="str">
        <f>IF(tbl_main[[#This Row],[Date]]="","",TEXT(B1661,"DDD"))</f>
        <v>Sun</v>
      </c>
      <c r="F1661" t="s">
        <v>20</v>
      </c>
      <c r="G1661" t="s">
        <v>21</v>
      </c>
      <c r="H1661" s="3" t="s">
        <v>15</v>
      </c>
      <c r="I1661" s="3" t="s">
        <v>38</v>
      </c>
      <c r="J1661" s="3" t="s">
        <v>17</v>
      </c>
      <c r="K1661" s="3">
        <f>_xlfn.XLOOKUP(tbl_main[[#This Row],[Service]],tbl_service[Service],tbl_service[Price],"")</f>
        <v>500</v>
      </c>
      <c r="L1661" s="3">
        <v>2</v>
      </c>
      <c r="M1661" s="3">
        <f>IF(AND(tbl_main[[#This Row],[Price]]="",tbl_main[[#This Row],[Qty]]=""),"",tbl_main[[#This Row],[Price]]*tbl_main[[#This Row],[Qty]])</f>
        <v>1000</v>
      </c>
      <c r="N1661" s="3">
        <f>_xlfn.LET(_xlpm.x,_xlfn.XLOOKUP(tbl_main[[#This Row],[Service]],tbl_service[Service],tbl_service[Profit],""),
               IF(tbl_main[[#This Row],[Qty]]="","",_xlpm.x*tbl_main[[#This Row],[Qty]]))</f>
        <v>450</v>
      </c>
    </row>
    <row r="1662" spans="1:14" x14ac:dyDescent="0.25">
      <c r="A1662" t="s">
        <v>1704</v>
      </c>
      <c r="B1662" s="1">
        <v>46208</v>
      </c>
      <c r="C1662">
        <f>IF(tbl_main[[#This Row],[Date]]="","",YEAR(B1662))</f>
        <v>2026</v>
      </c>
      <c r="D1662" t="str">
        <f>IF(tbl_main[[#This Row],[Date]]="","",TEXT(B1662,"mmm"))</f>
        <v>Jul</v>
      </c>
      <c r="E1662" t="str">
        <f>IF(tbl_main[[#This Row],[Date]]="","",TEXT(B1662,"DDD"))</f>
        <v>Sun</v>
      </c>
      <c r="F1662" t="s">
        <v>27</v>
      </c>
      <c r="G1662" t="s">
        <v>40</v>
      </c>
      <c r="H1662" s="3" t="s">
        <v>18</v>
      </c>
      <c r="I1662" s="3" t="s">
        <v>16</v>
      </c>
      <c r="J1662" s="3" t="s">
        <v>25</v>
      </c>
      <c r="K1662" s="3">
        <f>_xlfn.XLOOKUP(tbl_main[[#This Row],[Service]],tbl_service[Service],tbl_service[Price],"")</f>
        <v>500</v>
      </c>
      <c r="L1662" s="3">
        <v>1</v>
      </c>
      <c r="M1662" s="3">
        <f>IF(AND(tbl_main[[#This Row],[Price]]="",tbl_main[[#This Row],[Qty]]=""),"",tbl_main[[#This Row],[Price]]*tbl_main[[#This Row],[Qty]])</f>
        <v>500</v>
      </c>
      <c r="N1662" s="3">
        <f>_xlfn.LET(_xlpm.x,_xlfn.XLOOKUP(tbl_main[[#This Row],[Service]],tbl_service[Service],tbl_service[Profit],""),
               IF(tbl_main[[#This Row],[Qty]]="","",_xlpm.x*tbl_main[[#This Row],[Qty]]))</f>
        <v>157</v>
      </c>
    </row>
    <row r="1663" spans="1:14" x14ac:dyDescent="0.25">
      <c r="A1663" t="s">
        <v>1705</v>
      </c>
      <c r="B1663" s="1">
        <v>46208</v>
      </c>
      <c r="C1663">
        <f>IF(tbl_main[[#This Row],[Date]]="","",YEAR(B1663))</f>
        <v>2026</v>
      </c>
      <c r="D1663" t="str">
        <f>IF(tbl_main[[#This Row],[Date]]="","",TEXT(B1663,"mmm"))</f>
        <v>Jul</v>
      </c>
      <c r="E1663" t="str">
        <f>IF(tbl_main[[#This Row],[Date]]="","",TEXT(B1663,"DDD"))</f>
        <v>Sun</v>
      </c>
      <c r="F1663" t="s">
        <v>27</v>
      </c>
      <c r="G1663" t="s">
        <v>28</v>
      </c>
      <c r="H1663" s="3" t="s">
        <v>26</v>
      </c>
      <c r="I1663" s="3" t="s">
        <v>19</v>
      </c>
      <c r="J1663" s="3" t="s">
        <v>17</v>
      </c>
      <c r="K1663" s="3">
        <f>_xlfn.XLOOKUP(tbl_main[[#This Row],[Service]],tbl_service[Service],tbl_service[Price],"")</f>
        <v>200</v>
      </c>
      <c r="L1663" s="3">
        <v>1</v>
      </c>
      <c r="M1663" s="3">
        <f>IF(AND(tbl_main[[#This Row],[Price]]="",tbl_main[[#This Row],[Qty]]=""),"",tbl_main[[#This Row],[Price]]*tbl_main[[#This Row],[Qty]])</f>
        <v>200</v>
      </c>
      <c r="N1663" s="3">
        <f>_xlfn.LET(_xlpm.x,_xlfn.XLOOKUP(tbl_main[[#This Row],[Service]],tbl_service[Service],tbl_service[Profit],""),
               IF(tbl_main[[#This Row],[Qty]]="","",_xlpm.x*tbl_main[[#This Row],[Qty]]))</f>
        <v>90</v>
      </c>
    </row>
    <row r="1664" spans="1:14" x14ac:dyDescent="0.25">
      <c r="A1664" t="s">
        <v>1706</v>
      </c>
      <c r="B1664" s="1">
        <v>46208</v>
      </c>
      <c r="C1664">
        <f>IF(tbl_main[[#This Row],[Date]]="","",YEAR(B1664))</f>
        <v>2026</v>
      </c>
      <c r="D1664" t="str">
        <f>IF(tbl_main[[#This Row],[Date]]="","",TEXT(B1664,"mmm"))</f>
        <v>Jul</v>
      </c>
      <c r="E1664" t="str">
        <f>IF(tbl_main[[#This Row],[Date]]="","",TEXT(B1664,"DDD"))</f>
        <v>Sun</v>
      </c>
      <c r="F1664" t="s">
        <v>13</v>
      </c>
      <c r="G1664" t="s">
        <v>14</v>
      </c>
      <c r="H1664" s="3" t="s">
        <v>26</v>
      </c>
      <c r="I1664" s="3" t="s">
        <v>43</v>
      </c>
      <c r="J1664" s="3" t="s">
        <v>32</v>
      </c>
      <c r="K1664" s="3">
        <f>_xlfn.XLOOKUP(tbl_main[[#This Row],[Service]],tbl_service[Service],tbl_service[Price],"")</f>
        <v>200</v>
      </c>
      <c r="L1664" s="3">
        <v>2</v>
      </c>
      <c r="M1664" s="3">
        <f>IF(AND(tbl_main[[#This Row],[Price]]="",tbl_main[[#This Row],[Qty]]=""),"",tbl_main[[#This Row],[Price]]*tbl_main[[#This Row],[Qty]])</f>
        <v>400</v>
      </c>
      <c r="N1664" s="3">
        <f>_xlfn.LET(_xlpm.x,_xlfn.XLOOKUP(tbl_main[[#This Row],[Service]],tbl_service[Service],tbl_service[Profit],""),
               IF(tbl_main[[#This Row],[Qty]]="","",_xlpm.x*tbl_main[[#This Row],[Qty]]))</f>
        <v>180</v>
      </c>
    </row>
    <row r="1665" spans="1:14" x14ac:dyDescent="0.25">
      <c r="A1665" t="s">
        <v>1707</v>
      </c>
      <c r="B1665" s="1">
        <v>46209</v>
      </c>
      <c r="C1665">
        <f>IF(tbl_main[[#This Row],[Date]]="","",YEAR(B1665))</f>
        <v>2026</v>
      </c>
      <c r="D1665" t="str">
        <f>IF(tbl_main[[#This Row],[Date]]="","",TEXT(B1665,"mmm"))</f>
        <v>Jul</v>
      </c>
      <c r="E1665" t="str">
        <f>IF(tbl_main[[#This Row],[Date]]="","",TEXT(B1665,"DDD"))</f>
        <v>Mon</v>
      </c>
      <c r="F1665" t="s">
        <v>30</v>
      </c>
      <c r="G1665" t="s">
        <v>36</v>
      </c>
      <c r="H1665" s="3" t="s">
        <v>34</v>
      </c>
      <c r="I1665" s="3" t="s">
        <v>41</v>
      </c>
      <c r="J1665" s="3" t="s">
        <v>17</v>
      </c>
      <c r="K1665" s="3">
        <f>_xlfn.XLOOKUP(tbl_main[[#This Row],[Service]],tbl_service[Service],tbl_service[Price],"")</f>
        <v>100</v>
      </c>
      <c r="L1665" s="3">
        <v>1</v>
      </c>
      <c r="M1665" s="3">
        <f>IF(AND(tbl_main[[#This Row],[Price]]="",tbl_main[[#This Row],[Qty]]=""),"",tbl_main[[#This Row],[Price]]*tbl_main[[#This Row],[Qty]])</f>
        <v>100</v>
      </c>
      <c r="N1665" s="3">
        <f>_xlfn.LET(_xlpm.x,_xlfn.XLOOKUP(tbl_main[[#This Row],[Service]],tbl_service[Service],tbl_service[Profit],""),
               IF(tbl_main[[#This Row],[Qty]]="","",_xlpm.x*tbl_main[[#This Row],[Qty]]))</f>
        <v>45</v>
      </c>
    </row>
    <row r="1666" spans="1:14" x14ac:dyDescent="0.25">
      <c r="A1666" t="s">
        <v>1708</v>
      </c>
      <c r="B1666" s="1">
        <v>46209</v>
      </c>
      <c r="C1666">
        <f>IF(tbl_main[[#This Row],[Date]]="","",YEAR(B1666))</f>
        <v>2026</v>
      </c>
      <c r="D1666" t="str">
        <f>IF(tbl_main[[#This Row],[Date]]="","",TEXT(B1666,"mmm"))</f>
        <v>Jul</v>
      </c>
      <c r="E1666" t="str">
        <f>IF(tbl_main[[#This Row],[Date]]="","",TEXT(B1666,"DDD"))</f>
        <v>Mon</v>
      </c>
      <c r="F1666" t="s">
        <v>20</v>
      </c>
      <c r="G1666" t="s">
        <v>21</v>
      </c>
      <c r="H1666" s="3" t="s">
        <v>22</v>
      </c>
      <c r="I1666" s="3" t="s">
        <v>41</v>
      </c>
      <c r="J1666" s="3" t="s">
        <v>32</v>
      </c>
      <c r="K1666" s="3">
        <f>_xlfn.XLOOKUP(tbl_main[[#This Row],[Service]],tbl_service[Service],tbl_service[Price],"")</f>
        <v>150</v>
      </c>
      <c r="L1666" s="3">
        <v>2</v>
      </c>
      <c r="M1666" s="3">
        <f>IF(AND(tbl_main[[#This Row],[Price]]="",tbl_main[[#This Row],[Qty]]=""),"",tbl_main[[#This Row],[Price]]*tbl_main[[#This Row],[Qty]])</f>
        <v>300</v>
      </c>
      <c r="N1666" s="3">
        <f>_xlfn.LET(_xlpm.x,_xlfn.XLOOKUP(tbl_main[[#This Row],[Service]],tbl_service[Service],tbl_service[Profit],""),
               IF(tbl_main[[#This Row],[Qty]]="","",_xlpm.x*tbl_main[[#This Row],[Qty]]))</f>
        <v>134</v>
      </c>
    </row>
    <row r="1667" spans="1:14" x14ac:dyDescent="0.25">
      <c r="A1667" t="s">
        <v>1709</v>
      </c>
      <c r="B1667" s="1">
        <v>46209</v>
      </c>
      <c r="C1667">
        <f>IF(tbl_main[[#This Row],[Date]]="","",YEAR(B1667))</f>
        <v>2026</v>
      </c>
      <c r="D1667" t="str">
        <f>IF(tbl_main[[#This Row],[Date]]="","",TEXT(B1667,"mmm"))</f>
        <v>Jul</v>
      </c>
      <c r="E1667" t="str">
        <f>IF(tbl_main[[#This Row],[Date]]="","",TEXT(B1667,"DDD"))</f>
        <v>Mon</v>
      </c>
      <c r="F1667" t="s">
        <v>13</v>
      </c>
      <c r="G1667" t="s">
        <v>14</v>
      </c>
      <c r="H1667" s="3" t="s">
        <v>22</v>
      </c>
      <c r="I1667" s="3" t="s">
        <v>35</v>
      </c>
      <c r="J1667" s="3" t="s">
        <v>32</v>
      </c>
      <c r="K1667" s="3">
        <f>_xlfn.XLOOKUP(tbl_main[[#This Row],[Service]],tbl_service[Service],tbl_service[Price],"")</f>
        <v>150</v>
      </c>
      <c r="L1667" s="3">
        <v>1</v>
      </c>
      <c r="M1667" s="3">
        <f>IF(AND(tbl_main[[#This Row],[Price]]="",tbl_main[[#This Row],[Qty]]=""),"",tbl_main[[#This Row],[Price]]*tbl_main[[#This Row],[Qty]])</f>
        <v>150</v>
      </c>
      <c r="N1667" s="3">
        <f>_xlfn.LET(_xlpm.x,_xlfn.XLOOKUP(tbl_main[[#This Row],[Service]],tbl_service[Service],tbl_service[Profit],""),
               IF(tbl_main[[#This Row],[Qty]]="","",_xlpm.x*tbl_main[[#This Row],[Qty]]))</f>
        <v>67</v>
      </c>
    </row>
    <row r="1668" spans="1:14" x14ac:dyDescent="0.25">
      <c r="A1668" t="s">
        <v>1710</v>
      </c>
      <c r="B1668" s="1">
        <v>46210</v>
      </c>
      <c r="C1668">
        <f>IF(tbl_main[[#This Row],[Date]]="","",YEAR(B1668))</f>
        <v>2026</v>
      </c>
      <c r="D1668" t="str">
        <f>IF(tbl_main[[#This Row],[Date]]="","",TEXT(B1668,"mmm"))</f>
        <v>Jul</v>
      </c>
      <c r="E1668" t="str">
        <f>IF(tbl_main[[#This Row],[Date]]="","",TEXT(B1668,"DDD"))</f>
        <v>Tue</v>
      </c>
      <c r="F1668" t="s">
        <v>30</v>
      </c>
      <c r="G1668" t="s">
        <v>31</v>
      </c>
      <c r="H1668" s="3" t="s">
        <v>24</v>
      </c>
      <c r="I1668" s="3" t="s">
        <v>35</v>
      </c>
      <c r="J1668" s="3" t="s">
        <v>17</v>
      </c>
      <c r="K1668" s="3">
        <f>_xlfn.XLOOKUP(tbl_main[[#This Row],[Service]],tbl_service[Service],tbl_service[Price],"")</f>
        <v>80</v>
      </c>
      <c r="L1668" s="3">
        <v>2</v>
      </c>
      <c r="M1668" s="3">
        <f>IF(AND(tbl_main[[#This Row],[Price]]="",tbl_main[[#This Row],[Qty]]=""),"",tbl_main[[#This Row],[Price]]*tbl_main[[#This Row],[Qty]])</f>
        <v>160</v>
      </c>
      <c r="N1668" s="3">
        <f>_xlfn.LET(_xlpm.x,_xlfn.XLOOKUP(tbl_main[[#This Row],[Service]],tbl_service[Service],tbl_service[Profit],""),
               IF(tbl_main[[#This Row],[Qty]]="","",_xlpm.x*tbl_main[[#This Row],[Qty]]))</f>
        <v>72</v>
      </c>
    </row>
    <row r="1669" spans="1:14" x14ac:dyDescent="0.25">
      <c r="A1669" t="s">
        <v>1711</v>
      </c>
      <c r="B1669" s="1">
        <v>46210</v>
      </c>
      <c r="C1669">
        <f>IF(tbl_main[[#This Row],[Date]]="","",YEAR(B1669))</f>
        <v>2026</v>
      </c>
      <c r="D1669" t="str">
        <f>IF(tbl_main[[#This Row],[Date]]="","",TEXT(B1669,"mmm"))</f>
        <v>Jul</v>
      </c>
      <c r="E1669" t="str">
        <f>IF(tbl_main[[#This Row],[Date]]="","",TEXT(B1669,"DDD"))</f>
        <v>Tue</v>
      </c>
      <c r="F1669" t="s">
        <v>20</v>
      </c>
      <c r="G1669" t="s">
        <v>21</v>
      </c>
      <c r="H1669" s="3" t="s">
        <v>34</v>
      </c>
      <c r="I1669" s="3" t="s">
        <v>23</v>
      </c>
      <c r="J1669" s="3" t="s">
        <v>25</v>
      </c>
      <c r="K1669" s="3">
        <f>_xlfn.XLOOKUP(tbl_main[[#This Row],[Service]],tbl_service[Service],tbl_service[Price],"")</f>
        <v>100</v>
      </c>
      <c r="L1669" s="3">
        <v>1</v>
      </c>
      <c r="M1669" s="3">
        <f>IF(AND(tbl_main[[#This Row],[Price]]="",tbl_main[[#This Row],[Qty]]=""),"",tbl_main[[#This Row],[Price]]*tbl_main[[#This Row],[Qty]])</f>
        <v>100</v>
      </c>
      <c r="N1669" s="3">
        <f>_xlfn.LET(_xlpm.x,_xlfn.XLOOKUP(tbl_main[[#This Row],[Service]],tbl_service[Service],tbl_service[Profit],""),
               IF(tbl_main[[#This Row],[Qty]]="","",_xlpm.x*tbl_main[[#This Row],[Qty]]))</f>
        <v>45</v>
      </c>
    </row>
    <row r="1670" spans="1:14" x14ac:dyDescent="0.25">
      <c r="A1670" t="s">
        <v>1712</v>
      </c>
      <c r="B1670" s="1">
        <v>46210</v>
      </c>
      <c r="C1670">
        <f>IF(tbl_main[[#This Row],[Date]]="","",YEAR(B1670))</f>
        <v>2026</v>
      </c>
      <c r="D1670" t="str">
        <f>IF(tbl_main[[#This Row],[Date]]="","",TEXT(B1670,"mmm"))</f>
        <v>Jul</v>
      </c>
      <c r="E1670" t="str">
        <f>IF(tbl_main[[#This Row],[Date]]="","",TEXT(B1670,"DDD"))</f>
        <v>Tue</v>
      </c>
      <c r="F1670" t="s">
        <v>13</v>
      </c>
      <c r="G1670" t="s">
        <v>33</v>
      </c>
      <c r="H1670" s="3" t="s">
        <v>15</v>
      </c>
      <c r="I1670" s="3" t="s">
        <v>37</v>
      </c>
      <c r="J1670" s="3" t="s">
        <v>32</v>
      </c>
      <c r="K1670" s="3">
        <f>_xlfn.XLOOKUP(tbl_main[[#This Row],[Service]],tbl_service[Service],tbl_service[Price],"")</f>
        <v>500</v>
      </c>
      <c r="L1670" s="3">
        <v>1</v>
      </c>
      <c r="M1670" s="3">
        <f>IF(AND(tbl_main[[#This Row],[Price]]="",tbl_main[[#This Row],[Qty]]=""),"",tbl_main[[#This Row],[Price]]*tbl_main[[#This Row],[Qty]])</f>
        <v>500</v>
      </c>
      <c r="N1670" s="3">
        <f>_xlfn.LET(_xlpm.x,_xlfn.XLOOKUP(tbl_main[[#This Row],[Service]],tbl_service[Service],tbl_service[Profit],""),
               IF(tbl_main[[#This Row],[Qty]]="","",_xlpm.x*tbl_main[[#This Row],[Qty]]))</f>
        <v>225</v>
      </c>
    </row>
    <row r="1671" spans="1:14" x14ac:dyDescent="0.25">
      <c r="A1671" t="s">
        <v>1713</v>
      </c>
      <c r="B1671" s="1">
        <v>46210</v>
      </c>
      <c r="C1671">
        <f>IF(tbl_main[[#This Row],[Date]]="","",YEAR(B1671))</f>
        <v>2026</v>
      </c>
      <c r="D1671" t="str">
        <f>IF(tbl_main[[#This Row],[Date]]="","",TEXT(B1671,"mmm"))</f>
        <v>Jul</v>
      </c>
      <c r="E1671" t="str">
        <f>IF(tbl_main[[#This Row],[Date]]="","",TEXT(B1671,"DDD"))</f>
        <v>Tue</v>
      </c>
      <c r="F1671" t="s">
        <v>30</v>
      </c>
      <c r="G1671" t="s">
        <v>36</v>
      </c>
      <c r="H1671" s="3" t="s">
        <v>22</v>
      </c>
      <c r="I1671" s="3" t="s">
        <v>38</v>
      </c>
      <c r="J1671" s="3" t="s">
        <v>25</v>
      </c>
      <c r="K1671" s="3">
        <f>_xlfn.XLOOKUP(tbl_main[[#This Row],[Service]],tbl_service[Service],tbl_service[Price],"")</f>
        <v>150</v>
      </c>
      <c r="L1671" s="3">
        <v>2</v>
      </c>
      <c r="M1671" s="3">
        <f>IF(AND(tbl_main[[#This Row],[Price]]="",tbl_main[[#This Row],[Qty]]=""),"",tbl_main[[#This Row],[Price]]*tbl_main[[#This Row],[Qty]])</f>
        <v>300</v>
      </c>
      <c r="N1671" s="3">
        <f>_xlfn.LET(_xlpm.x,_xlfn.XLOOKUP(tbl_main[[#This Row],[Service]],tbl_service[Service],tbl_service[Profit],""),
               IF(tbl_main[[#This Row],[Qty]]="","",_xlpm.x*tbl_main[[#This Row],[Qty]]))</f>
        <v>134</v>
      </c>
    </row>
    <row r="1672" spans="1:14" x14ac:dyDescent="0.25">
      <c r="A1672" t="s">
        <v>1714</v>
      </c>
      <c r="B1672" s="1">
        <v>46211</v>
      </c>
      <c r="C1672">
        <f>IF(tbl_main[[#This Row],[Date]]="","",YEAR(B1672))</f>
        <v>2026</v>
      </c>
      <c r="D1672" t="str">
        <f>IF(tbl_main[[#This Row],[Date]]="","",TEXT(B1672,"mmm"))</f>
        <v>Jul</v>
      </c>
      <c r="E1672" t="str">
        <f>IF(tbl_main[[#This Row],[Date]]="","",TEXT(B1672,"DDD"))</f>
        <v>Wed</v>
      </c>
      <c r="F1672" t="s">
        <v>30</v>
      </c>
      <c r="G1672" t="s">
        <v>36</v>
      </c>
      <c r="H1672" s="3" t="s">
        <v>24</v>
      </c>
      <c r="I1672" s="3" t="s">
        <v>16</v>
      </c>
      <c r="J1672" s="3" t="s">
        <v>17</v>
      </c>
      <c r="K1672" s="3">
        <f>_xlfn.XLOOKUP(tbl_main[[#This Row],[Service]],tbl_service[Service],tbl_service[Price],"")</f>
        <v>80</v>
      </c>
      <c r="L1672" s="3">
        <v>1</v>
      </c>
      <c r="M1672" s="3">
        <f>IF(AND(tbl_main[[#This Row],[Price]]="",tbl_main[[#This Row],[Qty]]=""),"",tbl_main[[#This Row],[Price]]*tbl_main[[#This Row],[Qty]])</f>
        <v>80</v>
      </c>
      <c r="N1672" s="3">
        <f>_xlfn.LET(_xlpm.x,_xlfn.XLOOKUP(tbl_main[[#This Row],[Service]],tbl_service[Service],tbl_service[Profit],""),
               IF(tbl_main[[#This Row],[Qty]]="","",_xlpm.x*tbl_main[[#This Row],[Qty]]))</f>
        <v>36</v>
      </c>
    </row>
    <row r="1673" spans="1:14" x14ac:dyDescent="0.25">
      <c r="A1673" t="s">
        <v>1715</v>
      </c>
      <c r="B1673" s="1">
        <v>46211</v>
      </c>
      <c r="C1673">
        <f>IF(tbl_main[[#This Row],[Date]]="","",YEAR(B1673))</f>
        <v>2026</v>
      </c>
      <c r="D1673" t="str">
        <f>IF(tbl_main[[#This Row],[Date]]="","",TEXT(B1673,"mmm"))</f>
        <v>Jul</v>
      </c>
      <c r="E1673" t="str">
        <f>IF(tbl_main[[#This Row],[Date]]="","",TEXT(B1673,"DDD"))</f>
        <v>Wed</v>
      </c>
      <c r="F1673" t="s">
        <v>27</v>
      </c>
      <c r="G1673" t="s">
        <v>40</v>
      </c>
      <c r="H1673" s="3" t="s">
        <v>22</v>
      </c>
      <c r="I1673" s="3" t="s">
        <v>19</v>
      </c>
      <c r="J1673" s="3" t="s">
        <v>32</v>
      </c>
      <c r="K1673" s="3">
        <f>_xlfn.XLOOKUP(tbl_main[[#This Row],[Service]],tbl_service[Service],tbl_service[Price],"")</f>
        <v>150</v>
      </c>
      <c r="L1673" s="3">
        <v>1</v>
      </c>
      <c r="M1673" s="3">
        <f>IF(AND(tbl_main[[#This Row],[Price]]="",tbl_main[[#This Row],[Qty]]=""),"",tbl_main[[#This Row],[Price]]*tbl_main[[#This Row],[Qty]])</f>
        <v>150</v>
      </c>
      <c r="N1673" s="3">
        <f>_xlfn.LET(_xlpm.x,_xlfn.XLOOKUP(tbl_main[[#This Row],[Service]],tbl_service[Service],tbl_service[Profit],""),
               IF(tbl_main[[#This Row],[Qty]]="","",_xlpm.x*tbl_main[[#This Row],[Qty]]))</f>
        <v>67</v>
      </c>
    </row>
    <row r="1674" spans="1:14" x14ac:dyDescent="0.25">
      <c r="A1674" t="s">
        <v>1716</v>
      </c>
      <c r="B1674" s="1">
        <v>46211</v>
      </c>
      <c r="C1674">
        <f>IF(tbl_main[[#This Row],[Date]]="","",YEAR(B1674))</f>
        <v>2026</v>
      </c>
      <c r="D1674" t="str">
        <f>IF(tbl_main[[#This Row],[Date]]="","",TEXT(B1674,"mmm"))</f>
        <v>Jul</v>
      </c>
      <c r="E1674" t="str">
        <f>IF(tbl_main[[#This Row],[Date]]="","",TEXT(B1674,"DDD"))</f>
        <v>Wed</v>
      </c>
      <c r="F1674" t="s">
        <v>20</v>
      </c>
      <c r="G1674" t="s">
        <v>39</v>
      </c>
      <c r="H1674" s="3" t="s">
        <v>18</v>
      </c>
      <c r="I1674" s="3" t="s">
        <v>43</v>
      </c>
      <c r="J1674" s="3" t="s">
        <v>17</v>
      </c>
      <c r="K1674" s="3">
        <f>_xlfn.XLOOKUP(tbl_main[[#This Row],[Service]],tbl_service[Service],tbl_service[Price],"")</f>
        <v>500</v>
      </c>
      <c r="L1674" s="3">
        <v>2</v>
      </c>
      <c r="M1674" s="3">
        <f>IF(AND(tbl_main[[#This Row],[Price]]="",tbl_main[[#This Row],[Qty]]=""),"",tbl_main[[#This Row],[Price]]*tbl_main[[#This Row],[Qty]])</f>
        <v>1000</v>
      </c>
      <c r="N1674" s="3">
        <f>_xlfn.LET(_xlpm.x,_xlfn.XLOOKUP(tbl_main[[#This Row],[Service]],tbl_service[Service],tbl_service[Profit],""),
               IF(tbl_main[[#This Row],[Qty]]="","",_xlpm.x*tbl_main[[#This Row],[Qty]]))</f>
        <v>314</v>
      </c>
    </row>
    <row r="1675" spans="1:14" x14ac:dyDescent="0.25">
      <c r="A1675" t="s">
        <v>1717</v>
      </c>
      <c r="B1675" s="1">
        <v>46212</v>
      </c>
      <c r="C1675">
        <f>IF(tbl_main[[#This Row],[Date]]="","",YEAR(B1675))</f>
        <v>2026</v>
      </c>
      <c r="D1675" t="str">
        <f>IF(tbl_main[[#This Row],[Date]]="","",TEXT(B1675,"mmm"))</f>
        <v>Jul</v>
      </c>
      <c r="E1675" t="str">
        <f>IF(tbl_main[[#This Row],[Date]]="","",TEXT(B1675,"DDD"))</f>
        <v>Thu</v>
      </c>
      <c r="F1675" t="s">
        <v>27</v>
      </c>
      <c r="G1675" t="s">
        <v>40</v>
      </c>
      <c r="H1675" s="3" t="s">
        <v>34</v>
      </c>
      <c r="I1675" s="3" t="s">
        <v>41</v>
      </c>
      <c r="J1675" s="3" t="s">
        <v>17</v>
      </c>
      <c r="K1675" s="3">
        <f>_xlfn.XLOOKUP(tbl_main[[#This Row],[Service]],tbl_service[Service],tbl_service[Price],"")</f>
        <v>100</v>
      </c>
      <c r="L1675" s="3">
        <v>2</v>
      </c>
      <c r="M1675" s="3">
        <f>IF(AND(tbl_main[[#This Row],[Price]]="",tbl_main[[#This Row],[Qty]]=""),"",tbl_main[[#This Row],[Price]]*tbl_main[[#This Row],[Qty]])</f>
        <v>200</v>
      </c>
      <c r="N1675" s="3">
        <f>_xlfn.LET(_xlpm.x,_xlfn.XLOOKUP(tbl_main[[#This Row],[Service]],tbl_service[Service],tbl_service[Profit],""),
               IF(tbl_main[[#This Row],[Qty]]="","",_xlpm.x*tbl_main[[#This Row],[Qty]]))</f>
        <v>90</v>
      </c>
    </row>
    <row r="1676" spans="1:14" x14ac:dyDescent="0.25">
      <c r="A1676" t="s">
        <v>1718</v>
      </c>
      <c r="B1676" s="1">
        <v>46212</v>
      </c>
      <c r="C1676">
        <f>IF(tbl_main[[#This Row],[Date]]="","",YEAR(B1676))</f>
        <v>2026</v>
      </c>
      <c r="D1676" t="str">
        <f>IF(tbl_main[[#This Row],[Date]]="","",TEXT(B1676,"mmm"))</f>
        <v>Jul</v>
      </c>
      <c r="E1676" t="str">
        <f>IF(tbl_main[[#This Row],[Date]]="","",TEXT(B1676,"DDD"))</f>
        <v>Thu</v>
      </c>
      <c r="F1676" t="s">
        <v>30</v>
      </c>
      <c r="G1676" t="s">
        <v>36</v>
      </c>
      <c r="H1676" s="3" t="s">
        <v>15</v>
      </c>
      <c r="I1676" s="3" t="s">
        <v>41</v>
      </c>
      <c r="J1676" s="3" t="s">
        <v>25</v>
      </c>
      <c r="K1676" s="3">
        <f>_xlfn.XLOOKUP(tbl_main[[#This Row],[Service]],tbl_service[Service],tbl_service[Price],"")</f>
        <v>500</v>
      </c>
      <c r="L1676" s="3">
        <v>1</v>
      </c>
      <c r="M1676" s="3">
        <f>IF(AND(tbl_main[[#This Row],[Price]]="",tbl_main[[#This Row],[Qty]]=""),"",tbl_main[[#This Row],[Price]]*tbl_main[[#This Row],[Qty]])</f>
        <v>500</v>
      </c>
      <c r="N1676" s="3">
        <f>_xlfn.LET(_xlpm.x,_xlfn.XLOOKUP(tbl_main[[#This Row],[Service]],tbl_service[Service],tbl_service[Profit],""),
               IF(tbl_main[[#This Row],[Qty]]="","",_xlpm.x*tbl_main[[#This Row],[Qty]]))</f>
        <v>225</v>
      </c>
    </row>
    <row r="1677" spans="1:14" x14ac:dyDescent="0.25">
      <c r="A1677" t="s">
        <v>1719</v>
      </c>
      <c r="B1677" s="1">
        <v>46212</v>
      </c>
      <c r="C1677">
        <f>IF(tbl_main[[#This Row],[Date]]="","",YEAR(B1677))</f>
        <v>2026</v>
      </c>
      <c r="D1677" t="str">
        <f>IF(tbl_main[[#This Row],[Date]]="","",TEXT(B1677,"mmm"))</f>
        <v>Jul</v>
      </c>
      <c r="E1677" t="str">
        <f>IF(tbl_main[[#This Row],[Date]]="","",TEXT(B1677,"DDD"))</f>
        <v>Thu</v>
      </c>
      <c r="F1677" t="s">
        <v>27</v>
      </c>
      <c r="G1677" t="s">
        <v>28</v>
      </c>
      <c r="H1677" s="3" t="s">
        <v>18</v>
      </c>
      <c r="I1677" s="3" t="s">
        <v>35</v>
      </c>
      <c r="J1677" s="3" t="s">
        <v>32</v>
      </c>
      <c r="K1677" s="3">
        <f>_xlfn.XLOOKUP(tbl_main[[#This Row],[Service]],tbl_service[Service],tbl_service[Price],"")</f>
        <v>500</v>
      </c>
      <c r="L1677" s="3">
        <v>2</v>
      </c>
      <c r="M1677" s="3">
        <f>IF(AND(tbl_main[[#This Row],[Price]]="",tbl_main[[#This Row],[Qty]]=""),"",tbl_main[[#This Row],[Price]]*tbl_main[[#This Row],[Qty]])</f>
        <v>1000</v>
      </c>
      <c r="N1677" s="3">
        <f>_xlfn.LET(_xlpm.x,_xlfn.XLOOKUP(tbl_main[[#This Row],[Service]],tbl_service[Service],tbl_service[Profit],""),
               IF(tbl_main[[#This Row],[Qty]]="","",_xlpm.x*tbl_main[[#This Row],[Qty]]))</f>
        <v>314</v>
      </c>
    </row>
    <row r="1678" spans="1:14" x14ac:dyDescent="0.25">
      <c r="A1678" t="s">
        <v>1720</v>
      </c>
      <c r="B1678" s="1">
        <v>46212</v>
      </c>
      <c r="C1678">
        <f>IF(tbl_main[[#This Row],[Date]]="","",YEAR(B1678))</f>
        <v>2026</v>
      </c>
      <c r="D1678" t="str">
        <f>IF(tbl_main[[#This Row],[Date]]="","",TEXT(B1678,"mmm"))</f>
        <v>Jul</v>
      </c>
      <c r="E1678" t="str">
        <f>IF(tbl_main[[#This Row],[Date]]="","",TEXT(B1678,"DDD"))</f>
        <v>Thu</v>
      </c>
      <c r="F1678" t="s">
        <v>27</v>
      </c>
      <c r="G1678" t="s">
        <v>40</v>
      </c>
      <c r="H1678" s="3" t="s">
        <v>34</v>
      </c>
      <c r="I1678" s="3" t="s">
        <v>35</v>
      </c>
      <c r="J1678" s="3" t="s">
        <v>25</v>
      </c>
      <c r="K1678" s="3">
        <f>_xlfn.XLOOKUP(tbl_main[[#This Row],[Service]],tbl_service[Service],tbl_service[Price],"")</f>
        <v>100</v>
      </c>
      <c r="L1678" s="3">
        <v>1</v>
      </c>
      <c r="M1678" s="3">
        <f>IF(AND(tbl_main[[#This Row],[Price]]="",tbl_main[[#This Row],[Qty]]=""),"",tbl_main[[#This Row],[Price]]*tbl_main[[#This Row],[Qty]])</f>
        <v>100</v>
      </c>
      <c r="N1678" s="3">
        <f>_xlfn.LET(_xlpm.x,_xlfn.XLOOKUP(tbl_main[[#This Row],[Service]],tbl_service[Service],tbl_service[Profit],""),
               IF(tbl_main[[#This Row],[Qty]]="","",_xlpm.x*tbl_main[[#This Row],[Qty]]))</f>
        <v>45</v>
      </c>
    </row>
    <row r="1679" spans="1:14" x14ac:dyDescent="0.25">
      <c r="A1679" t="s">
        <v>1721</v>
      </c>
      <c r="B1679" s="1">
        <v>46213</v>
      </c>
      <c r="C1679">
        <f>IF(tbl_main[[#This Row],[Date]]="","",YEAR(B1679))</f>
        <v>2026</v>
      </c>
      <c r="D1679" t="str">
        <f>IF(tbl_main[[#This Row],[Date]]="","",TEXT(B1679,"mmm"))</f>
        <v>Jul</v>
      </c>
      <c r="E1679" t="str">
        <f>IF(tbl_main[[#This Row],[Date]]="","",TEXT(B1679,"DDD"))</f>
        <v>Fri</v>
      </c>
      <c r="F1679" t="s">
        <v>27</v>
      </c>
      <c r="G1679" t="s">
        <v>40</v>
      </c>
      <c r="H1679" s="3" t="s">
        <v>15</v>
      </c>
      <c r="I1679" s="3" t="s">
        <v>23</v>
      </c>
      <c r="J1679" s="3" t="s">
        <v>17</v>
      </c>
      <c r="K1679" s="3">
        <f>_xlfn.XLOOKUP(tbl_main[[#This Row],[Service]],tbl_service[Service],tbl_service[Price],"")</f>
        <v>500</v>
      </c>
      <c r="L1679" s="3">
        <v>1</v>
      </c>
      <c r="M1679" s="3">
        <f>IF(AND(tbl_main[[#This Row],[Price]]="",tbl_main[[#This Row],[Qty]]=""),"",tbl_main[[#This Row],[Price]]*tbl_main[[#This Row],[Qty]])</f>
        <v>500</v>
      </c>
      <c r="N1679" s="3">
        <f>_xlfn.LET(_xlpm.x,_xlfn.XLOOKUP(tbl_main[[#This Row],[Service]],tbl_service[Service],tbl_service[Profit],""),
               IF(tbl_main[[#This Row],[Qty]]="","",_xlpm.x*tbl_main[[#This Row],[Qty]]))</f>
        <v>225</v>
      </c>
    </row>
    <row r="1680" spans="1:14" x14ac:dyDescent="0.25">
      <c r="A1680" t="s">
        <v>1722</v>
      </c>
      <c r="B1680" s="1">
        <v>46213</v>
      </c>
      <c r="C1680">
        <f>IF(tbl_main[[#This Row],[Date]]="","",YEAR(B1680))</f>
        <v>2026</v>
      </c>
      <c r="D1680" t="str">
        <f>IF(tbl_main[[#This Row],[Date]]="","",TEXT(B1680,"mmm"))</f>
        <v>Jul</v>
      </c>
      <c r="E1680" t="str">
        <f>IF(tbl_main[[#This Row],[Date]]="","",TEXT(B1680,"DDD"))</f>
        <v>Fri</v>
      </c>
      <c r="F1680" t="s">
        <v>30</v>
      </c>
      <c r="G1680" t="s">
        <v>31</v>
      </c>
      <c r="H1680" s="3" t="s">
        <v>26</v>
      </c>
      <c r="I1680" s="3" t="s">
        <v>37</v>
      </c>
      <c r="J1680" s="3" t="s">
        <v>32</v>
      </c>
      <c r="K1680" s="3">
        <f>_xlfn.XLOOKUP(tbl_main[[#This Row],[Service]],tbl_service[Service],tbl_service[Price],"")</f>
        <v>200</v>
      </c>
      <c r="L1680" s="3">
        <v>1</v>
      </c>
      <c r="M1680" s="3">
        <f>IF(AND(tbl_main[[#This Row],[Price]]="",tbl_main[[#This Row],[Qty]]=""),"",tbl_main[[#This Row],[Price]]*tbl_main[[#This Row],[Qty]])</f>
        <v>200</v>
      </c>
      <c r="N1680" s="3">
        <f>_xlfn.LET(_xlpm.x,_xlfn.XLOOKUP(tbl_main[[#This Row],[Service]],tbl_service[Service],tbl_service[Profit],""),
               IF(tbl_main[[#This Row],[Qty]]="","",_xlpm.x*tbl_main[[#This Row],[Qty]]))</f>
        <v>90</v>
      </c>
    </row>
    <row r="1681" spans="1:14" x14ac:dyDescent="0.25">
      <c r="A1681" t="s">
        <v>1723</v>
      </c>
      <c r="B1681" s="1">
        <v>46213</v>
      </c>
      <c r="C1681">
        <f>IF(tbl_main[[#This Row],[Date]]="","",YEAR(B1681))</f>
        <v>2026</v>
      </c>
      <c r="D1681" t="str">
        <f>IF(tbl_main[[#This Row],[Date]]="","",TEXT(B1681,"mmm"))</f>
        <v>Jul</v>
      </c>
      <c r="E1681" t="str">
        <f>IF(tbl_main[[#This Row],[Date]]="","",TEXT(B1681,"DDD"))</f>
        <v>Fri</v>
      </c>
      <c r="F1681" t="s">
        <v>27</v>
      </c>
      <c r="G1681" t="s">
        <v>40</v>
      </c>
      <c r="H1681" s="3" t="s">
        <v>15</v>
      </c>
      <c r="I1681" s="3" t="s">
        <v>38</v>
      </c>
      <c r="J1681" s="3" t="s">
        <v>32</v>
      </c>
      <c r="K1681" s="3">
        <f>_xlfn.XLOOKUP(tbl_main[[#This Row],[Service]],tbl_service[Service],tbl_service[Price],"")</f>
        <v>500</v>
      </c>
      <c r="L1681" s="3">
        <v>1</v>
      </c>
      <c r="M1681" s="3">
        <f>IF(AND(tbl_main[[#This Row],[Price]]="",tbl_main[[#This Row],[Qty]]=""),"",tbl_main[[#This Row],[Price]]*tbl_main[[#This Row],[Qty]])</f>
        <v>500</v>
      </c>
      <c r="N1681" s="3">
        <f>_xlfn.LET(_xlpm.x,_xlfn.XLOOKUP(tbl_main[[#This Row],[Service]],tbl_service[Service],tbl_service[Profit],""),
               IF(tbl_main[[#This Row],[Qty]]="","",_xlpm.x*tbl_main[[#This Row],[Qty]]))</f>
        <v>225</v>
      </c>
    </row>
    <row r="1682" spans="1:14" x14ac:dyDescent="0.25">
      <c r="A1682" t="s">
        <v>1724</v>
      </c>
      <c r="B1682" s="1">
        <v>46214</v>
      </c>
      <c r="C1682">
        <f>IF(tbl_main[[#This Row],[Date]]="","",YEAR(B1682))</f>
        <v>2026</v>
      </c>
      <c r="D1682" t="str">
        <f>IF(tbl_main[[#This Row],[Date]]="","",TEXT(B1682,"mmm"))</f>
        <v>Jul</v>
      </c>
      <c r="E1682" t="str">
        <f>IF(tbl_main[[#This Row],[Date]]="","",TEXT(B1682,"DDD"))</f>
        <v>Sat</v>
      </c>
      <c r="F1682" t="s">
        <v>30</v>
      </c>
      <c r="G1682" t="s">
        <v>31</v>
      </c>
      <c r="H1682" s="3" t="s">
        <v>22</v>
      </c>
      <c r="I1682" s="3" t="s">
        <v>16</v>
      </c>
      <c r="J1682" s="3" t="s">
        <v>25</v>
      </c>
      <c r="K1682" s="3">
        <f>_xlfn.XLOOKUP(tbl_main[[#This Row],[Service]],tbl_service[Service],tbl_service[Price],"")</f>
        <v>150</v>
      </c>
      <c r="L1682" s="3">
        <v>2</v>
      </c>
      <c r="M1682" s="3">
        <f>IF(AND(tbl_main[[#This Row],[Price]]="",tbl_main[[#This Row],[Qty]]=""),"",tbl_main[[#This Row],[Price]]*tbl_main[[#This Row],[Qty]])</f>
        <v>300</v>
      </c>
      <c r="N1682" s="3">
        <f>_xlfn.LET(_xlpm.x,_xlfn.XLOOKUP(tbl_main[[#This Row],[Service]],tbl_service[Service],tbl_service[Profit],""),
               IF(tbl_main[[#This Row],[Qty]]="","",_xlpm.x*tbl_main[[#This Row],[Qty]]))</f>
        <v>134</v>
      </c>
    </row>
    <row r="1683" spans="1:14" x14ac:dyDescent="0.25">
      <c r="A1683" t="s">
        <v>1725</v>
      </c>
      <c r="B1683" s="1">
        <v>46214</v>
      </c>
      <c r="C1683">
        <f>IF(tbl_main[[#This Row],[Date]]="","",YEAR(B1683))</f>
        <v>2026</v>
      </c>
      <c r="D1683" t="str">
        <f>IF(tbl_main[[#This Row],[Date]]="","",TEXT(B1683,"mmm"))</f>
        <v>Jul</v>
      </c>
      <c r="E1683" t="str">
        <f>IF(tbl_main[[#This Row],[Date]]="","",TEXT(B1683,"DDD"))</f>
        <v>Sat</v>
      </c>
      <c r="F1683" t="s">
        <v>30</v>
      </c>
      <c r="G1683" t="s">
        <v>31</v>
      </c>
      <c r="H1683" s="3" t="s">
        <v>34</v>
      </c>
      <c r="I1683" s="3" t="s">
        <v>19</v>
      </c>
      <c r="J1683" s="3" t="s">
        <v>17</v>
      </c>
      <c r="K1683" s="3">
        <f>_xlfn.XLOOKUP(tbl_main[[#This Row],[Service]],tbl_service[Service],tbl_service[Price],"")</f>
        <v>100</v>
      </c>
      <c r="L1683" s="3">
        <v>2</v>
      </c>
      <c r="M1683" s="3">
        <f>IF(AND(tbl_main[[#This Row],[Price]]="",tbl_main[[#This Row],[Qty]]=""),"",tbl_main[[#This Row],[Price]]*tbl_main[[#This Row],[Qty]])</f>
        <v>200</v>
      </c>
      <c r="N1683" s="3">
        <f>_xlfn.LET(_xlpm.x,_xlfn.XLOOKUP(tbl_main[[#This Row],[Service]],tbl_service[Service],tbl_service[Profit],""),
               IF(tbl_main[[#This Row],[Qty]]="","",_xlpm.x*tbl_main[[#This Row],[Qty]]))</f>
        <v>90</v>
      </c>
    </row>
    <row r="1684" spans="1:14" x14ac:dyDescent="0.25">
      <c r="A1684" t="s">
        <v>1726</v>
      </c>
      <c r="B1684" s="1">
        <v>46214</v>
      </c>
      <c r="C1684">
        <f>IF(tbl_main[[#This Row],[Date]]="","",YEAR(B1684))</f>
        <v>2026</v>
      </c>
      <c r="D1684" t="str">
        <f>IF(tbl_main[[#This Row],[Date]]="","",TEXT(B1684,"mmm"))</f>
        <v>Jul</v>
      </c>
      <c r="E1684" t="str">
        <f>IF(tbl_main[[#This Row],[Date]]="","",TEXT(B1684,"DDD"))</f>
        <v>Sat</v>
      </c>
      <c r="F1684" t="s">
        <v>30</v>
      </c>
      <c r="G1684" t="s">
        <v>31</v>
      </c>
      <c r="H1684" s="3" t="s">
        <v>24</v>
      </c>
      <c r="I1684" s="3" t="s">
        <v>43</v>
      </c>
      <c r="J1684" s="3" t="s">
        <v>17</v>
      </c>
      <c r="K1684" s="3">
        <f>_xlfn.XLOOKUP(tbl_main[[#This Row],[Service]],tbl_service[Service],tbl_service[Price],"")</f>
        <v>80</v>
      </c>
      <c r="L1684" s="3">
        <v>1</v>
      </c>
      <c r="M1684" s="3">
        <f>IF(AND(tbl_main[[#This Row],[Price]]="",tbl_main[[#This Row],[Qty]]=""),"",tbl_main[[#This Row],[Price]]*tbl_main[[#This Row],[Qty]])</f>
        <v>80</v>
      </c>
      <c r="N1684" s="3">
        <f>_xlfn.LET(_xlpm.x,_xlfn.XLOOKUP(tbl_main[[#This Row],[Service]],tbl_service[Service],tbl_service[Profit],""),
               IF(tbl_main[[#This Row],[Qty]]="","",_xlpm.x*tbl_main[[#This Row],[Qty]]))</f>
        <v>36</v>
      </c>
    </row>
    <row r="1685" spans="1:14" x14ac:dyDescent="0.25">
      <c r="A1685" t="s">
        <v>1727</v>
      </c>
      <c r="B1685" s="1">
        <v>46215</v>
      </c>
      <c r="C1685">
        <f>IF(tbl_main[[#This Row],[Date]]="","",YEAR(B1685))</f>
        <v>2026</v>
      </c>
      <c r="D1685" t="str">
        <f>IF(tbl_main[[#This Row],[Date]]="","",TEXT(B1685,"mmm"))</f>
        <v>Jul</v>
      </c>
      <c r="E1685" t="str">
        <f>IF(tbl_main[[#This Row],[Date]]="","",TEXT(B1685,"DDD"))</f>
        <v>Sun</v>
      </c>
      <c r="F1685" t="s">
        <v>27</v>
      </c>
      <c r="G1685" t="s">
        <v>28</v>
      </c>
      <c r="H1685" s="3" t="s">
        <v>34</v>
      </c>
      <c r="I1685" s="3" t="s">
        <v>41</v>
      </c>
      <c r="J1685" s="3" t="s">
        <v>25</v>
      </c>
      <c r="K1685" s="3">
        <f>_xlfn.XLOOKUP(tbl_main[[#This Row],[Service]],tbl_service[Service],tbl_service[Price],"")</f>
        <v>100</v>
      </c>
      <c r="L1685" s="3">
        <v>2</v>
      </c>
      <c r="M1685" s="3">
        <f>IF(AND(tbl_main[[#This Row],[Price]]="",tbl_main[[#This Row],[Qty]]=""),"",tbl_main[[#This Row],[Price]]*tbl_main[[#This Row],[Qty]])</f>
        <v>200</v>
      </c>
      <c r="N1685" s="3">
        <f>_xlfn.LET(_xlpm.x,_xlfn.XLOOKUP(tbl_main[[#This Row],[Service]],tbl_service[Service],tbl_service[Profit],""),
               IF(tbl_main[[#This Row],[Qty]]="","",_xlpm.x*tbl_main[[#This Row],[Qty]]))</f>
        <v>90</v>
      </c>
    </row>
    <row r="1686" spans="1:14" x14ac:dyDescent="0.25">
      <c r="A1686" t="s">
        <v>1728</v>
      </c>
      <c r="B1686" s="1">
        <v>46215</v>
      </c>
      <c r="C1686">
        <f>IF(tbl_main[[#This Row],[Date]]="","",YEAR(B1686))</f>
        <v>2026</v>
      </c>
      <c r="D1686" t="str">
        <f>IF(tbl_main[[#This Row],[Date]]="","",TEXT(B1686,"mmm"))</f>
        <v>Jul</v>
      </c>
      <c r="E1686" t="str">
        <f>IF(tbl_main[[#This Row],[Date]]="","",TEXT(B1686,"DDD"))</f>
        <v>Sun</v>
      </c>
      <c r="F1686" t="s">
        <v>27</v>
      </c>
      <c r="G1686" t="s">
        <v>28</v>
      </c>
      <c r="H1686" s="3" t="s">
        <v>24</v>
      </c>
      <c r="I1686" s="3" t="s">
        <v>41</v>
      </c>
      <c r="J1686" s="3" t="s">
        <v>17</v>
      </c>
      <c r="K1686" s="3">
        <f>_xlfn.XLOOKUP(tbl_main[[#This Row],[Service]],tbl_service[Service],tbl_service[Price],"")</f>
        <v>80</v>
      </c>
      <c r="L1686" s="3">
        <v>2</v>
      </c>
      <c r="M1686" s="3">
        <f>IF(AND(tbl_main[[#This Row],[Price]]="",tbl_main[[#This Row],[Qty]]=""),"",tbl_main[[#This Row],[Price]]*tbl_main[[#This Row],[Qty]])</f>
        <v>160</v>
      </c>
      <c r="N1686" s="3">
        <f>_xlfn.LET(_xlpm.x,_xlfn.XLOOKUP(tbl_main[[#This Row],[Service]],tbl_service[Service],tbl_service[Profit],""),
               IF(tbl_main[[#This Row],[Qty]]="","",_xlpm.x*tbl_main[[#This Row],[Qty]]))</f>
        <v>72</v>
      </c>
    </row>
    <row r="1687" spans="1:14" x14ac:dyDescent="0.25">
      <c r="A1687" t="s">
        <v>1729</v>
      </c>
      <c r="B1687" s="1">
        <v>46215</v>
      </c>
      <c r="C1687">
        <f>IF(tbl_main[[#This Row],[Date]]="","",YEAR(B1687))</f>
        <v>2026</v>
      </c>
      <c r="D1687" t="str">
        <f>IF(tbl_main[[#This Row],[Date]]="","",TEXT(B1687,"mmm"))</f>
        <v>Jul</v>
      </c>
      <c r="E1687" t="str">
        <f>IF(tbl_main[[#This Row],[Date]]="","",TEXT(B1687,"DDD"))</f>
        <v>Sun</v>
      </c>
      <c r="F1687" t="s">
        <v>20</v>
      </c>
      <c r="G1687" t="s">
        <v>39</v>
      </c>
      <c r="H1687" s="3" t="s">
        <v>15</v>
      </c>
      <c r="I1687" s="3" t="s">
        <v>35</v>
      </c>
      <c r="J1687" s="3" t="s">
        <v>25</v>
      </c>
      <c r="K1687" s="3">
        <f>_xlfn.XLOOKUP(tbl_main[[#This Row],[Service]],tbl_service[Service],tbl_service[Price],"")</f>
        <v>500</v>
      </c>
      <c r="L1687" s="3">
        <v>2</v>
      </c>
      <c r="M1687" s="3">
        <f>IF(AND(tbl_main[[#This Row],[Price]]="",tbl_main[[#This Row],[Qty]]=""),"",tbl_main[[#This Row],[Price]]*tbl_main[[#This Row],[Qty]])</f>
        <v>1000</v>
      </c>
      <c r="N1687" s="3">
        <f>_xlfn.LET(_xlpm.x,_xlfn.XLOOKUP(tbl_main[[#This Row],[Service]],tbl_service[Service],tbl_service[Profit],""),
               IF(tbl_main[[#This Row],[Qty]]="","",_xlpm.x*tbl_main[[#This Row],[Qty]]))</f>
        <v>450</v>
      </c>
    </row>
    <row r="1688" spans="1:14" x14ac:dyDescent="0.25">
      <c r="A1688" t="s">
        <v>1730</v>
      </c>
      <c r="B1688" s="1">
        <v>46215</v>
      </c>
      <c r="C1688">
        <f>IF(tbl_main[[#This Row],[Date]]="","",YEAR(B1688))</f>
        <v>2026</v>
      </c>
      <c r="D1688" t="str">
        <f>IF(tbl_main[[#This Row],[Date]]="","",TEXT(B1688,"mmm"))</f>
        <v>Jul</v>
      </c>
      <c r="E1688" t="str">
        <f>IF(tbl_main[[#This Row],[Date]]="","",TEXT(B1688,"DDD"))</f>
        <v>Sun</v>
      </c>
      <c r="F1688" t="s">
        <v>20</v>
      </c>
      <c r="G1688" t="s">
        <v>39</v>
      </c>
      <c r="H1688" s="3" t="s">
        <v>26</v>
      </c>
      <c r="I1688" s="3" t="s">
        <v>35</v>
      </c>
      <c r="J1688" s="3" t="s">
        <v>25</v>
      </c>
      <c r="K1688" s="3">
        <f>_xlfn.XLOOKUP(tbl_main[[#This Row],[Service]],tbl_service[Service],tbl_service[Price],"")</f>
        <v>200</v>
      </c>
      <c r="L1688" s="3">
        <v>2</v>
      </c>
      <c r="M1688" s="3">
        <f>IF(AND(tbl_main[[#This Row],[Price]]="",tbl_main[[#This Row],[Qty]]=""),"",tbl_main[[#This Row],[Price]]*tbl_main[[#This Row],[Qty]])</f>
        <v>400</v>
      </c>
      <c r="N1688" s="3">
        <f>_xlfn.LET(_xlpm.x,_xlfn.XLOOKUP(tbl_main[[#This Row],[Service]],tbl_service[Service],tbl_service[Profit],""),
               IF(tbl_main[[#This Row],[Qty]]="","",_xlpm.x*tbl_main[[#This Row],[Qty]]))</f>
        <v>180</v>
      </c>
    </row>
    <row r="1689" spans="1:14" x14ac:dyDescent="0.25">
      <c r="A1689" t="s">
        <v>1731</v>
      </c>
      <c r="B1689" s="1">
        <v>46216</v>
      </c>
      <c r="C1689">
        <f>IF(tbl_main[[#This Row],[Date]]="","",YEAR(B1689))</f>
        <v>2026</v>
      </c>
      <c r="D1689" t="str">
        <f>IF(tbl_main[[#This Row],[Date]]="","",TEXT(B1689,"mmm"))</f>
        <v>Jul</v>
      </c>
      <c r="E1689" t="str">
        <f>IF(tbl_main[[#This Row],[Date]]="","",TEXT(B1689,"DDD"))</f>
        <v>Mon</v>
      </c>
      <c r="F1689" t="s">
        <v>13</v>
      </c>
      <c r="G1689" t="s">
        <v>14</v>
      </c>
      <c r="H1689" s="3" t="s">
        <v>15</v>
      </c>
      <c r="I1689" s="3" t="s">
        <v>23</v>
      </c>
      <c r="J1689" s="3" t="s">
        <v>32</v>
      </c>
      <c r="K1689" s="3">
        <f>_xlfn.XLOOKUP(tbl_main[[#This Row],[Service]],tbl_service[Service],tbl_service[Price],"")</f>
        <v>500</v>
      </c>
      <c r="L1689" s="3">
        <v>2</v>
      </c>
      <c r="M1689" s="3">
        <f>IF(AND(tbl_main[[#This Row],[Price]]="",tbl_main[[#This Row],[Qty]]=""),"",tbl_main[[#This Row],[Price]]*tbl_main[[#This Row],[Qty]])</f>
        <v>1000</v>
      </c>
      <c r="N1689" s="3">
        <f>_xlfn.LET(_xlpm.x,_xlfn.XLOOKUP(tbl_main[[#This Row],[Service]],tbl_service[Service],tbl_service[Profit],""),
               IF(tbl_main[[#This Row],[Qty]]="","",_xlpm.x*tbl_main[[#This Row],[Qty]]))</f>
        <v>450</v>
      </c>
    </row>
    <row r="1690" spans="1:14" x14ac:dyDescent="0.25">
      <c r="A1690" t="s">
        <v>1732</v>
      </c>
      <c r="B1690" s="1">
        <v>46216</v>
      </c>
      <c r="C1690">
        <f>IF(tbl_main[[#This Row],[Date]]="","",YEAR(B1690))</f>
        <v>2026</v>
      </c>
      <c r="D1690" t="str">
        <f>IF(tbl_main[[#This Row],[Date]]="","",TEXT(B1690,"mmm"))</f>
        <v>Jul</v>
      </c>
      <c r="E1690" t="str">
        <f>IF(tbl_main[[#This Row],[Date]]="","",TEXT(B1690,"DDD"))</f>
        <v>Mon</v>
      </c>
      <c r="F1690" t="s">
        <v>13</v>
      </c>
      <c r="G1690" t="s">
        <v>33</v>
      </c>
      <c r="H1690" s="3" t="s">
        <v>18</v>
      </c>
      <c r="I1690" s="3" t="s">
        <v>37</v>
      </c>
      <c r="J1690" s="3" t="s">
        <v>32</v>
      </c>
      <c r="K1690" s="3">
        <f>_xlfn.XLOOKUP(tbl_main[[#This Row],[Service]],tbl_service[Service],tbl_service[Price],"")</f>
        <v>500</v>
      </c>
      <c r="L1690" s="3">
        <v>1</v>
      </c>
      <c r="M1690" s="3">
        <f>IF(AND(tbl_main[[#This Row],[Price]]="",tbl_main[[#This Row],[Qty]]=""),"",tbl_main[[#This Row],[Price]]*tbl_main[[#This Row],[Qty]])</f>
        <v>500</v>
      </c>
      <c r="N1690" s="3">
        <f>_xlfn.LET(_xlpm.x,_xlfn.XLOOKUP(tbl_main[[#This Row],[Service]],tbl_service[Service],tbl_service[Profit],""),
               IF(tbl_main[[#This Row],[Qty]]="","",_xlpm.x*tbl_main[[#This Row],[Qty]]))</f>
        <v>157</v>
      </c>
    </row>
    <row r="1691" spans="1:14" x14ac:dyDescent="0.25">
      <c r="A1691" t="s">
        <v>1733</v>
      </c>
      <c r="B1691" s="1">
        <v>46216</v>
      </c>
      <c r="C1691">
        <f>IF(tbl_main[[#This Row],[Date]]="","",YEAR(B1691))</f>
        <v>2026</v>
      </c>
      <c r="D1691" t="str">
        <f>IF(tbl_main[[#This Row],[Date]]="","",TEXT(B1691,"mmm"))</f>
        <v>Jul</v>
      </c>
      <c r="E1691" t="str">
        <f>IF(tbl_main[[#This Row],[Date]]="","",TEXT(B1691,"DDD"))</f>
        <v>Mon</v>
      </c>
      <c r="F1691" t="s">
        <v>20</v>
      </c>
      <c r="G1691" t="s">
        <v>29</v>
      </c>
      <c r="H1691" s="3" t="s">
        <v>15</v>
      </c>
      <c r="I1691" s="3" t="s">
        <v>38</v>
      </c>
      <c r="J1691" s="3" t="s">
        <v>32</v>
      </c>
      <c r="K1691" s="3">
        <f>_xlfn.XLOOKUP(tbl_main[[#This Row],[Service]],tbl_service[Service],tbl_service[Price],"")</f>
        <v>500</v>
      </c>
      <c r="L1691" s="3">
        <v>2</v>
      </c>
      <c r="M1691" s="3">
        <f>IF(AND(tbl_main[[#This Row],[Price]]="",tbl_main[[#This Row],[Qty]]=""),"",tbl_main[[#This Row],[Price]]*tbl_main[[#This Row],[Qty]])</f>
        <v>1000</v>
      </c>
      <c r="N1691" s="3">
        <f>_xlfn.LET(_xlpm.x,_xlfn.XLOOKUP(tbl_main[[#This Row],[Service]],tbl_service[Service],tbl_service[Profit],""),
               IF(tbl_main[[#This Row],[Qty]]="","",_xlpm.x*tbl_main[[#This Row],[Qty]]))</f>
        <v>450</v>
      </c>
    </row>
    <row r="1692" spans="1:14" x14ac:dyDescent="0.25">
      <c r="A1692" t="s">
        <v>1734</v>
      </c>
      <c r="B1692" s="1">
        <v>46217</v>
      </c>
      <c r="C1692">
        <f>IF(tbl_main[[#This Row],[Date]]="","",YEAR(B1692))</f>
        <v>2026</v>
      </c>
      <c r="D1692" t="str">
        <f>IF(tbl_main[[#This Row],[Date]]="","",TEXT(B1692,"mmm"))</f>
        <v>Jul</v>
      </c>
      <c r="E1692" t="str">
        <f>IF(tbl_main[[#This Row],[Date]]="","",TEXT(B1692,"DDD"))</f>
        <v>Tue</v>
      </c>
      <c r="F1692" t="s">
        <v>13</v>
      </c>
      <c r="G1692" t="s">
        <v>14</v>
      </c>
      <c r="H1692" s="3" t="s">
        <v>26</v>
      </c>
      <c r="I1692" s="3" t="s">
        <v>16</v>
      </c>
      <c r="J1692" s="3" t="s">
        <v>32</v>
      </c>
      <c r="K1692" s="3">
        <f>_xlfn.XLOOKUP(tbl_main[[#This Row],[Service]],tbl_service[Service],tbl_service[Price],"")</f>
        <v>200</v>
      </c>
      <c r="L1692" s="3">
        <v>2</v>
      </c>
      <c r="M1692" s="3">
        <f>IF(AND(tbl_main[[#This Row],[Price]]="",tbl_main[[#This Row],[Qty]]=""),"",tbl_main[[#This Row],[Price]]*tbl_main[[#This Row],[Qty]])</f>
        <v>400</v>
      </c>
      <c r="N1692" s="3">
        <f>_xlfn.LET(_xlpm.x,_xlfn.XLOOKUP(tbl_main[[#This Row],[Service]],tbl_service[Service],tbl_service[Profit],""),
               IF(tbl_main[[#This Row],[Qty]]="","",_xlpm.x*tbl_main[[#This Row],[Qty]]))</f>
        <v>180</v>
      </c>
    </row>
    <row r="1693" spans="1:14" x14ac:dyDescent="0.25">
      <c r="A1693" t="s">
        <v>1735</v>
      </c>
      <c r="B1693" s="1">
        <v>46217</v>
      </c>
      <c r="C1693">
        <f>IF(tbl_main[[#This Row],[Date]]="","",YEAR(B1693))</f>
        <v>2026</v>
      </c>
      <c r="D1693" t="str">
        <f>IF(tbl_main[[#This Row],[Date]]="","",TEXT(B1693,"mmm"))</f>
        <v>Jul</v>
      </c>
      <c r="E1693" t="str">
        <f>IF(tbl_main[[#This Row],[Date]]="","",TEXT(B1693,"DDD"))</f>
        <v>Tue</v>
      </c>
      <c r="F1693" t="s">
        <v>30</v>
      </c>
      <c r="G1693" t="s">
        <v>36</v>
      </c>
      <c r="H1693" s="3" t="s">
        <v>34</v>
      </c>
      <c r="I1693" s="3" t="s">
        <v>19</v>
      </c>
      <c r="J1693" s="3" t="s">
        <v>25</v>
      </c>
      <c r="K1693" s="3">
        <f>_xlfn.XLOOKUP(tbl_main[[#This Row],[Service]],tbl_service[Service],tbl_service[Price],"")</f>
        <v>100</v>
      </c>
      <c r="L1693" s="3">
        <v>1</v>
      </c>
      <c r="M1693" s="3">
        <f>IF(AND(tbl_main[[#This Row],[Price]]="",tbl_main[[#This Row],[Qty]]=""),"",tbl_main[[#This Row],[Price]]*tbl_main[[#This Row],[Qty]])</f>
        <v>100</v>
      </c>
      <c r="N1693" s="3">
        <f>_xlfn.LET(_xlpm.x,_xlfn.XLOOKUP(tbl_main[[#This Row],[Service]],tbl_service[Service],tbl_service[Profit],""),
               IF(tbl_main[[#This Row],[Qty]]="","",_xlpm.x*tbl_main[[#This Row],[Qty]]))</f>
        <v>45</v>
      </c>
    </row>
    <row r="1694" spans="1:14" x14ac:dyDescent="0.25">
      <c r="A1694" t="s">
        <v>1736</v>
      </c>
      <c r="B1694" s="1">
        <v>46218</v>
      </c>
      <c r="C1694">
        <f>IF(tbl_main[[#This Row],[Date]]="","",YEAR(B1694))</f>
        <v>2026</v>
      </c>
      <c r="D1694" t="str">
        <f>IF(tbl_main[[#This Row],[Date]]="","",TEXT(B1694,"mmm"))</f>
        <v>Jul</v>
      </c>
      <c r="E1694" t="str">
        <f>IF(tbl_main[[#This Row],[Date]]="","",TEXT(B1694,"DDD"))</f>
        <v>Wed</v>
      </c>
      <c r="F1694" t="s">
        <v>20</v>
      </c>
      <c r="G1694" t="s">
        <v>39</v>
      </c>
      <c r="H1694" s="3" t="s">
        <v>18</v>
      </c>
      <c r="I1694" s="3" t="s">
        <v>43</v>
      </c>
      <c r="J1694" s="3" t="s">
        <v>17</v>
      </c>
      <c r="K1694" s="3">
        <f>_xlfn.XLOOKUP(tbl_main[[#This Row],[Service]],tbl_service[Service],tbl_service[Price],"")</f>
        <v>500</v>
      </c>
      <c r="L1694" s="3">
        <v>2</v>
      </c>
      <c r="M1694" s="3">
        <f>IF(AND(tbl_main[[#This Row],[Price]]="",tbl_main[[#This Row],[Qty]]=""),"",tbl_main[[#This Row],[Price]]*tbl_main[[#This Row],[Qty]])</f>
        <v>1000</v>
      </c>
      <c r="N1694" s="3">
        <f>_xlfn.LET(_xlpm.x,_xlfn.XLOOKUP(tbl_main[[#This Row],[Service]],tbl_service[Service],tbl_service[Profit],""),
               IF(tbl_main[[#This Row],[Qty]]="","",_xlpm.x*tbl_main[[#This Row],[Qty]]))</f>
        <v>314</v>
      </c>
    </row>
    <row r="1695" spans="1:14" x14ac:dyDescent="0.25">
      <c r="A1695" t="s">
        <v>1737</v>
      </c>
      <c r="B1695" s="1">
        <v>46218</v>
      </c>
      <c r="C1695">
        <f>IF(tbl_main[[#This Row],[Date]]="","",YEAR(B1695))</f>
        <v>2026</v>
      </c>
      <c r="D1695" t="str">
        <f>IF(tbl_main[[#This Row],[Date]]="","",TEXT(B1695,"mmm"))</f>
        <v>Jul</v>
      </c>
      <c r="E1695" t="str">
        <f>IF(tbl_main[[#This Row],[Date]]="","",TEXT(B1695,"DDD"))</f>
        <v>Wed</v>
      </c>
      <c r="F1695" t="s">
        <v>20</v>
      </c>
      <c r="G1695" t="s">
        <v>21</v>
      </c>
      <c r="H1695" s="3" t="s">
        <v>24</v>
      </c>
      <c r="I1695" s="3" t="s">
        <v>41</v>
      </c>
      <c r="J1695" s="3" t="s">
        <v>17</v>
      </c>
      <c r="K1695" s="3">
        <f>_xlfn.XLOOKUP(tbl_main[[#This Row],[Service]],tbl_service[Service],tbl_service[Price],"")</f>
        <v>80</v>
      </c>
      <c r="L1695" s="3">
        <v>1</v>
      </c>
      <c r="M1695" s="3">
        <f>IF(AND(tbl_main[[#This Row],[Price]]="",tbl_main[[#This Row],[Qty]]=""),"",tbl_main[[#This Row],[Price]]*tbl_main[[#This Row],[Qty]])</f>
        <v>80</v>
      </c>
      <c r="N1695" s="3">
        <f>_xlfn.LET(_xlpm.x,_xlfn.XLOOKUP(tbl_main[[#This Row],[Service]],tbl_service[Service],tbl_service[Profit],""),
               IF(tbl_main[[#This Row],[Qty]]="","",_xlpm.x*tbl_main[[#This Row],[Qty]]))</f>
        <v>36</v>
      </c>
    </row>
    <row r="1696" spans="1:14" x14ac:dyDescent="0.25">
      <c r="A1696" t="s">
        <v>1738</v>
      </c>
      <c r="B1696" s="1">
        <v>46219</v>
      </c>
      <c r="C1696">
        <f>IF(tbl_main[[#This Row],[Date]]="","",YEAR(B1696))</f>
        <v>2026</v>
      </c>
      <c r="D1696" t="str">
        <f>IF(tbl_main[[#This Row],[Date]]="","",TEXT(B1696,"mmm"))</f>
        <v>Jul</v>
      </c>
      <c r="E1696" t="str">
        <f>IF(tbl_main[[#This Row],[Date]]="","",TEXT(B1696,"DDD"))</f>
        <v>Thu</v>
      </c>
      <c r="F1696" t="s">
        <v>27</v>
      </c>
      <c r="G1696" t="s">
        <v>28</v>
      </c>
      <c r="H1696" s="3" t="s">
        <v>15</v>
      </c>
      <c r="I1696" s="3" t="s">
        <v>41</v>
      </c>
      <c r="J1696" s="3" t="s">
        <v>17</v>
      </c>
      <c r="K1696" s="3">
        <f>_xlfn.XLOOKUP(tbl_main[[#This Row],[Service]],tbl_service[Service],tbl_service[Price],"")</f>
        <v>500</v>
      </c>
      <c r="L1696" s="3">
        <v>1</v>
      </c>
      <c r="M1696" s="3">
        <f>IF(AND(tbl_main[[#This Row],[Price]]="",tbl_main[[#This Row],[Qty]]=""),"",tbl_main[[#This Row],[Price]]*tbl_main[[#This Row],[Qty]])</f>
        <v>500</v>
      </c>
      <c r="N1696" s="3">
        <f>_xlfn.LET(_xlpm.x,_xlfn.XLOOKUP(tbl_main[[#This Row],[Service]],tbl_service[Service],tbl_service[Profit],""),
               IF(tbl_main[[#This Row],[Qty]]="","",_xlpm.x*tbl_main[[#This Row],[Qty]]))</f>
        <v>225</v>
      </c>
    </row>
    <row r="1697" spans="1:14" x14ac:dyDescent="0.25">
      <c r="A1697" t="s">
        <v>1739</v>
      </c>
      <c r="B1697" s="1">
        <v>46219</v>
      </c>
      <c r="C1697">
        <f>IF(tbl_main[[#This Row],[Date]]="","",YEAR(B1697))</f>
        <v>2026</v>
      </c>
      <c r="D1697" t="str">
        <f>IF(tbl_main[[#This Row],[Date]]="","",TEXT(B1697,"mmm"))</f>
        <v>Jul</v>
      </c>
      <c r="E1697" t="str">
        <f>IF(tbl_main[[#This Row],[Date]]="","",TEXT(B1697,"DDD"))</f>
        <v>Thu</v>
      </c>
      <c r="F1697" t="s">
        <v>30</v>
      </c>
      <c r="G1697" t="s">
        <v>31</v>
      </c>
      <c r="H1697" s="3" t="s">
        <v>24</v>
      </c>
      <c r="I1697" s="3" t="s">
        <v>35</v>
      </c>
      <c r="J1697" s="3" t="s">
        <v>25</v>
      </c>
      <c r="K1697" s="3">
        <f>_xlfn.XLOOKUP(tbl_main[[#This Row],[Service]],tbl_service[Service],tbl_service[Price],"")</f>
        <v>80</v>
      </c>
      <c r="L1697" s="3">
        <v>2</v>
      </c>
      <c r="M1697" s="3">
        <f>IF(AND(tbl_main[[#This Row],[Price]]="",tbl_main[[#This Row],[Qty]]=""),"",tbl_main[[#This Row],[Price]]*tbl_main[[#This Row],[Qty]])</f>
        <v>160</v>
      </c>
      <c r="N1697" s="3">
        <f>_xlfn.LET(_xlpm.x,_xlfn.XLOOKUP(tbl_main[[#This Row],[Service]],tbl_service[Service],tbl_service[Profit],""),
               IF(tbl_main[[#This Row],[Qty]]="","",_xlpm.x*tbl_main[[#This Row],[Qty]]))</f>
        <v>72</v>
      </c>
    </row>
    <row r="1698" spans="1:14" x14ac:dyDescent="0.25">
      <c r="A1698" t="s">
        <v>1740</v>
      </c>
      <c r="B1698" s="1">
        <v>46220</v>
      </c>
      <c r="C1698">
        <f>IF(tbl_main[[#This Row],[Date]]="","",YEAR(B1698))</f>
        <v>2026</v>
      </c>
      <c r="D1698" t="str">
        <f>IF(tbl_main[[#This Row],[Date]]="","",TEXT(B1698,"mmm"))</f>
        <v>Jul</v>
      </c>
      <c r="E1698" t="str">
        <f>IF(tbl_main[[#This Row],[Date]]="","",TEXT(B1698,"DDD"))</f>
        <v>Fri</v>
      </c>
      <c r="F1698" t="s">
        <v>20</v>
      </c>
      <c r="G1698" t="s">
        <v>39</v>
      </c>
      <c r="H1698" s="3" t="s">
        <v>34</v>
      </c>
      <c r="I1698" s="3" t="s">
        <v>35</v>
      </c>
      <c r="J1698" s="3" t="s">
        <v>32</v>
      </c>
      <c r="K1698" s="3">
        <f>_xlfn.XLOOKUP(tbl_main[[#This Row],[Service]],tbl_service[Service],tbl_service[Price],"")</f>
        <v>100</v>
      </c>
      <c r="L1698" s="3">
        <v>2</v>
      </c>
      <c r="M1698" s="3">
        <f>IF(AND(tbl_main[[#This Row],[Price]]="",tbl_main[[#This Row],[Qty]]=""),"",tbl_main[[#This Row],[Price]]*tbl_main[[#This Row],[Qty]])</f>
        <v>200</v>
      </c>
      <c r="N1698" s="3">
        <f>_xlfn.LET(_xlpm.x,_xlfn.XLOOKUP(tbl_main[[#This Row],[Service]],tbl_service[Service],tbl_service[Profit],""),
               IF(tbl_main[[#This Row],[Qty]]="","",_xlpm.x*tbl_main[[#This Row],[Qty]]))</f>
        <v>90</v>
      </c>
    </row>
    <row r="1699" spans="1:14" x14ac:dyDescent="0.25">
      <c r="A1699" t="s">
        <v>1741</v>
      </c>
      <c r="B1699" s="1">
        <v>46220</v>
      </c>
      <c r="C1699">
        <f>IF(tbl_main[[#This Row],[Date]]="","",YEAR(B1699))</f>
        <v>2026</v>
      </c>
      <c r="D1699" t="str">
        <f>IF(tbl_main[[#This Row],[Date]]="","",TEXT(B1699,"mmm"))</f>
        <v>Jul</v>
      </c>
      <c r="E1699" t="str">
        <f>IF(tbl_main[[#This Row],[Date]]="","",TEXT(B1699,"DDD"))</f>
        <v>Fri</v>
      </c>
      <c r="F1699" t="s">
        <v>27</v>
      </c>
      <c r="G1699" t="s">
        <v>28</v>
      </c>
      <c r="H1699" s="3" t="s">
        <v>15</v>
      </c>
      <c r="I1699" s="3" t="s">
        <v>23</v>
      </c>
      <c r="J1699" s="3" t="s">
        <v>25</v>
      </c>
      <c r="K1699" s="3">
        <f>_xlfn.XLOOKUP(tbl_main[[#This Row],[Service]],tbl_service[Service],tbl_service[Price],"")</f>
        <v>500</v>
      </c>
      <c r="L1699" s="3">
        <v>1</v>
      </c>
      <c r="M1699" s="3">
        <f>IF(AND(tbl_main[[#This Row],[Price]]="",tbl_main[[#This Row],[Qty]]=""),"",tbl_main[[#This Row],[Price]]*tbl_main[[#This Row],[Qty]])</f>
        <v>500</v>
      </c>
      <c r="N1699" s="3">
        <f>_xlfn.LET(_xlpm.x,_xlfn.XLOOKUP(tbl_main[[#This Row],[Service]],tbl_service[Service],tbl_service[Profit],""),
               IF(tbl_main[[#This Row],[Qty]]="","",_xlpm.x*tbl_main[[#This Row],[Qty]]))</f>
        <v>225</v>
      </c>
    </row>
    <row r="1700" spans="1:14" x14ac:dyDescent="0.25">
      <c r="A1700" t="s">
        <v>1742</v>
      </c>
      <c r="B1700" s="1">
        <v>46221</v>
      </c>
      <c r="C1700">
        <f>IF(tbl_main[[#This Row],[Date]]="","",YEAR(B1700))</f>
        <v>2026</v>
      </c>
      <c r="D1700" t="str">
        <f>IF(tbl_main[[#This Row],[Date]]="","",TEXT(B1700,"mmm"))</f>
        <v>Jul</v>
      </c>
      <c r="E1700" t="str">
        <f>IF(tbl_main[[#This Row],[Date]]="","",TEXT(B1700,"DDD"))</f>
        <v>Sat</v>
      </c>
      <c r="F1700" t="s">
        <v>13</v>
      </c>
      <c r="G1700" t="s">
        <v>33</v>
      </c>
      <c r="H1700" s="3" t="s">
        <v>34</v>
      </c>
      <c r="I1700" s="3" t="s">
        <v>37</v>
      </c>
      <c r="J1700" s="3" t="s">
        <v>17</v>
      </c>
      <c r="K1700" s="3">
        <f>_xlfn.XLOOKUP(tbl_main[[#This Row],[Service]],tbl_service[Service],tbl_service[Price],"")</f>
        <v>100</v>
      </c>
      <c r="L1700" s="3">
        <v>2</v>
      </c>
      <c r="M1700" s="3">
        <f>IF(AND(tbl_main[[#This Row],[Price]]="",tbl_main[[#This Row],[Qty]]=""),"",tbl_main[[#This Row],[Price]]*tbl_main[[#This Row],[Qty]])</f>
        <v>200</v>
      </c>
      <c r="N1700" s="3">
        <f>_xlfn.LET(_xlpm.x,_xlfn.XLOOKUP(tbl_main[[#This Row],[Service]],tbl_service[Service],tbl_service[Profit],""),
               IF(tbl_main[[#This Row],[Qty]]="","",_xlpm.x*tbl_main[[#This Row],[Qty]]))</f>
        <v>90</v>
      </c>
    </row>
    <row r="1701" spans="1:14" x14ac:dyDescent="0.25">
      <c r="A1701" t="s">
        <v>1743</v>
      </c>
      <c r="B1701" s="1">
        <v>46221</v>
      </c>
      <c r="C1701">
        <f>IF(tbl_main[[#This Row],[Date]]="","",YEAR(B1701))</f>
        <v>2026</v>
      </c>
      <c r="D1701" t="str">
        <f>IF(tbl_main[[#This Row],[Date]]="","",TEXT(B1701,"mmm"))</f>
        <v>Jul</v>
      </c>
      <c r="E1701" t="str">
        <f>IF(tbl_main[[#This Row],[Date]]="","",TEXT(B1701,"DDD"))</f>
        <v>Sat</v>
      </c>
      <c r="F1701" t="s">
        <v>13</v>
      </c>
      <c r="G1701" t="s">
        <v>33</v>
      </c>
      <c r="H1701" s="3" t="s">
        <v>15</v>
      </c>
      <c r="I1701" s="3" t="s">
        <v>38</v>
      </c>
      <c r="J1701" s="3" t="s">
        <v>17</v>
      </c>
      <c r="K1701" s="3">
        <f>_xlfn.XLOOKUP(tbl_main[[#This Row],[Service]],tbl_service[Service],tbl_service[Price],"")</f>
        <v>500</v>
      </c>
      <c r="L1701" s="3">
        <v>2</v>
      </c>
      <c r="M1701" s="3">
        <f>IF(AND(tbl_main[[#This Row],[Price]]="",tbl_main[[#This Row],[Qty]]=""),"",tbl_main[[#This Row],[Price]]*tbl_main[[#This Row],[Qty]])</f>
        <v>1000</v>
      </c>
      <c r="N1701" s="3">
        <f>_xlfn.LET(_xlpm.x,_xlfn.XLOOKUP(tbl_main[[#This Row],[Service]],tbl_service[Service],tbl_service[Profit],""),
               IF(tbl_main[[#This Row],[Qty]]="","",_xlpm.x*tbl_main[[#This Row],[Qty]]))</f>
        <v>450</v>
      </c>
    </row>
    <row r="1702" spans="1:14" x14ac:dyDescent="0.25">
      <c r="A1702" t="s">
        <v>1744</v>
      </c>
      <c r="B1702" s="1">
        <v>46222</v>
      </c>
      <c r="C1702">
        <f>IF(tbl_main[[#This Row],[Date]]="","",YEAR(B1702))</f>
        <v>2026</v>
      </c>
      <c r="D1702" t="str">
        <f>IF(tbl_main[[#This Row],[Date]]="","",TEXT(B1702,"mmm"))</f>
        <v>Jul</v>
      </c>
      <c r="E1702" t="str">
        <f>IF(tbl_main[[#This Row],[Date]]="","",TEXT(B1702,"DDD"))</f>
        <v>Sun</v>
      </c>
      <c r="F1702" t="s">
        <v>20</v>
      </c>
      <c r="G1702" t="s">
        <v>29</v>
      </c>
      <c r="H1702" s="3" t="s">
        <v>15</v>
      </c>
      <c r="I1702" s="3" t="s">
        <v>16</v>
      </c>
      <c r="J1702" s="3" t="s">
        <v>32</v>
      </c>
      <c r="K1702" s="3">
        <f>_xlfn.XLOOKUP(tbl_main[[#This Row],[Service]],tbl_service[Service],tbl_service[Price],"")</f>
        <v>500</v>
      </c>
      <c r="L1702" s="3">
        <v>2</v>
      </c>
      <c r="M1702" s="3">
        <f>IF(AND(tbl_main[[#This Row],[Price]]="",tbl_main[[#This Row],[Qty]]=""),"",tbl_main[[#This Row],[Price]]*tbl_main[[#This Row],[Qty]])</f>
        <v>1000</v>
      </c>
      <c r="N1702" s="3">
        <f>_xlfn.LET(_xlpm.x,_xlfn.XLOOKUP(tbl_main[[#This Row],[Service]],tbl_service[Service],tbl_service[Profit],""),
               IF(tbl_main[[#This Row],[Qty]]="","",_xlpm.x*tbl_main[[#This Row],[Qty]]))</f>
        <v>450</v>
      </c>
    </row>
    <row r="1703" spans="1:14" x14ac:dyDescent="0.25">
      <c r="A1703" t="s">
        <v>1745</v>
      </c>
      <c r="B1703" s="1">
        <v>46222</v>
      </c>
      <c r="C1703">
        <f>IF(tbl_main[[#This Row],[Date]]="","",YEAR(B1703))</f>
        <v>2026</v>
      </c>
      <c r="D1703" t="str">
        <f>IF(tbl_main[[#This Row],[Date]]="","",TEXT(B1703,"mmm"))</f>
        <v>Jul</v>
      </c>
      <c r="E1703" t="str">
        <f>IF(tbl_main[[#This Row],[Date]]="","",TEXT(B1703,"DDD"))</f>
        <v>Sun</v>
      </c>
      <c r="F1703" t="s">
        <v>20</v>
      </c>
      <c r="G1703" t="s">
        <v>21</v>
      </c>
      <c r="H1703" s="3" t="s">
        <v>34</v>
      </c>
      <c r="I1703" s="3" t="s">
        <v>19</v>
      </c>
      <c r="J1703" s="3" t="s">
        <v>17</v>
      </c>
      <c r="K1703" s="3">
        <f>_xlfn.XLOOKUP(tbl_main[[#This Row],[Service]],tbl_service[Service],tbl_service[Price],"")</f>
        <v>100</v>
      </c>
      <c r="L1703" s="3">
        <v>2</v>
      </c>
      <c r="M1703" s="3">
        <f>IF(AND(tbl_main[[#This Row],[Price]]="",tbl_main[[#This Row],[Qty]]=""),"",tbl_main[[#This Row],[Price]]*tbl_main[[#This Row],[Qty]])</f>
        <v>200</v>
      </c>
      <c r="N1703" s="3">
        <f>_xlfn.LET(_xlpm.x,_xlfn.XLOOKUP(tbl_main[[#This Row],[Service]],tbl_service[Service],tbl_service[Profit],""),
               IF(tbl_main[[#This Row],[Qty]]="","",_xlpm.x*tbl_main[[#This Row],[Qty]]))</f>
        <v>90</v>
      </c>
    </row>
    <row r="1704" spans="1:14" x14ac:dyDescent="0.25">
      <c r="A1704" t="s">
        <v>1746</v>
      </c>
      <c r="B1704" s="1">
        <v>46222</v>
      </c>
      <c r="C1704">
        <f>IF(tbl_main[[#This Row],[Date]]="","",YEAR(B1704))</f>
        <v>2026</v>
      </c>
      <c r="D1704" t="str">
        <f>IF(tbl_main[[#This Row],[Date]]="","",TEXT(B1704,"mmm"))</f>
        <v>Jul</v>
      </c>
      <c r="E1704" t="str">
        <f>IF(tbl_main[[#This Row],[Date]]="","",TEXT(B1704,"DDD"))</f>
        <v>Sun</v>
      </c>
      <c r="F1704" t="s">
        <v>13</v>
      </c>
      <c r="G1704" t="s">
        <v>14</v>
      </c>
      <c r="H1704" s="3" t="s">
        <v>24</v>
      </c>
      <c r="I1704" s="3" t="s">
        <v>43</v>
      </c>
      <c r="J1704" s="3" t="s">
        <v>32</v>
      </c>
      <c r="K1704" s="3">
        <f>_xlfn.XLOOKUP(tbl_main[[#This Row],[Service]],tbl_service[Service],tbl_service[Price],"")</f>
        <v>80</v>
      </c>
      <c r="L1704" s="3">
        <v>1</v>
      </c>
      <c r="M1704" s="3">
        <f>IF(AND(tbl_main[[#This Row],[Price]]="",tbl_main[[#This Row],[Qty]]=""),"",tbl_main[[#This Row],[Price]]*tbl_main[[#This Row],[Qty]])</f>
        <v>80</v>
      </c>
      <c r="N1704" s="3">
        <f>_xlfn.LET(_xlpm.x,_xlfn.XLOOKUP(tbl_main[[#This Row],[Service]],tbl_service[Service],tbl_service[Profit],""),
               IF(tbl_main[[#This Row],[Qty]]="","",_xlpm.x*tbl_main[[#This Row],[Qty]]))</f>
        <v>36</v>
      </c>
    </row>
    <row r="1705" spans="1:14" x14ac:dyDescent="0.25">
      <c r="A1705" t="s">
        <v>1747</v>
      </c>
      <c r="B1705" s="1">
        <v>46222</v>
      </c>
      <c r="C1705">
        <f>IF(tbl_main[[#This Row],[Date]]="","",YEAR(B1705))</f>
        <v>2026</v>
      </c>
      <c r="D1705" t="str">
        <f>IF(tbl_main[[#This Row],[Date]]="","",TEXT(B1705,"mmm"))</f>
        <v>Jul</v>
      </c>
      <c r="E1705" t="str">
        <f>IF(tbl_main[[#This Row],[Date]]="","",TEXT(B1705,"DDD"))</f>
        <v>Sun</v>
      </c>
      <c r="F1705" t="s">
        <v>30</v>
      </c>
      <c r="G1705" t="s">
        <v>36</v>
      </c>
      <c r="H1705" s="3" t="s">
        <v>26</v>
      </c>
      <c r="I1705" s="3" t="s">
        <v>41</v>
      </c>
      <c r="J1705" s="3" t="s">
        <v>25</v>
      </c>
      <c r="K1705" s="3">
        <f>_xlfn.XLOOKUP(tbl_main[[#This Row],[Service]],tbl_service[Service],tbl_service[Price],"")</f>
        <v>200</v>
      </c>
      <c r="L1705" s="3">
        <v>1</v>
      </c>
      <c r="M1705" s="3">
        <f>IF(AND(tbl_main[[#This Row],[Price]]="",tbl_main[[#This Row],[Qty]]=""),"",tbl_main[[#This Row],[Price]]*tbl_main[[#This Row],[Qty]])</f>
        <v>200</v>
      </c>
      <c r="N1705" s="3">
        <f>_xlfn.LET(_xlpm.x,_xlfn.XLOOKUP(tbl_main[[#This Row],[Service]],tbl_service[Service],tbl_service[Profit],""),
               IF(tbl_main[[#This Row],[Qty]]="","",_xlpm.x*tbl_main[[#This Row],[Qty]]))</f>
        <v>90</v>
      </c>
    </row>
    <row r="1706" spans="1:14" x14ac:dyDescent="0.25">
      <c r="A1706" t="s">
        <v>1748</v>
      </c>
      <c r="B1706" s="1">
        <v>46223</v>
      </c>
      <c r="C1706">
        <f>IF(tbl_main[[#This Row],[Date]]="","",YEAR(B1706))</f>
        <v>2026</v>
      </c>
      <c r="D1706" t="str">
        <f>IF(tbl_main[[#This Row],[Date]]="","",TEXT(B1706,"mmm"))</f>
        <v>Jul</v>
      </c>
      <c r="E1706" t="str">
        <f>IF(tbl_main[[#This Row],[Date]]="","",TEXT(B1706,"DDD"))</f>
        <v>Mon</v>
      </c>
      <c r="F1706" t="s">
        <v>30</v>
      </c>
      <c r="G1706" t="s">
        <v>31</v>
      </c>
      <c r="H1706" s="3" t="s">
        <v>34</v>
      </c>
      <c r="I1706" s="3" t="s">
        <v>41</v>
      </c>
      <c r="J1706" s="3" t="s">
        <v>17</v>
      </c>
      <c r="K1706" s="3">
        <f>_xlfn.XLOOKUP(tbl_main[[#This Row],[Service]],tbl_service[Service],tbl_service[Price],"")</f>
        <v>100</v>
      </c>
      <c r="L1706" s="3">
        <v>2</v>
      </c>
      <c r="M1706" s="3">
        <f>IF(AND(tbl_main[[#This Row],[Price]]="",tbl_main[[#This Row],[Qty]]=""),"",tbl_main[[#This Row],[Price]]*tbl_main[[#This Row],[Qty]])</f>
        <v>200</v>
      </c>
      <c r="N1706" s="3">
        <f>_xlfn.LET(_xlpm.x,_xlfn.XLOOKUP(tbl_main[[#This Row],[Service]],tbl_service[Service],tbl_service[Profit],""),
               IF(tbl_main[[#This Row],[Qty]]="","",_xlpm.x*tbl_main[[#This Row],[Qty]]))</f>
        <v>90</v>
      </c>
    </row>
    <row r="1707" spans="1:14" x14ac:dyDescent="0.25">
      <c r="A1707" t="s">
        <v>1749</v>
      </c>
      <c r="B1707" s="1">
        <v>46223</v>
      </c>
      <c r="C1707">
        <f>IF(tbl_main[[#This Row],[Date]]="","",YEAR(B1707))</f>
        <v>2026</v>
      </c>
      <c r="D1707" t="str">
        <f>IF(tbl_main[[#This Row],[Date]]="","",TEXT(B1707,"mmm"))</f>
        <v>Jul</v>
      </c>
      <c r="E1707" t="str">
        <f>IF(tbl_main[[#This Row],[Date]]="","",TEXT(B1707,"DDD"))</f>
        <v>Mon</v>
      </c>
      <c r="F1707" t="s">
        <v>20</v>
      </c>
      <c r="G1707" t="s">
        <v>39</v>
      </c>
      <c r="H1707" s="3" t="s">
        <v>26</v>
      </c>
      <c r="I1707" s="3" t="s">
        <v>35</v>
      </c>
      <c r="J1707" s="3" t="s">
        <v>25</v>
      </c>
      <c r="K1707" s="3">
        <f>_xlfn.XLOOKUP(tbl_main[[#This Row],[Service]],tbl_service[Service],tbl_service[Price],"")</f>
        <v>200</v>
      </c>
      <c r="L1707" s="3">
        <v>1</v>
      </c>
      <c r="M1707" s="3">
        <f>IF(AND(tbl_main[[#This Row],[Price]]="",tbl_main[[#This Row],[Qty]]=""),"",tbl_main[[#This Row],[Price]]*tbl_main[[#This Row],[Qty]])</f>
        <v>200</v>
      </c>
      <c r="N1707" s="3">
        <f>_xlfn.LET(_xlpm.x,_xlfn.XLOOKUP(tbl_main[[#This Row],[Service]],tbl_service[Service],tbl_service[Profit],""),
               IF(tbl_main[[#This Row],[Qty]]="","",_xlpm.x*tbl_main[[#This Row],[Qty]]))</f>
        <v>90</v>
      </c>
    </row>
    <row r="1708" spans="1:14" x14ac:dyDescent="0.25">
      <c r="A1708" t="s">
        <v>1750</v>
      </c>
      <c r="B1708" s="1">
        <v>46223</v>
      </c>
      <c r="C1708">
        <f>IF(tbl_main[[#This Row],[Date]]="","",YEAR(B1708))</f>
        <v>2026</v>
      </c>
      <c r="D1708" t="str">
        <f>IF(tbl_main[[#This Row],[Date]]="","",TEXT(B1708,"mmm"))</f>
        <v>Jul</v>
      </c>
      <c r="E1708" t="str">
        <f>IF(tbl_main[[#This Row],[Date]]="","",TEXT(B1708,"DDD"))</f>
        <v>Mon</v>
      </c>
      <c r="F1708" t="s">
        <v>27</v>
      </c>
      <c r="G1708" t="s">
        <v>28</v>
      </c>
      <c r="H1708" s="3" t="s">
        <v>22</v>
      </c>
      <c r="I1708" s="3" t="s">
        <v>35</v>
      </c>
      <c r="J1708" s="3" t="s">
        <v>25</v>
      </c>
      <c r="K1708" s="3">
        <f>_xlfn.XLOOKUP(tbl_main[[#This Row],[Service]],tbl_service[Service],tbl_service[Price],"")</f>
        <v>150</v>
      </c>
      <c r="L1708" s="3">
        <v>2</v>
      </c>
      <c r="M1708" s="3">
        <f>IF(AND(tbl_main[[#This Row],[Price]]="",tbl_main[[#This Row],[Qty]]=""),"",tbl_main[[#This Row],[Price]]*tbl_main[[#This Row],[Qty]])</f>
        <v>300</v>
      </c>
      <c r="N1708" s="3">
        <f>_xlfn.LET(_xlpm.x,_xlfn.XLOOKUP(tbl_main[[#This Row],[Service]],tbl_service[Service],tbl_service[Profit],""),
               IF(tbl_main[[#This Row],[Qty]]="","",_xlpm.x*tbl_main[[#This Row],[Qty]]))</f>
        <v>134</v>
      </c>
    </row>
    <row r="1709" spans="1:14" x14ac:dyDescent="0.25">
      <c r="A1709" t="s">
        <v>1751</v>
      </c>
      <c r="B1709" s="1">
        <v>46223</v>
      </c>
      <c r="C1709">
        <f>IF(tbl_main[[#This Row],[Date]]="","",YEAR(B1709))</f>
        <v>2026</v>
      </c>
      <c r="D1709" t="str">
        <f>IF(tbl_main[[#This Row],[Date]]="","",TEXT(B1709,"mmm"))</f>
        <v>Jul</v>
      </c>
      <c r="E1709" t="str">
        <f>IF(tbl_main[[#This Row],[Date]]="","",TEXT(B1709,"DDD"))</f>
        <v>Mon</v>
      </c>
      <c r="F1709" t="s">
        <v>13</v>
      </c>
      <c r="G1709" t="s">
        <v>14</v>
      </c>
      <c r="H1709" s="3" t="s">
        <v>18</v>
      </c>
      <c r="I1709" s="3" t="s">
        <v>23</v>
      </c>
      <c r="J1709" s="3" t="s">
        <v>32</v>
      </c>
      <c r="K1709" s="3">
        <f>_xlfn.XLOOKUP(tbl_main[[#This Row],[Service]],tbl_service[Service],tbl_service[Price],"")</f>
        <v>500</v>
      </c>
      <c r="L1709" s="3">
        <v>2</v>
      </c>
      <c r="M1709" s="3">
        <f>IF(AND(tbl_main[[#This Row],[Price]]="",tbl_main[[#This Row],[Qty]]=""),"",tbl_main[[#This Row],[Price]]*tbl_main[[#This Row],[Qty]])</f>
        <v>1000</v>
      </c>
      <c r="N1709" s="3">
        <f>_xlfn.LET(_xlpm.x,_xlfn.XLOOKUP(tbl_main[[#This Row],[Service]],tbl_service[Service],tbl_service[Profit],""),
               IF(tbl_main[[#This Row],[Qty]]="","",_xlpm.x*tbl_main[[#This Row],[Qty]]))</f>
        <v>314</v>
      </c>
    </row>
    <row r="1710" spans="1:14" x14ac:dyDescent="0.25">
      <c r="A1710" t="s">
        <v>1752</v>
      </c>
      <c r="B1710" s="1">
        <v>46224</v>
      </c>
      <c r="C1710">
        <f>IF(tbl_main[[#This Row],[Date]]="","",YEAR(B1710))</f>
        <v>2026</v>
      </c>
      <c r="D1710" t="str">
        <f>IF(tbl_main[[#This Row],[Date]]="","",TEXT(B1710,"mmm"))</f>
        <v>Jul</v>
      </c>
      <c r="E1710" t="str">
        <f>IF(tbl_main[[#This Row],[Date]]="","",TEXT(B1710,"DDD"))</f>
        <v>Tue</v>
      </c>
      <c r="F1710" t="s">
        <v>13</v>
      </c>
      <c r="G1710" t="s">
        <v>33</v>
      </c>
      <c r="H1710" s="3" t="s">
        <v>26</v>
      </c>
      <c r="I1710" s="3" t="s">
        <v>37</v>
      </c>
      <c r="J1710" s="3" t="s">
        <v>32</v>
      </c>
      <c r="K1710" s="3">
        <f>_xlfn.XLOOKUP(tbl_main[[#This Row],[Service]],tbl_service[Service],tbl_service[Price],"")</f>
        <v>200</v>
      </c>
      <c r="L1710" s="3">
        <v>2</v>
      </c>
      <c r="M1710" s="3">
        <f>IF(AND(tbl_main[[#This Row],[Price]]="",tbl_main[[#This Row],[Qty]]=""),"",tbl_main[[#This Row],[Price]]*tbl_main[[#This Row],[Qty]])</f>
        <v>400</v>
      </c>
      <c r="N1710" s="3">
        <f>_xlfn.LET(_xlpm.x,_xlfn.XLOOKUP(tbl_main[[#This Row],[Service]],tbl_service[Service],tbl_service[Profit],""),
               IF(tbl_main[[#This Row],[Qty]]="","",_xlpm.x*tbl_main[[#This Row],[Qty]]))</f>
        <v>180</v>
      </c>
    </row>
    <row r="1711" spans="1:14" x14ac:dyDescent="0.25">
      <c r="A1711" t="s">
        <v>1753</v>
      </c>
      <c r="B1711" s="1">
        <v>46224</v>
      </c>
      <c r="C1711">
        <f>IF(tbl_main[[#This Row],[Date]]="","",YEAR(B1711))</f>
        <v>2026</v>
      </c>
      <c r="D1711" t="str">
        <f>IF(tbl_main[[#This Row],[Date]]="","",TEXT(B1711,"mmm"))</f>
        <v>Jul</v>
      </c>
      <c r="E1711" t="str">
        <f>IF(tbl_main[[#This Row],[Date]]="","",TEXT(B1711,"DDD"))</f>
        <v>Tue</v>
      </c>
      <c r="F1711" t="s">
        <v>27</v>
      </c>
      <c r="G1711" t="s">
        <v>28</v>
      </c>
      <c r="H1711" s="3" t="s">
        <v>18</v>
      </c>
      <c r="I1711" s="3" t="s">
        <v>38</v>
      </c>
      <c r="J1711" s="3" t="s">
        <v>17</v>
      </c>
      <c r="K1711" s="3">
        <f>_xlfn.XLOOKUP(tbl_main[[#This Row],[Service]],tbl_service[Service],tbl_service[Price],"")</f>
        <v>500</v>
      </c>
      <c r="L1711" s="3">
        <v>1</v>
      </c>
      <c r="M1711" s="3">
        <f>IF(AND(tbl_main[[#This Row],[Price]]="",tbl_main[[#This Row],[Qty]]=""),"",tbl_main[[#This Row],[Price]]*tbl_main[[#This Row],[Qty]])</f>
        <v>500</v>
      </c>
      <c r="N1711" s="3">
        <f>_xlfn.LET(_xlpm.x,_xlfn.XLOOKUP(tbl_main[[#This Row],[Service]],tbl_service[Service],tbl_service[Profit],""),
               IF(tbl_main[[#This Row],[Qty]]="","",_xlpm.x*tbl_main[[#This Row],[Qty]]))</f>
        <v>157</v>
      </c>
    </row>
    <row r="1712" spans="1:14" x14ac:dyDescent="0.25">
      <c r="A1712" t="s">
        <v>1754</v>
      </c>
      <c r="B1712" s="1">
        <v>46224</v>
      </c>
      <c r="C1712">
        <f>IF(tbl_main[[#This Row],[Date]]="","",YEAR(B1712))</f>
        <v>2026</v>
      </c>
      <c r="D1712" t="str">
        <f>IF(tbl_main[[#This Row],[Date]]="","",TEXT(B1712,"mmm"))</f>
        <v>Jul</v>
      </c>
      <c r="E1712" t="str">
        <f>IF(tbl_main[[#This Row],[Date]]="","",TEXT(B1712,"DDD"))</f>
        <v>Tue</v>
      </c>
      <c r="F1712" t="s">
        <v>27</v>
      </c>
      <c r="G1712" t="s">
        <v>28</v>
      </c>
      <c r="H1712" s="3" t="s">
        <v>22</v>
      </c>
      <c r="I1712" s="3" t="s">
        <v>16</v>
      </c>
      <c r="J1712" s="3" t="s">
        <v>17</v>
      </c>
      <c r="K1712" s="3">
        <f>_xlfn.XLOOKUP(tbl_main[[#This Row],[Service]],tbl_service[Service],tbl_service[Price],"")</f>
        <v>150</v>
      </c>
      <c r="L1712" s="3">
        <v>1</v>
      </c>
      <c r="M1712" s="3">
        <f>IF(AND(tbl_main[[#This Row],[Price]]="",tbl_main[[#This Row],[Qty]]=""),"",tbl_main[[#This Row],[Price]]*tbl_main[[#This Row],[Qty]])</f>
        <v>150</v>
      </c>
      <c r="N1712" s="3">
        <f>_xlfn.LET(_xlpm.x,_xlfn.XLOOKUP(tbl_main[[#This Row],[Service]],tbl_service[Service],tbl_service[Profit],""),
               IF(tbl_main[[#This Row],[Qty]]="","",_xlpm.x*tbl_main[[#This Row],[Qty]]))</f>
        <v>67</v>
      </c>
    </row>
    <row r="1713" spans="1:14" x14ac:dyDescent="0.25">
      <c r="A1713" t="s">
        <v>1755</v>
      </c>
      <c r="B1713" s="1">
        <v>46224</v>
      </c>
      <c r="C1713">
        <f>IF(tbl_main[[#This Row],[Date]]="","",YEAR(B1713))</f>
        <v>2026</v>
      </c>
      <c r="D1713" t="str">
        <f>IF(tbl_main[[#This Row],[Date]]="","",TEXT(B1713,"mmm"))</f>
        <v>Jul</v>
      </c>
      <c r="E1713" t="str">
        <f>IF(tbl_main[[#This Row],[Date]]="","",TEXT(B1713,"DDD"))</f>
        <v>Tue</v>
      </c>
      <c r="F1713" t="s">
        <v>27</v>
      </c>
      <c r="G1713" t="s">
        <v>28</v>
      </c>
      <c r="H1713" s="3" t="s">
        <v>18</v>
      </c>
      <c r="I1713" s="3" t="s">
        <v>19</v>
      </c>
      <c r="J1713" s="3" t="s">
        <v>25</v>
      </c>
      <c r="K1713" s="3">
        <f>_xlfn.XLOOKUP(tbl_main[[#This Row],[Service]],tbl_service[Service],tbl_service[Price],"")</f>
        <v>500</v>
      </c>
      <c r="L1713" s="3">
        <v>2</v>
      </c>
      <c r="M1713" s="3">
        <f>IF(AND(tbl_main[[#This Row],[Price]]="",tbl_main[[#This Row],[Qty]]=""),"",tbl_main[[#This Row],[Price]]*tbl_main[[#This Row],[Qty]])</f>
        <v>1000</v>
      </c>
      <c r="N1713" s="3">
        <f>_xlfn.LET(_xlpm.x,_xlfn.XLOOKUP(tbl_main[[#This Row],[Service]],tbl_service[Service],tbl_service[Profit],""),
               IF(tbl_main[[#This Row],[Qty]]="","",_xlpm.x*tbl_main[[#This Row],[Qty]]))</f>
        <v>314</v>
      </c>
    </row>
    <row r="1714" spans="1:14" x14ac:dyDescent="0.25">
      <c r="A1714" t="s">
        <v>1756</v>
      </c>
      <c r="B1714" s="1">
        <v>46225</v>
      </c>
      <c r="C1714">
        <f>IF(tbl_main[[#This Row],[Date]]="","",YEAR(B1714))</f>
        <v>2026</v>
      </c>
      <c r="D1714" t="str">
        <f>IF(tbl_main[[#This Row],[Date]]="","",TEXT(B1714,"mmm"))</f>
        <v>Jul</v>
      </c>
      <c r="E1714" t="str">
        <f>IF(tbl_main[[#This Row],[Date]]="","",TEXT(B1714,"DDD"))</f>
        <v>Wed</v>
      </c>
      <c r="F1714" t="s">
        <v>13</v>
      </c>
      <c r="G1714" t="s">
        <v>14</v>
      </c>
      <c r="H1714" s="3" t="s">
        <v>18</v>
      </c>
      <c r="I1714" s="3" t="s">
        <v>43</v>
      </c>
      <c r="J1714" s="3" t="s">
        <v>17</v>
      </c>
      <c r="K1714" s="3">
        <f>_xlfn.XLOOKUP(tbl_main[[#This Row],[Service]],tbl_service[Service],tbl_service[Price],"")</f>
        <v>500</v>
      </c>
      <c r="L1714" s="3">
        <v>2</v>
      </c>
      <c r="M1714" s="3">
        <f>IF(AND(tbl_main[[#This Row],[Price]]="",tbl_main[[#This Row],[Qty]]=""),"",tbl_main[[#This Row],[Price]]*tbl_main[[#This Row],[Qty]])</f>
        <v>1000</v>
      </c>
      <c r="N1714" s="3">
        <f>_xlfn.LET(_xlpm.x,_xlfn.XLOOKUP(tbl_main[[#This Row],[Service]],tbl_service[Service],tbl_service[Profit],""),
               IF(tbl_main[[#This Row],[Qty]]="","",_xlpm.x*tbl_main[[#This Row],[Qty]]))</f>
        <v>314</v>
      </c>
    </row>
    <row r="1715" spans="1:14" x14ac:dyDescent="0.25">
      <c r="A1715" t="s">
        <v>1757</v>
      </c>
      <c r="B1715" s="1">
        <v>46225</v>
      </c>
      <c r="C1715">
        <f>IF(tbl_main[[#This Row],[Date]]="","",YEAR(B1715))</f>
        <v>2026</v>
      </c>
      <c r="D1715" t="str">
        <f>IF(tbl_main[[#This Row],[Date]]="","",TEXT(B1715,"mmm"))</f>
        <v>Jul</v>
      </c>
      <c r="E1715" t="str">
        <f>IF(tbl_main[[#This Row],[Date]]="","",TEXT(B1715,"DDD"))</f>
        <v>Wed</v>
      </c>
      <c r="F1715" t="s">
        <v>27</v>
      </c>
      <c r="G1715" t="s">
        <v>40</v>
      </c>
      <c r="H1715" s="3" t="s">
        <v>15</v>
      </c>
      <c r="I1715" s="3" t="s">
        <v>41</v>
      </c>
      <c r="J1715" s="3" t="s">
        <v>32</v>
      </c>
      <c r="K1715" s="3">
        <f>_xlfn.XLOOKUP(tbl_main[[#This Row],[Service]],tbl_service[Service],tbl_service[Price],"")</f>
        <v>500</v>
      </c>
      <c r="L1715" s="3">
        <v>1</v>
      </c>
      <c r="M1715" s="3">
        <f>IF(AND(tbl_main[[#This Row],[Price]]="",tbl_main[[#This Row],[Qty]]=""),"",tbl_main[[#This Row],[Price]]*tbl_main[[#This Row],[Qty]])</f>
        <v>500</v>
      </c>
      <c r="N1715" s="3">
        <f>_xlfn.LET(_xlpm.x,_xlfn.XLOOKUP(tbl_main[[#This Row],[Service]],tbl_service[Service],tbl_service[Profit],""),
               IF(tbl_main[[#This Row],[Qty]]="","",_xlpm.x*tbl_main[[#This Row],[Qty]]))</f>
        <v>225</v>
      </c>
    </row>
    <row r="1716" spans="1:14" x14ac:dyDescent="0.25">
      <c r="A1716" t="s">
        <v>1758</v>
      </c>
      <c r="B1716" s="1">
        <v>46225</v>
      </c>
      <c r="C1716">
        <f>IF(tbl_main[[#This Row],[Date]]="","",YEAR(B1716))</f>
        <v>2026</v>
      </c>
      <c r="D1716" t="str">
        <f>IF(tbl_main[[#This Row],[Date]]="","",TEXT(B1716,"mmm"))</f>
        <v>Jul</v>
      </c>
      <c r="E1716" t="str">
        <f>IF(tbl_main[[#This Row],[Date]]="","",TEXT(B1716,"DDD"))</f>
        <v>Wed</v>
      </c>
      <c r="F1716" t="s">
        <v>30</v>
      </c>
      <c r="G1716" t="s">
        <v>31</v>
      </c>
      <c r="H1716" s="3" t="s">
        <v>22</v>
      </c>
      <c r="I1716" s="3" t="s">
        <v>41</v>
      </c>
      <c r="J1716" s="3" t="s">
        <v>32</v>
      </c>
      <c r="K1716" s="3">
        <f>_xlfn.XLOOKUP(tbl_main[[#This Row],[Service]],tbl_service[Service],tbl_service[Price],"")</f>
        <v>150</v>
      </c>
      <c r="L1716" s="3">
        <v>2</v>
      </c>
      <c r="M1716" s="3">
        <f>IF(AND(tbl_main[[#This Row],[Price]]="",tbl_main[[#This Row],[Qty]]=""),"",tbl_main[[#This Row],[Price]]*tbl_main[[#This Row],[Qty]])</f>
        <v>300</v>
      </c>
      <c r="N1716" s="3">
        <f>_xlfn.LET(_xlpm.x,_xlfn.XLOOKUP(tbl_main[[#This Row],[Service]],tbl_service[Service],tbl_service[Profit],""),
               IF(tbl_main[[#This Row],[Qty]]="","",_xlpm.x*tbl_main[[#This Row],[Qty]]))</f>
        <v>134</v>
      </c>
    </row>
    <row r="1717" spans="1:14" x14ac:dyDescent="0.25">
      <c r="A1717" t="s">
        <v>1759</v>
      </c>
      <c r="B1717" s="1">
        <v>46225</v>
      </c>
      <c r="C1717">
        <f>IF(tbl_main[[#This Row],[Date]]="","",YEAR(B1717))</f>
        <v>2026</v>
      </c>
      <c r="D1717" t="str">
        <f>IF(tbl_main[[#This Row],[Date]]="","",TEXT(B1717,"mmm"))</f>
        <v>Jul</v>
      </c>
      <c r="E1717" t="str">
        <f>IF(tbl_main[[#This Row],[Date]]="","",TEXT(B1717,"DDD"))</f>
        <v>Wed</v>
      </c>
      <c r="F1717" t="s">
        <v>20</v>
      </c>
      <c r="G1717" t="s">
        <v>29</v>
      </c>
      <c r="H1717" s="3" t="s">
        <v>15</v>
      </c>
      <c r="I1717" s="3" t="s">
        <v>35</v>
      </c>
      <c r="J1717" s="3" t="s">
        <v>32</v>
      </c>
      <c r="K1717" s="3">
        <f>_xlfn.XLOOKUP(tbl_main[[#This Row],[Service]],tbl_service[Service],tbl_service[Price],"")</f>
        <v>500</v>
      </c>
      <c r="L1717" s="3">
        <v>2</v>
      </c>
      <c r="M1717" s="3">
        <f>IF(AND(tbl_main[[#This Row],[Price]]="",tbl_main[[#This Row],[Qty]]=""),"",tbl_main[[#This Row],[Price]]*tbl_main[[#This Row],[Qty]])</f>
        <v>1000</v>
      </c>
      <c r="N1717" s="3">
        <f>_xlfn.LET(_xlpm.x,_xlfn.XLOOKUP(tbl_main[[#This Row],[Service]],tbl_service[Service],tbl_service[Profit],""),
               IF(tbl_main[[#This Row],[Qty]]="","",_xlpm.x*tbl_main[[#This Row],[Qty]]))</f>
        <v>450</v>
      </c>
    </row>
    <row r="1718" spans="1:14" x14ac:dyDescent="0.25">
      <c r="A1718" t="s">
        <v>1760</v>
      </c>
      <c r="B1718" s="1">
        <v>46226</v>
      </c>
      <c r="C1718">
        <f>IF(tbl_main[[#This Row],[Date]]="","",YEAR(B1718))</f>
        <v>2026</v>
      </c>
      <c r="D1718" t="str">
        <f>IF(tbl_main[[#This Row],[Date]]="","",TEXT(B1718,"mmm"))</f>
        <v>Jul</v>
      </c>
      <c r="E1718" t="str">
        <f>IF(tbl_main[[#This Row],[Date]]="","",TEXT(B1718,"DDD"))</f>
        <v>Thu</v>
      </c>
      <c r="F1718" t="s">
        <v>13</v>
      </c>
      <c r="G1718" t="s">
        <v>33</v>
      </c>
      <c r="H1718" s="3" t="s">
        <v>34</v>
      </c>
      <c r="I1718" s="3" t="s">
        <v>35</v>
      </c>
      <c r="J1718" s="3" t="s">
        <v>32</v>
      </c>
      <c r="K1718" s="3">
        <f>_xlfn.XLOOKUP(tbl_main[[#This Row],[Service]],tbl_service[Service],tbl_service[Price],"")</f>
        <v>100</v>
      </c>
      <c r="L1718" s="3">
        <v>2</v>
      </c>
      <c r="M1718" s="3">
        <f>IF(AND(tbl_main[[#This Row],[Price]]="",tbl_main[[#This Row],[Qty]]=""),"",tbl_main[[#This Row],[Price]]*tbl_main[[#This Row],[Qty]])</f>
        <v>200</v>
      </c>
      <c r="N1718" s="3">
        <f>_xlfn.LET(_xlpm.x,_xlfn.XLOOKUP(tbl_main[[#This Row],[Service]],tbl_service[Service],tbl_service[Profit],""),
               IF(tbl_main[[#This Row],[Qty]]="","",_xlpm.x*tbl_main[[#This Row],[Qty]]))</f>
        <v>90</v>
      </c>
    </row>
    <row r="1719" spans="1:14" x14ac:dyDescent="0.25">
      <c r="A1719" t="s">
        <v>1761</v>
      </c>
      <c r="B1719" s="1">
        <v>46226</v>
      </c>
      <c r="C1719">
        <f>IF(tbl_main[[#This Row],[Date]]="","",YEAR(B1719))</f>
        <v>2026</v>
      </c>
      <c r="D1719" t="str">
        <f>IF(tbl_main[[#This Row],[Date]]="","",TEXT(B1719,"mmm"))</f>
        <v>Jul</v>
      </c>
      <c r="E1719" t="str">
        <f>IF(tbl_main[[#This Row],[Date]]="","",TEXT(B1719,"DDD"))</f>
        <v>Thu</v>
      </c>
      <c r="F1719" t="s">
        <v>30</v>
      </c>
      <c r="G1719" t="s">
        <v>36</v>
      </c>
      <c r="H1719" s="3" t="s">
        <v>34</v>
      </c>
      <c r="I1719" s="3" t="s">
        <v>23</v>
      </c>
      <c r="J1719" s="3" t="s">
        <v>17</v>
      </c>
      <c r="K1719" s="3">
        <f>_xlfn.XLOOKUP(tbl_main[[#This Row],[Service]],tbl_service[Service],tbl_service[Price],"")</f>
        <v>100</v>
      </c>
      <c r="L1719" s="3">
        <v>2</v>
      </c>
      <c r="M1719" s="3">
        <f>IF(AND(tbl_main[[#This Row],[Price]]="",tbl_main[[#This Row],[Qty]]=""),"",tbl_main[[#This Row],[Price]]*tbl_main[[#This Row],[Qty]])</f>
        <v>200</v>
      </c>
      <c r="N1719" s="3">
        <f>_xlfn.LET(_xlpm.x,_xlfn.XLOOKUP(tbl_main[[#This Row],[Service]],tbl_service[Service],tbl_service[Profit],""),
               IF(tbl_main[[#This Row],[Qty]]="","",_xlpm.x*tbl_main[[#This Row],[Qty]]))</f>
        <v>90</v>
      </c>
    </row>
    <row r="1720" spans="1:14" x14ac:dyDescent="0.25">
      <c r="A1720" t="s">
        <v>1762</v>
      </c>
      <c r="B1720" s="1">
        <v>46227</v>
      </c>
      <c r="C1720">
        <f>IF(tbl_main[[#This Row],[Date]]="","",YEAR(B1720))</f>
        <v>2026</v>
      </c>
      <c r="D1720" t="str">
        <f>IF(tbl_main[[#This Row],[Date]]="","",TEXT(B1720,"mmm"))</f>
        <v>Jul</v>
      </c>
      <c r="E1720" t="str">
        <f>IF(tbl_main[[#This Row],[Date]]="","",TEXT(B1720,"DDD"))</f>
        <v>Fri</v>
      </c>
      <c r="F1720" t="s">
        <v>13</v>
      </c>
      <c r="G1720" t="s">
        <v>14</v>
      </c>
      <c r="H1720" s="3" t="s">
        <v>18</v>
      </c>
      <c r="I1720" s="3" t="s">
        <v>37</v>
      </c>
      <c r="J1720" s="3" t="s">
        <v>17</v>
      </c>
      <c r="K1720" s="3">
        <f>_xlfn.XLOOKUP(tbl_main[[#This Row],[Service]],tbl_service[Service],tbl_service[Price],"")</f>
        <v>500</v>
      </c>
      <c r="L1720" s="3">
        <v>2</v>
      </c>
      <c r="M1720" s="3">
        <f>IF(AND(tbl_main[[#This Row],[Price]]="",tbl_main[[#This Row],[Qty]]=""),"",tbl_main[[#This Row],[Price]]*tbl_main[[#This Row],[Qty]])</f>
        <v>1000</v>
      </c>
      <c r="N1720" s="3">
        <f>_xlfn.LET(_xlpm.x,_xlfn.XLOOKUP(tbl_main[[#This Row],[Service]],tbl_service[Service],tbl_service[Profit],""),
               IF(tbl_main[[#This Row],[Qty]]="","",_xlpm.x*tbl_main[[#This Row],[Qty]]))</f>
        <v>314</v>
      </c>
    </row>
    <row r="1721" spans="1:14" x14ac:dyDescent="0.25">
      <c r="A1721" t="s">
        <v>1763</v>
      </c>
      <c r="B1721" s="1">
        <v>46227</v>
      </c>
      <c r="C1721">
        <f>IF(tbl_main[[#This Row],[Date]]="","",YEAR(B1721))</f>
        <v>2026</v>
      </c>
      <c r="D1721" t="str">
        <f>IF(tbl_main[[#This Row],[Date]]="","",TEXT(B1721,"mmm"))</f>
        <v>Jul</v>
      </c>
      <c r="E1721" t="str">
        <f>IF(tbl_main[[#This Row],[Date]]="","",TEXT(B1721,"DDD"))</f>
        <v>Fri</v>
      </c>
      <c r="F1721" t="s">
        <v>20</v>
      </c>
      <c r="G1721" t="s">
        <v>21</v>
      </c>
      <c r="H1721" s="3" t="s">
        <v>15</v>
      </c>
      <c r="I1721" s="3" t="s">
        <v>38</v>
      </c>
      <c r="J1721" s="3" t="s">
        <v>25</v>
      </c>
      <c r="K1721" s="3">
        <f>_xlfn.XLOOKUP(tbl_main[[#This Row],[Service]],tbl_service[Service],tbl_service[Price],"")</f>
        <v>500</v>
      </c>
      <c r="L1721" s="3">
        <v>2</v>
      </c>
      <c r="M1721" s="3">
        <f>IF(AND(tbl_main[[#This Row],[Price]]="",tbl_main[[#This Row],[Qty]]=""),"",tbl_main[[#This Row],[Price]]*tbl_main[[#This Row],[Qty]])</f>
        <v>1000</v>
      </c>
      <c r="N1721" s="3">
        <f>_xlfn.LET(_xlpm.x,_xlfn.XLOOKUP(tbl_main[[#This Row],[Service]],tbl_service[Service],tbl_service[Profit],""),
               IF(tbl_main[[#This Row],[Qty]]="","",_xlpm.x*tbl_main[[#This Row],[Qty]]))</f>
        <v>450</v>
      </c>
    </row>
    <row r="1722" spans="1:14" x14ac:dyDescent="0.25">
      <c r="A1722" t="s">
        <v>1764</v>
      </c>
      <c r="B1722" s="1">
        <v>46227</v>
      </c>
      <c r="C1722">
        <f>IF(tbl_main[[#This Row],[Date]]="","",YEAR(B1722))</f>
        <v>2026</v>
      </c>
      <c r="D1722" t="str">
        <f>IF(tbl_main[[#This Row],[Date]]="","",TEXT(B1722,"mmm"))</f>
        <v>Jul</v>
      </c>
      <c r="E1722" t="str">
        <f>IF(tbl_main[[#This Row],[Date]]="","",TEXT(B1722,"DDD"))</f>
        <v>Fri</v>
      </c>
      <c r="F1722" t="s">
        <v>13</v>
      </c>
      <c r="G1722" t="s">
        <v>33</v>
      </c>
      <c r="H1722" s="3" t="s">
        <v>18</v>
      </c>
      <c r="I1722" s="3" t="s">
        <v>16</v>
      </c>
      <c r="J1722" s="3" t="s">
        <v>25</v>
      </c>
      <c r="K1722" s="3">
        <f>_xlfn.XLOOKUP(tbl_main[[#This Row],[Service]],tbl_service[Service],tbl_service[Price],"")</f>
        <v>500</v>
      </c>
      <c r="L1722" s="3">
        <v>2</v>
      </c>
      <c r="M1722" s="3">
        <f>IF(AND(tbl_main[[#This Row],[Price]]="",tbl_main[[#This Row],[Qty]]=""),"",tbl_main[[#This Row],[Price]]*tbl_main[[#This Row],[Qty]])</f>
        <v>1000</v>
      </c>
      <c r="N1722" s="3">
        <f>_xlfn.LET(_xlpm.x,_xlfn.XLOOKUP(tbl_main[[#This Row],[Service]],tbl_service[Service],tbl_service[Profit],""),
               IF(tbl_main[[#This Row],[Qty]]="","",_xlpm.x*tbl_main[[#This Row],[Qty]]))</f>
        <v>314</v>
      </c>
    </row>
    <row r="1723" spans="1:14" x14ac:dyDescent="0.25">
      <c r="A1723" t="s">
        <v>1765</v>
      </c>
      <c r="B1723" s="1">
        <v>46228</v>
      </c>
      <c r="C1723">
        <f>IF(tbl_main[[#This Row],[Date]]="","",YEAR(B1723))</f>
        <v>2026</v>
      </c>
      <c r="D1723" t="str">
        <f>IF(tbl_main[[#This Row],[Date]]="","",TEXT(B1723,"mmm"))</f>
        <v>Jul</v>
      </c>
      <c r="E1723" t="str">
        <f>IF(tbl_main[[#This Row],[Date]]="","",TEXT(B1723,"DDD"))</f>
        <v>Sat</v>
      </c>
      <c r="F1723" t="s">
        <v>30</v>
      </c>
      <c r="G1723" t="s">
        <v>36</v>
      </c>
      <c r="H1723" s="3" t="s">
        <v>26</v>
      </c>
      <c r="I1723" s="3" t="s">
        <v>19</v>
      </c>
      <c r="J1723" s="3" t="s">
        <v>25</v>
      </c>
      <c r="K1723" s="3">
        <f>_xlfn.XLOOKUP(tbl_main[[#This Row],[Service]],tbl_service[Service],tbl_service[Price],"")</f>
        <v>200</v>
      </c>
      <c r="L1723" s="3">
        <v>2</v>
      </c>
      <c r="M1723" s="3">
        <f>IF(AND(tbl_main[[#This Row],[Price]]="",tbl_main[[#This Row],[Qty]]=""),"",tbl_main[[#This Row],[Price]]*tbl_main[[#This Row],[Qty]])</f>
        <v>400</v>
      </c>
      <c r="N1723" s="3">
        <f>_xlfn.LET(_xlpm.x,_xlfn.XLOOKUP(tbl_main[[#This Row],[Service]],tbl_service[Service],tbl_service[Profit],""),
               IF(tbl_main[[#This Row],[Qty]]="","",_xlpm.x*tbl_main[[#This Row],[Qty]]))</f>
        <v>180</v>
      </c>
    </row>
    <row r="1724" spans="1:14" x14ac:dyDescent="0.25">
      <c r="A1724" t="s">
        <v>1766</v>
      </c>
      <c r="B1724" s="1">
        <v>46228</v>
      </c>
      <c r="C1724">
        <f>IF(tbl_main[[#This Row],[Date]]="","",YEAR(B1724))</f>
        <v>2026</v>
      </c>
      <c r="D1724" t="str">
        <f>IF(tbl_main[[#This Row],[Date]]="","",TEXT(B1724,"mmm"))</f>
        <v>Jul</v>
      </c>
      <c r="E1724" t="str">
        <f>IF(tbl_main[[#This Row],[Date]]="","",TEXT(B1724,"DDD"))</f>
        <v>Sat</v>
      </c>
      <c r="F1724" t="s">
        <v>27</v>
      </c>
      <c r="G1724" t="s">
        <v>28</v>
      </c>
      <c r="H1724" s="3" t="s">
        <v>24</v>
      </c>
      <c r="I1724" s="3" t="s">
        <v>43</v>
      </c>
      <c r="J1724" s="3" t="s">
        <v>17</v>
      </c>
      <c r="K1724" s="3">
        <f>_xlfn.XLOOKUP(tbl_main[[#This Row],[Service]],tbl_service[Service],tbl_service[Price],"")</f>
        <v>80</v>
      </c>
      <c r="L1724" s="3">
        <v>1</v>
      </c>
      <c r="M1724" s="3">
        <f>IF(AND(tbl_main[[#This Row],[Price]]="",tbl_main[[#This Row],[Qty]]=""),"",tbl_main[[#This Row],[Price]]*tbl_main[[#This Row],[Qty]])</f>
        <v>80</v>
      </c>
      <c r="N1724" s="3">
        <f>_xlfn.LET(_xlpm.x,_xlfn.XLOOKUP(tbl_main[[#This Row],[Service]],tbl_service[Service],tbl_service[Profit],""),
               IF(tbl_main[[#This Row],[Qty]]="","",_xlpm.x*tbl_main[[#This Row],[Qty]]))</f>
        <v>36</v>
      </c>
    </row>
    <row r="1725" spans="1:14" x14ac:dyDescent="0.25">
      <c r="A1725" t="s">
        <v>1767</v>
      </c>
      <c r="B1725" s="1">
        <v>46228</v>
      </c>
      <c r="C1725">
        <f>IF(tbl_main[[#This Row],[Date]]="","",YEAR(B1725))</f>
        <v>2026</v>
      </c>
      <c r="D1725" t="str">
        <f>IF(tbl_main[[#This Row],[Date]]="","",TEXT(B1725,"mmm"))</f>
        <v>Jul</v>
      </c>
      <c r="E1725" t="str">
        <f>IF(tbl_main[[#This Row],[Date]]="","",TEXT(B1725,"DDD"))</f>
        <v>Sat</v>
      </c>
      <c r="F1725" t="s">
        <v>20</v>
      </c>
      <c r="G1725" t="s">
        <v>29</v>
      </c>
      <c r="H1725" s="3" t="s">
        <v>26</v>
      </c>
      <c r="I1725" s="3" t="s">
        <v>41</v>
      </c>
      <c r="J1725" s="3" t="s">
        <v>32</v>
      </c>
      <c r="K1725" s="3">
        <f>_xlfn.XLOOKUP(tbl_main[[#This Row],[Service]],tbl_service[Service],tbl_service[Price],"")</f>
        <v>200</v>
      </c>
      <c r="L1725" s="3">
        <v>2</v>
      </c>
      <c r="M1725" s="3">
        <f>IF(AND(tbl_main[[#This Row],[Price]]="",tbl_main[[#This Row],[Qty]]=""),"",tbl_main[[#This Row],[Price]]*tbl_main[[#This Row],[Qty]])</f>
        <v>400</v>
      </c>
      <c r="N1725" s="3">
        <f>_xlfn.LET(_xlpm.x,_xlfn.XLOOKUP(tbl_main[[#This Row],[Service]],tbl_service[Service],tbl_service[Profit],""),
               IF(tbl_main[[#This Row],[Qty]]="","",_xlpm.x*tbl_main[[#This Row],[Qty]]))</f>
        <v>180</v>
      </c>
    </row>
    <row r="1726" spans="1:14" x14ac:dyDescent="0.25">
      <c r="A1726" t="s">
        <v>1768</v>
      </c>
      <c r="B1726" s="1">
        <v>46229</v>
      </c>
      <c r="C1726">
        <f>IF(tbl_main[[#This Row],[Date]]="","",YEAR(B1726))</f>
        <v>2026</v>
      </c>
      <c r="D1726" t="str">
        <f>IF(tbl_main[[#This Row],[Date]]="","",TEXT(B1726,"mmm"))</f>
        <v>Jul</v>
      </c>
      <c r="E1726" t="str">
        <f>IF(tbl_main[[#This Row],[Date]]="","",TEXT(B1726,"DDD"))</f>
        <v>Sun</v>
      </c>
      <c r="F1726" t="s">
        <v>20</v>
      </c>
      <c r="G1726" t="s">
        <v>39</v>
      </c>
      <c r="H1726" s="3" t="s">
        <v>18</v>
      </c>
      <c r="I1726" s="3" t="s">
        <v>41</v>
      </c>
      <c r="J1726" s="3" t="s">
        <v>32</v>
      </c>
      <c r="K1726" s="3">
        <f>_xlfn.XLOOKUP(tbl_main[[#This Row],[Service]],tbl_service[Service],tbl_service[Price],"")</f>
        <v>500</v>
      </c>
      <c r="L1726" s="3">
        <v>2</v>
      </c>
      <c r="M1726" s="3">
        <f>IF(AND(tbl_main[[#This Row],[Price]]="",tbl_main[[#This Row],[Qty]]=""),"",tbl_main[[#This Row],[Price]]*tbl_main[[#This Row],[Qty]])</f>
        <v>1000</v>
      </c>
      <c r="N1726" s="3">
        <f>_xlfn.LET(_xlpm.x,_xlfn.XLOOKUP(tbl_main[[#This Row],[Service]],tbl_service[Service],tbl_service[Profit],""),
               IF(tbl_main[[#This Row],[Qty]]="","",_xlpm.x*tbl_main[[#This Row],[Qty]]))</f>
        <v>314</v>
      </c>
    </row>
    <row r="1727" spans="1:14" x14ac:dyDescent="0.25">
      <c r="A1727" t="s">
        <v>1769</v>
      </c>
      <c r="B1727" s="1">
        <v>46229</v>
      </c>
      <c r="C1727">
        <f>IF(tbl_main[[#This Row],[Date]]="","",YEAR(B1727))</f>
        <v>2026</v>
      </c>
      <c r="D1727" t="str">
        <f>IF(tbl_main[[#This Row],[Date]]="","",TEXT(B1727,"mmm"))</f>
        <v>Jul</v>
      </c>
      <c r="E1727" t="str">
        <f>IF(tbl_main[[#This Row],[Date]]="","",TEXT(B1727,"DDD"))</f>
        <v>Sun</v>
      </c>
      <c r="F1727" t="s">
        <v>20</v>
      </c>
      <c r="G1727" t="s">
        <v>21</v>
      </c>
      <c r="H1727" s="3" t="s">
        <v>24</v>
      </c>
      <c r="I1727" s="3" t="s">
        <v>35</v>
      </c>
      <c r="J1727" s="3" t="s">
        <v>17</v>
      </c>
      <c r="K1727" s="3">
        <f>_xlfn.XLOOKUP(tbl_main[[#This Row],[Service]],tbl_service[Service],tbl_service[Price],"")</f>
        <v>80</v>
      </c>
      <c r="L1727" s="3">
        <v>1</v>
      </c>
      <c r="M1727" s="3">
        <f>IF(AND(tbl_main[[#This Row],[Price]]="",tbl_main[[#This Row],[Qty]]=""),"",tbl_main[[#This Row],[Price]]*tbl_main[[#This Row],[Qty]])</f>
        <v>80</v>
      </c>
      <c r="N1727" s="3">
        <f>_xlfn.LET(_xlpm.x,_xlfn.XLOOKUP(tbl_main[[#This Row],[Service]],tbl_service[Service],tbl_service[Profit],""),
               IF(tbl_main[[#This Row],[Qty]]="","",_xlpm.x*tbl_main[[#This Row],[Qty]]))</f>
        <v>36</v>
      </c>
    </row>
    <row r="1728" spans="1:14" x14ac:dyDescent="0.25">
      <c r="A1728" t="s">
        <v>1770</v>
      </c>
      <c r="B1728" s="1">
        <v>46229</v>
      </c>
      <c r="C1728">
        <f>IF(tbl_main[[#This Row],[Date]]="","",YEAR(B1728))</f>
        <v>2026</v>
      </c>
      <c r="D1728" t="str">
        <f>IF(tbl_main[[#This Row],[Date]]="","",TEXT(B1728,"mmm"))</f>
        <v>Jul</v>
      </c>
      <c r="E1728" t="str">
        <f>IF(tbl_main[[#This Row],[Date]]="","",TEXT(B1728,"DDD"))</f>
        <v>Sun</v>
      </c>
      <c r="F1728" t="s">
        <v>30</v>
      </c>
      <c r="G1728" t="s">
        <v>31</v>
      </c>
      <c r="H1728" s="3" t="s">
        <v>24</v>
      </c>
      <c r="I1728" s="3" t="s">
        <v>35</v>
      </c>
      <c r="J1728" s="3" t="s">
        <v>25</v>
      </c>
      <c r="K1728" s="3">
        <f>_xlfn.XLOOKUP(tbl_main[[#This Row],[Service]],tbl_service[Service],tbl_service[Price],"")</f>
        <v>80</v>
      </c>
      <c r="L1728" s="3">
        <v>2</v>
      </c>
      <c r="M1728" s="3">
        <f>IF(AND(tbl_main[[#This Row],[Price]]="",tbl_main[[#This Row],[Qty]]=""),"",tbl_main[[#This Row],[Price]]*tbl_main[[#This Row],[Qty]])</f>
        <v>160</v>
      </c>
      <c r="N1728" s="3">
        <f>_xlfn.LET(_xlpm.x,_xlfn.XLOOKUP(tbl_main[[#This Row],[Service]],tbl_service[Service],tbl_service[Profit],""),
               IF(tbl_main[[#This Row],[Qty]]="","",_xlpm.x*tbl_main[[#This Row],[Qty]]))</f>
        <v>72</v>
      </c>
    </row>
    <row r="1729" spans="1:14" x14ac:dyDescent="0.25">
      <c r="A1729" t="s">
        <v>1771</v>
      </c>
      <c r="B1729" s="1">
        <v>46230</v>
      </c>
      <c r="C1729">
        <f>IF(tbl_main[[#This Row],[Date]]="","",YEAR(B1729))</f>
        <v>2026</v>
      </c>
      <c r="D1729" t="str">
        <f>IF(tbl_main[[#This Row],[Date]]="","",TEXT(B1729,"mmm"))</f>
        <v>Jul</v>
      </c>
      <c r="E1729" t="str">
        <f>IF(tbl_main[[#This Row],[Date]]="","",TEXT(B1729,"DDD"))</f>
        <v>Mon</v>
      </c>
      <c r="F1729" t="s">
        <v>20</v>
      </c>
      <c r="G1729" t="s">
        <v>21</v>
      </c>
      <c r="H1729" s="3" t="s">
        <v>26</v>
      </c>
      <c r="I1729" s="3" t="s">
        <v>23</v>
      </c>
      <c r="J1729" s="3" t="s">
        <v>17</v>
      </c>
      <c r="K1729" s="3">
        <f>_xlfn.XLOOKUP(tbl_main[[#This Row],[Service]],tbl_service[Service],tbl_service[Price],"")</f>
        <v>200</v>
      </c>
      <c r="L1729" s="3">
        <v>2</v>
      </c>
      <c r="M1729" s="3">
        <f>IF(AND(tbl_main[[#This Row],[Price]]="",tbl_main[[#This Row],[Qty]]=""),"",tbl_main[[#This Row],[Price]]*tbl_main[[#This Row],[Qty]])</f>
        <v>400</v>
      </c>
      <c r="N1729" s="3">
        <f>_xlfn.LET(_xlpm.x,_xlfn.XLOOKUP(tbl_main[[#This Row],[Service]],tbl_service[Service],tbl_service[Profit],""),
               IF(tbl_main[[#This Row],[Qty]]="","",_xlpm.x*tbl_main[[#This Row],[Qty]]))</f>
        <v>180</v>
      </c>
    </row>
    <row r="1730" spans="1:14" x14ac:dyDescent="0.25">
      <c r="A1730" t="s">
        <v>1772</v>
      </c>
      <c r="B1730" s="1">
        <v>46230</v>
      </c>
      <c r="C1730">
        <f>IF(tbl_main[[#This Row],[Date]]="","",YEAR(B1730))</f>
        <v>2026</v>
      </c>
      <c r="D1730" t="str">
        <f>IF(tbl_main[[#This Row],[Date]]="","",TEXT(B1730,"mmm"))</f>
        <v>Jul</v>
      </c>
      <c r="E1730" t="str">
        <f>IF(tbl_main[[#This Row],[Date]]="","",TEXT(B1730,"DDD"))</f>
        <v>Mon</v>
      </c>
      <c r="F1730" t="s">
        <v>20</v>
      </c>
      <c r="G1730" t="s">
        <v>21</v>
      </c>
      <c r="H1730" s="3" t="s">
        <v>26</v>
      </c>
      <c r="I1730" s="3" t="s">
        <v>37</v>
      </c>
      <c r="J1730" s="3" t="s">
        <v>17</v>
      </c>
      <c r="K1730" s="3">
        <f>_xlfn.XLOOKUP(tbl_main[[#This Row],[Service]],tbl_service[Service],tbl_service[Price],"")</f>
        <v>200</v>
      </c>
      <c r="L1730" s="3">
        <v>2</v>
      </c>
      <c r="M1730" s="3">
        <f>IF(AND(tbl_main[[#This Row],[Price]]="",tbl_main[[#This Row],[Qty]]=""),"",tbl_main[[#This Row],[Price]]*tbl_main[[#This Row],[Qty]])</f>
        <v>400</v>
      </c>
      <c r="N1730" s="3">
        <f>_xlfn.LET(_xlpm.x,_xlfn.XLOOKUP(tbl_main[[#This Row],[Service]],tbl_service[Service],tbl_service[Profit],""),
               IF(tbl_main[[#This Row],[Qty]]="","",_xlpm.x*tbl_main[[#This Row],[Qty]]))</f>
        <v>180</v>
      </c>
    </row>
    <row r="1731" spans="1:14" x14ac:dyDescent="0.25">
      <c r="A1731" t="s">
        <v>1773</v>
      </c>
      <c r="B1731" s="1">
        <v>46231</v>
      </c>
      <c r="C1731">
        <f>IF(tbl_main[[#This Row],[Date]]="","",YEAR(B1731))</f>
        <v>2026</v>
      </c>
      <c r="D1731" t="str">
        <f>IF(tbl_main[[#This Row],[Date]]="","",TEXT(B1731,"mmm"))</f>
        <v>Jul</v>
      </c>
      <c r="E1731" t="str">
        <f>IF(tbl_main[[#This Row],[Date]]="","",TEXT(B1731,"DDD"))</f>
        <v>Tue</v>
      </c>
      <c r="F1731" t="s">
        <v>20</v>
      </c>
      <c r="G1731" t="s">
        <v>21</v>
      </c>
      <c r="H1731" s="3" t="s">
        <v>15</v>
      </c>
      <c r="I1731" s="3" t="s">
        <v>38</v>
      </c>
      <c r="J1731" s="3" t="s">
        <v>25</v>
      </c>
      <c r="K1731" s="3">
        <f>_xlfn.XLOOKUP(tbl_main[[#This Row],[Service]],tbl_service[Service],tbl_service[Price],"")</f>
        <v>500</v>
      </c>
      <c r="L1731" s="3">
        <v>2</v>
      </c>
      <c r="M1731" s="3">
        <f>IF(AND(tbl_main[[#This Row],[Price]]="",tbl_main[[#This Row],[Qty]]=""),"",tbl_main[[#This Row],[Price]]*tbl_main[[#This Row],[Qty]])</f>
        <v>1000</v>
      </c>
      <c r="N1731" s="3">
        <f>_xlfn.LET(_xlpm.x,_xlfn.XLOOKUP(tbl_main[[#This Row],[Service]],tbl_service[Service],tbl_service[Profit],""),
               IF(tbl_main[[#This Row],[Qty]]="","",_xlpm.x*tbl_main[[#This Row],[Qty]]))</f>
        <v>450</v>
      </c>
    </row>
    <row r="1732" spans="1:14" x14ac:dyDescent="0.25">
      <c r="A1732" t="s">
        <v>1774</v>
      </c>
      <c r="B1732" s="1">
        <v>46231</v>
      </c>
      <c r="C1732">
        <f>IF(tbl_main[[#This Row],[Date]]="","",YEAR(B1732))</f>
        <v>2026</v>
      </c>
      <c r="D1732" t="str">
        <f>IF(tbl_main[[#This Row],[Date]]="","",TEXT(B1732,"mmm"))</f>
        <v>Jul</v>
      </c>
      <c r="E1732" t="str">
        <f>IF(tbl_main[[#This Row],[Date]]="","",TEXT(B1732,"DDD"))</f>
        <v>Tue</v>
      </c>
      <c r="F1732" t="s">
        <v>27</v>
      </c>
      <c r="G1732" t="s">
        <v>28</v>
      </c>
      <c r="H1732" s="3" t="s">
        <v>15</v>
      </c>
      <c r="I1732" s="3" t="s">
        <v>16</v>
      </c>
      <c r="J1732" s="3" t="s">
        <v>32</v>
      </c>
      <c r="K1732" s="3">
        <f>_xlfn.XLOOKUP(tbl_main[[#This Row],[Service]],tbl_service[Service],tbl_service[Price],"")</f>
        <v>500</v>
      </c>
      <c r="L1732" s="3">
        <v>2</v>
      </c>
      <c r="M1732" s="3">
        <f>IF(AND(tbl_main[[#This Row],[Price]]="",tbl_main[[#This Row],[Qty]]=""),"",tbl_main[[#This Row],[Price]]*tbl_main[[#This Row],[Qty]])</f>
        <v>1000</v>
      </c>
      <c r="N1732" s="3">
        <f>_xlfn.LET(_xlpm.x,_xlfn.XLOOKUP(tbl_main[[#This Row],[Service]],tbl_service[Service],tbl_service[Profit],""),
               IF(tbl_main[[#This Row],[Qty]]="","",_xlpm.x*tbl_main[[#This Row],[Qty]]))</f>
        <v>450</v>
      </c>
    </row>
    <row r="1733" spans="1:14" x14ac:dyDescent="0.25">
      <c r="A1733" t="s">
        <v>1775</v>
      </c>
      <c r="B1733" s="1">
        <v>46232</v>
      </c>
      <c r="C1733">
        <f>IF(tbl_main[[#This Row],[Date]]="","",YEAR(B1733))</f>
        <v>2026</v>
      </c>
      <c r="D1733" t="str">
        <f>IF(tbl_main[[#This Row],[Date]]="","",TEXT(B1733,"mmm"))</f>
        <v>Jul</v>
      </c>
      <c r="E1733" t="str">
        <f>IF(tbl_main[[#This Row],[Date]]="","",TEXT(B1733,"DDD"))</f>
        <v>Wed</v>
      </c>
      <c r="F1733" t="s">
        <v>27</v>
      </c>
      <c r="G1733" t="s">
        <v>28</v>
      </c>
      <c r="H1733" s="3" t="s">
        <v>18</v>
      </c>
      <c r="I1733" s="3" t="s">
        <v>19</v>
      </c>
      <c r="J1733" s="3" t="s">
        <v>17</v>
      </c>
      <c r="K1733" s="3">
        <f>_xlfn.XLOOKUP(tbl_main[[#This Row],[Service]],tbl_service[Service],tbl_service[Price],"")</f>
        <v>500</v>
      </c>
      <c r="L1733" s="3">
        <v>2</v>
      </c>
      <c r="M1733" s="3">
        <f>IF(AND(tbl_main[[#This Row],[Price]]="",tbl_main[[#This Row],[Qty]]=""),"",tbl_main[[#This Row],[Price]]*tbl_main[[#This Row],[Qty]])</f>
        <v>1000</v>
      </c>
      <c r="N1733" s="3">
        <f>_xlfn.LET(_xlpm.x,_xlfn.XLOOKUP(tbl_main[[#This Row],[Service]],tbl_service[Service],tbl_service[Profit],""),
               IF(tbl_main[[#This Row],[Qty]]="","",_xlpm.x*tbl_main[[#This Row],[Qty]]))</f>
        <v>314</v>
      </c>
    </row>
    <row r="1734" spans="1:14" x14ac:dyDescent="0.25">
      <c r="A1734" t="s">
        <v>1776</v>
      </c>
      <c r="B1734" s="1">
        <v>46232</v>
      </c>
      <c r="C1734">
        <f>IF(tbl_main[[#This Row],[Date]]="","",YEAR(B1734))</f>
        <v>2026</v>
      </c>
      <c r="D1734" t="str">
        <f>IF(tbl_main[[#This Row],[Date]]="","",TEXT(B1734,"mmm"))</f>
        <v>Jul</v>
      </c>
      <c r="E1734" t="str">
        <f>IF(tbl_main[[#This Row],[Date]]="","",TEXT(B1734,"DDD"))</f>
        <v>Wed</v>
      </c>
      <c r="F1734" t="s">
        <v>13</v>
      </c>
      <c r="G1734" t="s">
        <v>14</v>
      </c>
      <c r="H1734" s="3" t="s">
        <v>24</v>
      </c>
      <c r="I1734" s="3" t="s">
        <v>43</v>
      </c>
      <c r="J1734" s="3" t="s">
        <v>17</v>
      </c>
      <c r="K1734" s="3">
        <f>_xlfn.XLOOKUP(tbl_main[[#This Row],[Service]],tbl_service[Service],tbl_service[Price],"")</f>
        <v>80</v>
      </c>
      <c r="L1734" s="3">
        <v>2</v>
      </c>
      <c r="M1734" s="3">
        <f>IF(AND(tbl_main[[#This Row],[Price]]="",tbl_main[[#This Row],[Qty]]=""),"",tbl_main[[#This Row],[Price]]*tbl_main[[#This Row],[Qty]])</f>
        <v>160</v>
      </c>
      <c r="N1734" s="3">
        <f>_xlfn.LET(_xlpm.x,_xlfn.XLOOKUP(tbl_main[[#This Row],[Service]],tbl_service[Service],tbl_service[Profit],""),
               IF(tbl_main[[#This Row],[Qty]]="","",_xlpm.x*tbl_main[[#This Row],[Qty]]))</f>
        <v>72</v>
      </c>
    </row>
    <row r="1735" spans="1:14" x14ac:dyDescent="0.25">
      <c r="A1735" t="s">
        <v>1777</v>
      </c>
      <c r="B1735" s="1">
        <v>46232</v>
      </c>
      <c r="C1735">
        <f>IF(tbl_main[[#This Row],[Date]]="","",YEAR(B1735))</f>
        <v>2026</v>
      </c>
      <c r="D1735" t="str">
        <f>IF(tbl_main[[#This Row],[Date]]="","",TEXT(B1735,"mmm"))</f>
        <v>Jul</v>
      </c>
      <c r="E1735" t="str">
        <f>IF(tbl_main[[#This Row],[Date]]="","",TEXT(B1735,"DDD"))</f>
        <v>Wed</v>
      </c>
      <c r="F1735" t="s">
        <v>27</v>
      </c>
      <c r="G1735" t="s">
        <v>28</v>
      </c>
      <c r="H1735" s="3" t="s">
        <v>15</v>
      </c>
      <c r="I1735" s="3" t="s">
        <v>42</v>
      </c>
      <c r="J1735" s="3" t="s">
        <v>17</v>
      </c>
      <c r="K1735" s="3">
        <f>_xlfn.XLOOKUP(tbl_main[[#This Row],[Service]],tbl_service[Service],tbl_service[Price],"")</f>
        <v>500</v>
      </c>
      <c r="L1735" s="3">
        <v>2</v>
      </c>
      <c r="M1735" s="3">
        <f>IF(AND(tbl_main[[#This Row],[Price]]="",tbl_main[[#This Row],[Qty]]=""),"",tbl_main[[#This Row],[Price]]*tbl_main[[#This Row],[Qty]])</f>
        <v>1000</v>
      </c>
      <c r="N1735" s="3">
        <f>_xlfn.LET(_xlpm.x,_xlfn.XLOOKUP(tbl_main[[#This Row],[Service]],tbl_service[Service],tbl_service[Profit],""),
               IF(tbl_main[[#This Row],[Qty]]="","",_xlpm.x*tbl_main[[#This Row],[Qty]]))</f>
        <v>450</v>
      </c>
    </row>
    <row r="1736" spans="1:14" x14ac:dyDescent="0.25">
      <c r="A1736" t="s">
        <v>1778</v>
      </c>
      <c r="B1736" s="1">
        <v>46232</v>
      </c>
      <c r="C1736">
        <f>IF(tbl_main[[#This Row],[Date]]="","",YEAR(B1736))</f>
        <v>2026</v>
      </c>
      <c r="D1736" t="str">
        <f>IF(tbl_main[[#This Row],[Date]]="","",TEXT(B1736,"mmm"))</f>
        <v>Jul</v>
      </c>
      <c r="E1736" t="str">
        <f>IF(tbl_main[[#This Row],[Date]]="","",TEXT(B1736,"DDD"))</f>
        <v>Wed</v>
      </c>
      <c r="F1736" t="s">
        <v>30</v>
      </c>
      <c r="G1736" t="s">
        <v>36</v>
      </c>
      <c r="H1736" s="3" t="s">
        <v>26</v>
      </c>
      <c r="I1736" s="3" t="s">
        <v>41</v>
      </c>
      <c r="J1736" s="3" t="s">
        <v>17</v>
      </c>
      <c r="K1736" s="3">
        <f>_xlfn.XLOOKUP(tbl_main[[#This Row],[Service]],tbl_service[Service],tbl_service[Price],"")</f>
        <v>200</v>
      </c>
      <c r="L1736" s="3">
        <v>1</v>
      </c>
      <c r="M1736" s="3">
        <f>IF(AND(tbl_main[[#This Row],[Price]]="",tbl_main[[#This Row],[Qty]]=""),"",tbl_main[[#This Row],[Price]]*tbl_main[[#This Row],[Qty]])</f>
        <v>200</v>
      </c>
      <c r="N1736" s="3">
        <f>_xlfn.LET(_xlpm.x,_xlfn.XLOOKUP(tbl_main[[#This Row],[Service]],tbl_service[Service],tbl_service[Profit],""),
               IF(tbl_main[[#This Row],[Qty]]="","",_xlpm.x*tbl_main[[#This Row],[Qty]]))</f>
        <v>90</v>
      </c>
    </row>
    <row r="1737" spans="1:14" x14ac:dyDescent="0.25">
      <c r="A1737" t="s">
        <v>1779</v>
      </c>
      <c r="B1737" s="1">
        <v>46233</v>
      </c>
      <c r="C1737">
        <f>IF(tbl_main[[#This Row],[Date]]="","",YEAR(B1737))</f>
        <v>2026</v>
      </c>
      <c r="D1737" t="str">
        <f>IF(tbl_main[[#This Row],[Date]]="","",TEXT(B1737,"mmm"))</f>
        <v>Jul</v>
      </c>
      <c r="E1737" t="str">
        <f>IF(tbl_main[[#This Row],[Date]]="","",TEXT(B1737,"DDD"))</f>
        <v>Thu</v>
      </c>
      <c r="F1737" t="s">
        <v>20</v>
      </c>
      <c r="G1737" t="s">
        <v>39</v>
      </c>
      <c r="H1737" s="3" t="s">
        <v>24</v>
      </c>
      <c r="I1737" s="3" t="s">
        <v>35</v>
      </c>
      <c r="J1737" s="3" t="s">
        <v>32</v>
      </c>
      <c r="K1737" s="3">
        <f>_xlfn.XLOOKUP(tbl_main[[#This Row],[Service]],tbl_service[Service],tbl_service[Price],"")</f>
        <v>80</v>
      </c>
      <c r="L1737" s="3">
        <v>1</v>
      </c>
      <c r="M1737" s="3">
        <f>IF(AND(tbl_main[[#This Row],[Price]]="",tbl_main[[#This Row],[Qty]]=""),"",tbl_main[[#This Row],[Price]]*tbl_main[[#This Row],[Qty]])</f>
        <v>80</v>
      </c>
      <c r="N1737" s="3">
        <f>_xlfn.LET(_xlpm.x,_xlfn.XLOOKUP(tbl_main[[#This Row],[Service]],tbl_service[Service],tbl_service[Profit],""),
               IF(tbl_main[[#This Row],[Qty]]="","",_xlpm.x*tbl_main[[#This Row],[Qty]]))</f>
        <v>36</v>
      </c>
    </row>
    <row r="1738" spans="1:14" x14ac:dyDescent="0.25">
      <c r="A1738" t="s">
        <v>1780</v>
      </c>
      <c r="B1738" s="1">
        <v>46233</v>
      </c>
      <c r="C1738">
        <f>IF(tbl_main[[#This Row],[Date]]="","",YEAR(B1738))</f>
        <v>2026</v>
      </c>
      <c r="D1738" t="str">
        <f>IF(tbl_main[[#This Row],[Date]]="","",TEXT(B1738,"mmm"))</f>
        <v>Jul</v>
      </c>
      <c r="E1738" t="str">
        <f>IF(tbl_main[[#This Row],[Date]]="","",TEXT(B1738,"DDD"))</f>
        <v>Thu</v>
      </c>
      <c r="F1738" t="s">
        <v>20</v>
      </c>
      <c r="G1738" t="s">
        <v>21</v>
      </c>
      <c r="H1738" s="3" t="s">
        <v>24</v>
      </c>
      <c r="I1738" s="3" t="s">
        <v>35</v>
      </c>
      <c r="J1738" s="3" t="s">
        <v>17</v>
      </c>
      <c r="K1738" s="3">
        <f>_xlfn.XLOOKUP(tbl_main[[#This Row],[Service]],tbl_service[Service],tbl_service[Price],"")</f>
        <v>80</v>
      </c>
      <c r="L1738" s="3">
        <v>1</v>
      </c>
      <c r="M1738" s="3">
        <f>IF(AND(tbl_main[[#This Row],[Price]]="",tbl_main[[#This Row],[Qty]]=""),"",tbl_main[[#This Row],[Price]]*tbl_main[[#This Row],[Qty]])</f>
        <v>80</v>
      </c>
      <c r="N1738" s="3">
        <f>_xlfn.LET(_xlpm.x,_xlfn.XLOOKUP(tbl_main[[#This Row],[Service]],tbl_service[Service],tbl_service[Profit],""),
               IF(tbl_main[[#This Row],[Qty]]="","",_xlpm.x*tbl_main[[#This Row],[Qty]]))</f>
        <v>36</v>
      </c>
    </row>
    <row r="1739" spans="1:14" x14ac:dyDescent="0.25">
      <c r="A1739" t="s">
        <v>1781</v>
      </c>
      <c r="B1739" s="1">
        <v>46233</v>
      </c>
      <c r="C1739">
        <f>IF(tbl_main[[#This Row],[Date]]="","",YEAR(B1739))</f>
        <v>2026</v>
      </c>
      <c r="D1739" t="str">
        <f>IF(tbl_main[[#This Row],[Date]]="","",TEXT(B1739,"mmm"))</f>
        <v>Jul</v>
      </c>
      <c r="E1739" t="str">
        <f>IF(tbl_main[[#This Row],[Date]]="","",TEXT(B1739,"DDD"))</f>
        <v>Thu</v>
      </c>
      <c r="F1739" t="s">
        <v>13</v>
      </c>
      <c r="G1739" t="s">
        <v>14</v>
      </c>
      <c r="H1739" s="3" t="s">
        <v>22</v>
      </c>
      <c r="I1739" s="3" t="s">
        <v>23</v>
      </c>
      <c r="J1739" s="3" t="s">
        <v>17</v>
      </c>
      <c r="K1739" s="3">
        <f>_xlfn.XLOOKUP(tbl_main[[#This Row],[Service]],tbl_service[Service],tbl_service[Price],"")</f>
        <v>150</v>
      </c>
      <c r="L1739" s="3">
        <v>1</v>
      </c>
      <c r="M1739" s="3">
        <f>IF(AND(tbl_main[[#This Row],[Price]]="",tbl_main[[#This Row],[Qty]]=""),"",tbl_main[[#This Row],[Price]]*tbl_main[[#This Row],[Qty]])</f>
        <v>150</v>
      </c>
      <c r="N1739" s="3">
        <f>_xlfn.LET(_xlpm.x,_xlfn.XLOOKUP(tbl_main[[#This Row],[Service]],tbl_service[Service],tbl_service[Profit],""),
               IF(tbl_main[[#This Row],[Qty]]="","",_xlpm.x*tbl_main[[#This Row],[Qty]]))</f>
        <v>67</v>
      </c>
    </row>
    <row r="1740" spans="1:14" x14ac:dyDescent="0.25">
      <c r="A1740" t="s">
        <v>1782</v>
      </c>
      <c r="B1740" s="1">
        <v>46233</v>
      </c>
      <c r="C1740">
        <f>IF(tbl_main[[#This Row],[Date]]="","",YEAR(B1740))</f>
        <v>2026</v>
      </c>
      <c r="D1740" t="str">
        <f>IF(tbl_main[[#This Row],[Date]]="","",TEXT(B1740,"mmm"))</f>
        <v>Jul</v>
      </c>
      <c r="E1740" t="str">
        <f>IF(tbl_main[[#This Row],[Date]]="","",TEXT(B1740,"DDD"))</f>
        <v>Thu</v>
      </c>
      <c r="F1740" t="s">
        <v>30</v>
      </c>
      <c r="G1740" t="s">
        <v>31</v>
      </c>
      <c r="H1740" s="3" t="s">
        <v>22</v>
      </c>
      <c r="I1740" s="3" t="s">
        <v>37</v>
      </c>
      <c r="J1740" s="3" t="s">
        <v>32</v>
      </c>
      <c r="K1740" s="3">
        <f>_xlfn.XLOOKUP(tbl_main[[#This Row],[Service]],tbl_service[Service],tbl_service[Price],"")</f>
        <v>150</v>
      </c>
      <c r="L1740" s="3">
        <v>1</v>
      </c>
      <c r="M1740" s="3">
        <f>IF(AND(tbl_main[[#This Row],[Price]]="",tbl_main[[#This Row],[Qty]]=""),"",tbl_main[[#This Row],[Price]]*tbl_main[[#This Row],[Qty]])</f>
        <v>150</v>
      </c>
      <c r="N1740" s="3">
        <f>_xlfn.LET(_xlpm.x,_xlfn.XLOOKUP(tbl_main[[#This Row],[Service]],tbl_service[Service],tbl_service[Profit],""),
               IF(tbl_main[[#This Row],[Qty]]="","",_xlpm.x*tbl_main[[#This Row],[Qty]]))</f>
        <v>67</v>
      </c>
    </row>
    <row r="1741" spans="1:14" x14ac:dyDescent="0.25">
      <c r="A1741" t="s">
        <v>1783</v>
      </c>
      <c r="B1741" s="1">
        <v>46234</v>
      </c>
      <c r="C1741">
        <f>IF(tbl_main[[#This Row],[Date]]="","",YEAR(B1741))</f>
        <v>2026</v>
      </c>
      <c r="D1741" t="str">
        <f>IF(tbl_main[[#This Row],[Date]]="","",TEXT(B1741,"mmm"))</f>
        <v>Jul</v>
      </c>
      <c r="E1741" t="str">
        <f>IF(tbl_main[[#This Row],[Date]]="","",TEXT(B1741,"DDD"))</f>
        <v>Fri</v>
      </c>
      <c r="F1741" t="s">
        <v>27</v>
      </c>
      <c r="G1741" t="s">
        <v>40</v>
      </c>
      <c r="H1741" s="3" t="s">
        <v>24</v>
      </c>
      <c r="I1741" s="3" t="s">
        <v>38</v>
      </c>
      <c r="J1741" s="3" t="s">
        <v>25</v>
      </c>
      <c r="K1741" s="3">
        <f>_xlfn.XLOOKUP(tbl_main[[#This Row],[Service]],tbl_service[Service],tbl_service[Price],"")</f>
        <v>80</v>
      </c>
      <c r="L1741" s="3">
        <v>2</v>
      </c>
      <c r="M1741" s="3">
        <f>IF(AND(tbl_main[[#This Row],[Price]]="",tbl_main[[#This Row],[Qty]]=""),"",tbl_main[[#This Row],[Price]]*tbl_main[[#This Row],[Qty]])</f>
        <v>160</v>
      </c>
      <c r="N1741" s="3">
        <f>_xlfn.LET(_xlpm.x,_xlfn.XLOOKUP(tbl_main[[#This Row],[Service]],tbl_service[Service],tbl_service[Profit],""),
               IF(tbl_main[[#This Row],[Qty]]="","",_xlpm.x*tbl_main[[#This Row],[Qty]]))</f>
        <v>72</v>
      </c>
    </row>
    <row r="1742" spans="1:14" x14ac:dyDescent="0.25">
      <c r="A1742" t="s">
        <v>1784</v>
      </c>
      <c r="B1742" s="1">
        <v>46234</v>
      </c>
      <c r="C1742">
        <f>IF(tbl_main[[#This Row],[Date]]="","",YEAR(B1742))</f>
        <v>2026</v>
      </c>
      <c r="D1742" t="str">
        <f>IF(tbl_main[[#This Row],[Date]]="","",TEXT(B1742,"mmm"))</f>
        <v>Jul</v>
      </c>
      <c r="E1742" t="str">
        <f>IF(tbl_main[[#This Row],[Date]]="","",TEXT(B1742,"DDD"))</f>
        <v>Fri</v>
      </c>
      <c r="F1742" t="s">
        <v>20</v>
      </c>
      <c r="G1742" t="s">
        <v>29</v>
      </c>
      <c r="H1742" s="3" t="s">
        <v>15</v>
      </c>
      <c r="I1742" s="3" t="s">
        <v>16</v>
      </c>
      <c r="J1742" s="3" t="s">
        <v>25</v>
      </c>
      <c r="K1742" s="3">
        <f>_xlfn.XLOOKUP(tbl_main[[#This Row],[Service]],tbl_service[Service],tbl_service[Price],"")</f>
        <v>500</v>
      </c>
      <c r="L1742" s="3">
        <v>1</v>
      </c>
      <c r="M1742" s="3">
        <f>IF(AND(tbl_main[[#This Row],[Price]]="",tbl_main[[#This Row],[Qty]]=""),"",tbl_main[[#This Row],[Price]]*tbl_main[[#This Row],[Qty]])</f>
        <v>500</v>
      </c>
      <c r="N1742" s="3">
        <f>_xlfn.LET(_xlpm.x,_xlfn.XLOOKUP(tbl_main[[#This Row],[Service]],tbl_service[Service],tbl_service[Profit],""),
               IF(tbl_main[[#This Row],[Qty]]="","",_xlpm.x*tbl_main[[#This Row],[Qty]]))</f>
        <v>225</v>
      </c>
    </row>
    <row r="1743" spans="1:14" x14ac:dyDescent="0.25">
      <c r="A1743" t="s">
        <v>1785</v>
      </c>
      <c r="B1743" s="1">
        <v>46234</v>
      </c>
      <c r="C1743">
        <f>IF(tbl_main[[#This Row],[Date]]="","",YEAR(B1743))</f>
        <v>2026</v>
      </c>
      <c r="D1743" t="str">
        <f>IF(tbl_main[[#This Row],[Date]]="","",TEXT(B1743,"mmm"))</f>
        <v>Jul</v>
      </c>
      <c r="E1743" t="str">
        <f>IF(tbl_main[[#This Row],[Date]]="","",TEXT(B1743,"DDD"))</f>
        <v>Fri</v>
      </c>
      <c r="F1743" t="s">
        <v>20</v>
      </c>
      <c r="G1743" t="s">
        <v>39</v>
      </c>
      <c r="H1743" s="3" t="s">
        <v>18</v>
      </c>
      <c r="I1743" s="3" t="s">
        <v>19</v>
      </c>
      <c r="J1743" s="3" t="s">
        <v>25</v>
      </c>
      <c r="K1743" s="3">
        <f>_xlfn.XLOOKUP(tbl_main[[#This Row],[Service]],tbl_service[Service],tbl_service[Price],"")</f>
        <v>500</v>
      </c>
      <c r="L1743" s="3">
        <v>2</v>
      </c>
      <c r="M1743" s="3">
        <f>IF(AND(tbl_main[[#This Row],[Price]]="",tbl_main[[#This Row],[Qty]]=""),"",tbl_main[[#This Row],[Price]]*tbl_main[[#This Row],[Qty]])</f>
        <v>1000</v>
      </c>
      <c r="N1743" s="3">
        <f>_xlfn.LET(_xlpm.x,_xlfn.XLOOKUP(tbl_main[[#This Row],[Service]],tbl_service[Service],tbl_service[Profit],""),
               IF(tbl_main[[#This Row],[Qty]]="","",_xlpm.x*tbl_main[[#This Row],[Qty]]))</f>
        <v>314</v>
      </c>
    </row>
    <row r="1744" spans="1:14" x14ac:dyDescent="0.25">
      <c r="A1744" t="s">
        <v>1786</v>
      </c>
      <c r="B1744" s="1">
        <v>46234</v>
      </c>
      <c r="C1744">
        <f>IF(tbl_main[[#This Row],[Date]]="","",YEAR(B1744))</f>
        <v>2026</v>
      </c>
      <c r="D1744" t="str">
        <f>IF(tbl_main[[#This Row],[Date]]="","",TEXT(B1744,"mmm"))</f>
        <v>Jul</v>
      </c>
      <c r="E1744" t="str">
        <f>IF(tbl_main[[#This Row],[Date]]="","",TEXT(B1744,"DDD"))</f>
        <v>Fri</v>
      </c>
      <c r="F1744" t="s">
        <v>13</v>
      </c>
      <c r="G1744" t="s">
        <v>33</v>
      </c>
      <c r="H1744" s="3" t="s">
        <v>24</v>
      </c>
      <c r="I1744" s="3" t="s">
        <v>43</v>
      </c>
      <c r="J1744" s="3" t="s">
        <v>25</v>
      </c>
      <c r="K1744" s="3">
        <f>_xlfn.XLOOKUP(tbl_main[[#This Row],[Service]],tbl_service[Service],tbl_service[Price],"")</f>
        <v>80</v>
      </c>
      <c r="L1744" s="3">
        <v>1</v>
      </c>
      <c r="M1744" s="3">
        <f>IF(AND(tbl_main[[#This Row],[Price]]="",tbl_main[[#This Row],[Qty]]=""),"",tbl_main[[#This Row],[Price]]*tbl_main[[#This Row],[Qty]])</f>
        <v>80</v>
      </c>
      <c r="N1744" s="3">
        <f>_xlfn.LET(_xlpm.x,_xlfn.XLOOKUP(tbl_main[[#This Row],[Service]],tbl_service[Service],tbl_service[Profit],""),
               IF(tbl_main[[#This Row],[Qty]]="","",_xlpm.x*tbl_main[[#This Row],[Qty]]))</f>
        <v>36</v>
      </c>
    </row>
    <row r="1745" spans="1:14" x14ac:dyDescent="0.25">
      <c r="A1745" t="s">
        <v>1787</v>
      </c>
      <c r="B1745" s="1">
        <v>46235</v>
      </c>
      <c r="C1745">
        <f>IF(tbl_main[[#This Row],[Date]]="","",YEAR(B1745))</f>
        <v>2026</v>
      </c>
      <c r="D1745" t="str">
        <f>IF(tbl_main[[#This Row],[Date]]="","",TEXT(B1745,"mmm"))</f>
        <v>Aug</v>
      </c>
      <c r="E1745" t="str">
        <f>IF(tbl_main[[#This Row],[Date]]="","",TEXT(B1745,"DDD"))</f>
        <v>Sat</v>
      </c>
      <c r="F1745" t="s">
        <v>20</v>
      </c>
      <c r="G1745" t="s">
        <v>21</v>
      </c>
      <c r="H1745" s="3" t="s">
        <v>26</v>
      </c>
      <c r="I1745" s="3" t="s">
        <v>42</v>
      </c>
      <c r="J1745" s="3" t="s">
        <v>17</v>
      </c>
      <c r="K1745" s="3">
        <f>_xlfn.XLOOKUP(tbl_main[[#This Row],[Service]],tbl_service[Service],tbl_service[Price],"")</f>
        <v>200</v>
      </c>
      <c r="L1745" s="3">
        <v>1</v>
      </c>
      <c r="M1745" s="3">
        <f>IF(AND(tbl_main[[#This Row],[Price]]="",tbl_main[[#This Row],[Qty]]=""),"",tbl_main[[#This Row],[Price]]*tbl_main[[#This Row],[Qty]])</f>
        <v>200</v>
      </c>
      <c r="N1745" s="3">
        <f>_xlfn.LET(_xlpm.x,_xlfn.XLOOKUP(tbl_main[[#This Row],[Service]],tbl_service[Service],tbl_service[Profit],""),
               IF(tbl_main[[#This Row],[Qty]]="","",_xlpm.x*tbl_main[[#This Row],[Qty]]))</f>
        <v>90</v>
      </c>
    </row>
    <row r="1746" spans="1:14" x14ac:dyDescent="0.25">
      <c r="A1746" t="s">
        <v>1788</v>
      </c>
      <c r="B1746" s="1">
        <v>46235</v>
      </c>
      <c r="C1746">
        <f>IF(tbl_main[[#This Row],[Date]]="","",YEAR(B1746))</f>
        <v>2026</v>
      </c>
      <c r="D1746" t="str">
        <f>IF(tbl_main[[#This Row],[Date]]="","",TEXT(B1746,"mmm"))</f>
        <v>Aug</v>
      </c>
      <c r="E1746" t="str">
        <f>IF(tbl_main[[#This Row],[Date]]="","",TEXT(B1746,"DDD"))</f>
        <v>Sat</v>
      </c>
      <c r="F1746" t="s">
        <v>30</v>
      </c>
      <c r="G1746" t="s">
        <v>31</v>
      </c>
      <c r="H1746" s="3" t="s">
        <v>26</v>
      </c>
      <c r="I1746" s="3" t="s">
        <v>41</v>
      </c>
      <c r="J1746" s="3" t="s">
        <v>32</v>
      </c>
      <c r="K1746" s="3">
        <f>_xlfn.XLOOKUP(tbl_main[[#This Row],[Service]],tbl_service[Service],tbl_service[Price],"")</f>
        <v>200</v>
      </c>
      <c r="L1746" s="3">
        <v>1</v>
      </c>
      <c r="M1746" s="3">
        <f>IF(AND(tbl_main[[#This Row],[Price]]="",tbl_main[[#This Row],[Qty]]=""),"",tbl_main[[#This Row],[Price]]*tbl_main[[#This Row],[Qty]])</f>
        <v>200</v>
      </c>
      <c r="N1746" s="3">
        <f>_xlfn.LET(_xlpm.x,_xlfn.XLOOKUP(tbl_main[[#This Row],[Service]],tbl_service[Service],tbl_service[Profit],""),
               IF(tbl_main[[#This Row],[Qty]]="","",_xlpm.x*tbl_main[[#This Row],[Qty]]))</f>
        <v>90</v>
      </c>
    </row>
    <row r="1747" spans="1:14" x14ac:dyDescent="0.25">
      <c r="A1747" t="s">
        <v>1789</v>
      </c>
      <c r="B1747" s="1">
        <v>46236</v>
      </c>
      <c r="C1747">
        <f>IF(tbl_main[[#This Row],[Date]]="","",YEAR(B1747))</f>
        <v>2026</v>
      </c>
      <c r="D1747" t="str">
        <f>IF(tbl_main[[#This Row],[Date]]="","",TEXT(B1747,"mmm"))</f>
        <v>Aug</v>
      </c>
      <c r="E1747" t="str">
        <f>IF(tbl_main[[#This Row],[Date]]="","",TEXT(B1747,"DDD"))</f>
        <v>Sun</v>
      </c>
      <c r="F1747" t="s">
        <v>30</v>
      </c>
      <c r="G1747" t="s">
        <v>36</v>
      </c>
      <c r="H1747" s="3" t="s">
        <v>24</v>
      </c>
      <c r="I1747" s="3" t="s">
        <v>35</v>
      </c>
      <c r="J1747" s="3" t="s">
        <v>25</v>
      </c>
      <c r="K1747" s="3">
        <f>_xlfn.XLOOKUP(tbl_main[[#This Row],[Service]],tbl_service[Service],tbl_service[Price],"")</f>
        <v>80</v>
      </c>
      <c r="L1747" s="3">
        <v>1</v>
      </c>
      <c r="M1747" s="3">
        <f>IF(AND(tbl_main[[#This Row],[Price]]="",tbl_main[[#This Row],[Qty]]=""),"",tbl_main[[#This Row],[Price]]*tbl_main[[#This Row],[Qty]])</f>
        <v>80</v>
      </c>
      <c r="N1747" s="3">
        <f>_xlfn.LET(_xlpm.x,_xlfn.XLOOKUP(tbl_main[[#This Row],[Service]],tbl_service[Service],tbl_service[Profit],""),
               IF(tbl_main[[#This Row],[Qty]]="","",_xlpm.x*tbl_main[[#This Row],[Qty]]))</f>
        <v>36</v>
      </c>
    </row>
    <row r="1748" spans="1:14" x14ac:dyDescent="0.25">
      <c r="A1748" t="s">
        <v>1790</v>
      </c>
      <c r="B1748" s="1">
        <v>46236</v>
      </c>
      <c r="C1748">
        <f>IF(tbl_main[[#This Row],[Date]]="","",YEAR(B1748))</f>
        <v>2026</v>
      </c>
      <c r="D1748" t="str">
        <f>IF(tbl_main[[#This Row],[Date]]="","",TEXT(B1748,"mmm"))</f>
        <v>Aug</v>
      </c>
      <c r="E1748" t="str">
        <f>IF(tbl_main[[#This Row],[Date]]="","",TEXT(B1748,"DDD"))</f>
        <v>Sun</v>
      </c>
      <c r="F1748" t="s">
        <v>27</v>
      </c>
      <c r="G1748" t="s">
        <v>28</v>
      </c>
      <c r="H1748" s="3" t="s">
        <v>26</v>
      </c>
      <c r="I1748" s="3" t="s">
        <v>35</v>
      </c>
      <c r="J1748" s="3" t="s">
        <v>32</v>
      </c>
      <c r="K1748" s="3">
        <f>_xlfn.XLOOKUP(tbl_main[[#This Row],[Service]],tbl_service[Service],tbl_service[Price],"")</f>
        <v>200</v>
      </c>
      <c r="L1748" s="3">
        <v>2</v>
      </c>
      <c r="M1748" s="3">
        <f>IF(AND(tbl_main[[#This Row],[Price]]="",tbl_main[[#This Row],[Qty]]=""),"",tbl_main[[#This Row],[Price]]*tbl_main[[#This Row],[Qty]])</f>
        <v>400</v>
      </c>
      <c r="N1748" s="3">
        <f>_xlfn.LET(_xlpm.x,_xlfn.XLOOKUP(tbl_main[[#This Row],[Service]],tbl_service[Service],tbl_service[Profit],""),
               IF(tbl_main[[#This Row],[Qty]]="","",_xlpm.x*tbl_main[[#This Row],[Qty]]))</f>
        <v>180</v>
      </c>
    </row>
    <row r="1749" spans="1:14" x14ac:dyDescent="0.25">
      <c r="A1749" t="s">
        <v>1791</v>
      </c>
      <c r="B1749" s="1">
        <v>46237</v>
      </c>
      <c r="C1749">
        <f>IF(tbl_main[[#This Row],[Date]]="","",YEAR(B1749))</f>
        <v>2026</v>
      </c>
      <c r="D1749" t="str">
        <f>IF(tbl_main[[#This Row],[Date]]="","",TEXT(B1749,"mmm"))</f>
        <v>Aug</v>
      </c>
      <c r="E1749" t="str">
        <f>IF(tbl_main[[#This Row],[Date]]="","",TEXT(B1749,"DDD"))</f>
        <v>Mon</v>
      </c>
      <c r="F1749" t="s">
        <v>30</v>
      </c>
      <c r="G1749" t="s">
        <v>36</v>
      </c>
      <c r="H1749" s="3" t="s">
        <v>22</v>
      </c>
      <c r="I1749" s="3" t="s">
        <v>23</v>
      </c>
      <c r="J1749" s="3" t="s">
        <v>32</v>
      </c>
      <c r="K1749" s="3">
        <f>_xlfn.XLOOKUP(tbl_main[[#This Row],[Service]],tbl_service[Service],tbl_service[Price],"")</f>
        <v>150</v>
      </c>
      <c r="L1749" s="3">
        <v>1</v>
      </c>
      <c r="M1749" s="3">
        <f>IF(AND(tbl_main[[#This Row],[Price]]="",tbl_main[[#This Row],[Qty]]=""),"",tbl_main[[#This Row],[Price]]*tbl_main[[#This Row],[Qty]])</f>
        <v>150</v>
      </c>
      <c r="N1749" s="3">
        <f>_xlfn.LET(_xlpm.x,_xlfn.XLOOKUP(tbl_main[[#This Row],[Service]],tbl_service[Service],tbl_service[Profit],""),
               IF(tbl_main[[#This Row],[Qty]]="","",_xlpm.x*tbl_main[[#This Row],[Qty]]))</f>
        <v>67</v>
      </c>
    </row>
    <row r="1750" spans="1:14" x14ac:dyDescent="0.25">
      <c r="A1750" t="s">
        <v>1792</v>
      </c>
      <c r="B1750" s="1">
        <v>46237</v>
      </c>
      <c r="C1750">
        <f>IF(tbl_main[[#This Row],[Date]]="","",YEAR(B1750))</f>
        <v>2026</v>
      </c>
      <c r="D1750" t="str">
        <f>IF(tbl_main[[#This Row],[Date]]="","",TEXT(B1750,"mmm"))</f>
        <v>Aug</v>
      </c>
      <c r="E1750" t="str">
        <f>IF(tbl_main[[#This Row],[Date]]="","",TEXT(B1750,"DDD"))</f>
        <v>Mon</v>
      </c>
      <c r="F1750" t="s">
        <v>30</v>
      </c>
      <c r="G1750" t="s">
        <v>31</v>
      </c>
      <c r="H1750" s="3" t="s">
        <v>18</v>
      </c>
      <c r="I1750" s="3" t="s">
        <v>37</v>
      </c>
      <c r="J1750" s="3" t="s">
        <v>32</v>
      </c>
      <c r="K1750" s="3">
        <f>_xlfn.XLOOKUP(tbl_main[[#This Row],[Service]],tbl_service[Service],tbl_service[Price],"")</f>
        <v>500</v>
      </c>
      <c r="L1750" s="3">
        <v>1</v>
      </c>
      <c r="M1750" s="3">
        <f>IF(AND(tbl_main[[#This Row],[Price]]="",tbl_main[[#This Row],[Qty]]=""),"",tbl_main[[#This Row],[Price]]*tbl_main[[#This Row],[Qty]])</f>
        <v>500</v>
      </c>
      <c r="N1750" s="3">
        <f>_xlfn.LET(_xlpm.x,_xlfn.XLOOKUP(tbl_main[[#This Row],[Service]],tbl_service[Service],tbl_service[Profit],""),
               IF(tbl_main[[#This Row],[Qty]]="","",_xlpm.x*tbl_main[[#This Row],[Qty]]))</f>
        <v>157</v>
      </c>
    </row>
    <row r="1751" spans="1:14" x14ac:dyDescent="0.25">
      <c r="A1751" t="s">
        <v>1793</v>
      </c>
      <c r="B1751" s="1">
        <v>46237</v>
      </c>
      <c r="C1751">
        <f>IF(tbl_main[[#This Row],[Date]]="","",YEAR(B1751))</f>
        <v>2026</v>
      </c>
      <c r="D1751" t="str">
        <f>IF(tbl_main[[#This Row],[Date]]="","",TEXT(B1751,"mmm"))</f>
        <v>Aug</v>
      </c>
      <c r="E1751" t="str">
        <f>IF(tbl_main[[#This Row],[Date]]="","",TEXT(B1751,"DDD"))</f>
        <v>Mon</v>
      </c>
      <c r="F1751" t="s">
        <v>20</v>
      </c>
      <c r="G1751" t="s">
        <v>29</v>
      </c>
      <c r="H1751" s="3" t="s">
        <v>15</v>
      </c>
      <c r="I1751" s="3" t="s">
        <v>38</v>
      </c>
      <c r="J1751" s="3" t="s">
        <v>32</v>
      </c>
      <c r="K1751" s="3">
        <f>_xlfn.XLOOKUP(tbl_main[[#This Row],[Service]],tbl_service[Service],tbl_service[Price],"")</f>
        <v>500</v>
      </c>
      <c r="L1751" s="3">
        <v>2</v>
      </c>
      <c r="M1751" s="3">
        <f>IF(AND(tbl_main[[#This Row],[Price]]="",tbl_main[[#This Row],[Qty]]=""),"",tbl_main[[#This Row],[Price]]*tbl_main[[#This Row],[Qty]])</f>
        <v>1000</v>
      </c>
      <c r="N1751" s="3">
        <f>_xlfn.LET(_xlpm.x,_xlfn.XLOOKUP(tbl_main[[#This Row],[Service]],tbl_service[Service],tbl_service[Profit],""),
               IF(tbl_main[[#This Row],[Qty]]="","",_xlpm.x*tbl_main[[#This Row],[Qty]]))</f>
        <v>450</v>
      </c>
    </row>
    <row r="1752" spans="1:14" x14ac:dyDescent="0.25">
      <c r="A1752" t="s">
        <v>1794</v>
      </c>
      <c r="B1752" s="1">
        <v>46237</v>
      </c>
      <c r="C1752">
        <f>IF(tbl_main[[#This Row],[Date]]="","",YEAR(B1752))</f>
        <v>2026</v>
      </c>
      <c r="D1752" t="str">
        <f>IF(tbl_main[[#This Row],[Date]]="","",TEXT(B1752,"mmm"))</f>
        <v>Aug</v>
      </c>
      <c r="E1752" t="str">
        <f>IF(tbl_main[[#This Row],[Date]]="","",TEXT(B1752,"DDD"))</f>
        <v>Mon</v>
      </c>
      <c r="F1752" t="s">
        <v>30</v>
      </c>
      <c r="G1752" t="s">
        <v>31</v>
      </c>
      <c r="H1752" s="3" t="s">
        <v>34</v>
      </c>
      <c r="I1752" s="3" t="s">
        <v>16</v>
      </c>
      <c r="J1752" s="3" t="s">
        <v>25</v>
      </c>
      <c r="K1752" s="3">
        <f>_xlfn.XLOOKUP(tbl_main[[#This Row],[Service]],tbl_service[Service],tbl_service[Price],"")</f>
        <v>100</v>
      </c>
      <c r="L1752" s="3">
        <v>2</v>
      </c>
      <c r="M1752" s="3">
        <f>IF(AND(tbl_main[[#This Row],[Price]]="",tbl_main[[#This Row],[Qty]]=""),"",tbl_main[[#This Row],[Price]]*tbl_main[[#This Row],[Qty]])</f>
        <v>200</v>
      </c>
      <c r="N1752" s="3">
        <f>_xlfn.LET(_xlpm.x,_xlfn.XLOOKUP(tbl_main[[#This Row],[Service]],tbl_service[Service],tbl_service[Profit],""),
               IF(tbl_main[[#This Row],[Qty]]="","",_xlpm.x*tbl_main[[#This Row],[Qty]]))</f>
        <v>90</v>
      </c>
    </row>
    <row r="1753" spans="1:14" x14ac:dyDescent="0.25">
      <c r="A1753" t="s">
        <v>1795</v>
      </c>
      <c r="B1753" s="1">
        <v>46238</v>
      </c>
      <c r="C1753">
        <f>IF(tbl_main[[#This Row],[Date]]="","",YEAR(B1753))</f>
        <v>2026</v>
      </c>
      <c r="D1753" t="str">
        <f>IF(tbl_main[[#This Row],[Date]]="","",TEXT(B1753,"mmm"))</f>
        <v>Aug</v>
      </c>
      <c r="E1753" t="str">
        <f>IF(tbl_main[[#This Row],[Date]]="","",TEXT(B1753,"DDD"))</f>
        <v>Tue</v>
      </c>
      <c r="F1753" t="s">
        <v>27</v>
      </c>
      <c r="G1753" t="s">
        <v>40</v>
      </c>
      <c r="H1753" s="3" t="s">
        <v>18</v>
      </c>
      <c r="I1753" s="3" t="s">
        <v>19</v>
      </c>
      <c r="J1753" s="3" t="s">
        <v>17</v>
      </c>
      <c r="K1753" s="3">
        <f>_xlfn.XLOOKUP(tbl_main[[#This Row],[Service]],tbl_service[Service],tbl_service[Price],"")</f>
        <v>500</v>
      </c>
      <c r="L1753" s="3">
        <v>2</v>
      </c>
      <c r="M1753" s="3">
        <f>IF(AND(tbl_main[[#This Row],[Price]]="",tbl_main[[#This Row],[Qty]]=""),"",tbl_main[[#This Row],[Price]]*tbl_main[[#This Row],[Qty]])</f>
        <v>1000</v>
      </c>
      <c r="N1753" s="3">
        <f>_xlfn.LET(_xlpm.x,_xlfn.XLOOKUP(tbl_main[[#This Row],[Service]],tbl_service[Service],tbl_service[Profit],""),
               IF(tbl_main[[#This Row],[Qty]]="","",_xlpm.x*tbl_main[[#This Row],[Qty]]))</f>
        <v>314</v>
      </c>
    </row>
    <row r="1754" spans="1:14" x14ac:dyDescent="0.25">
      <c r="A1754" t="s">
        <v>1796</v>
      </c>
      <c r="B1754" s="1">
        <v>46238</v>
      </c>
      <c r="C1754">
        <f>IF(tbl_main[[#This Row],[Date]]="","",YEAR(B1754))</f>
        <v>2026</v>
      </c>
      <c r="D1754" t="str">
        <f>IF(tbl_main[[#This Row],[Date]]="","",TEXT(B1754,"mmm"))</f>
        <v>Aug</v>
      </c>
      <c r="E1754" t="str">
        <f>IF(tbl_main[[#This Row],[Date]]="","",TEXT(B1754,"DDD"))</f>
        <v>Tue</v>
      </c>
      <c r="F1754" t="s">
        <v>30</v>
      </c>
      <c r="G1754" t="s">
        <v>31</v>
      </c>
      <c r="H1754" s="3" t="s">
        <v>15</v>
      </c>
      <c r="I1754" s="3" t="s">
        <v>43</v>
      </c>
      <c r="J1754" s="3" t="s">
        <v>17</v>
      </c>
      <c r="K1754" s="3">
        <f>_xlfn.XLOOKUP(tbl_main[[#This Row],[Service]],tbl_service[Service],tbl_service[Price],"")</f>
        <v>500</v>
      </c>
      <c r="L1754" s="3">
        <v>2</v>
      </c>
      <c r="M1754" s="3">
        <f>IF(AND(tbl_main[[#This Row],[Price]]="",tbl_main[[#This Row],[Qty]]=""),"",tbl_main[[#This Row],[Price]]*tbl_main[[#This Row],[Qty]])</f>
        <v>1000</v>
      </c>
      <c r="N1754" s="3">
        <f>_xlfn.LET(_xlpm.x,_xlfn.XLOOKUP(tbl_main[[#This Row],[Service]],tbl_service[Service],tbl_service[Profit],""),
               IF(tbl_main[[#This Row],[Qty]]="","",_xlpm.x*tbl_main[[#This Row],[Qty]]))</f>
        <v>450</v>
      </c>
    </row>
    <row r="1755" spans="1:14" x14ac:dyDescent="0.25">
      <c r="A1755" t="s">
        <v>1797</v>
      </c>
      <c r="B1755" s="1">
        <v>46238</v>
      </c>
      <c r="C1755">
        <f>IF(tbl_main[[#This Row],[Date]]="","",YEAR(B1755))</f>
        <v>2026</v>
      </c>
      <c r="D1755" t="str">
        <f>IF(tbl_main[[#This Row],[Date]]="","",TEXT(B1755,"mmm"))</f>
        <v>Aug</v>
      </c>
      <c r="E1755" t="str">
        <f>IF(tbl_main[[#This Row],[Date]]="","",TEXT(B1755,"DDD"))</f>
        <v>Tue</v>
      </c>
      <c r="F1755" t="s">
        <v>20</v>
      </c>
      <c r="G1755" t="s">
        <v>39</v>
      </c>
      <c r="H1755" s="3" t="s">
        <v>34</v>
      </c>
      <c r="I1755" s="3" t="s">
        <v>42</v>
      </c>
      <c r="J1755" s="3" t="s">
        <v>32</v>
      </c>
      <c r="K1755" s="3">
        <f>_xlfn.XLOOKUP(tbl_main[[#This Row],[Service]],tbl_service[Service],tbl_service[Price],"")</f>
        <v>100</v>
      </c>
      <c r="L1755" s="3">
        <v>1</v>
      </c>
      <c r="M1755" s="3">
        <f>IF(AND(tbl_main[[#This Row],[Price]]="",tbl_main[[#This Row],[Qty]]=""),"",tbl_main[[#This Row],[Price]]*tbl_main[[#This Row],[Qty]])</f>
        <v>100</v>
      </c>
      <c r="N1755" s="3">
        <f>_xlfn.LET(_xlpm.x,_xlfn.XLOOKUP(tbl_main[[#This Row],[Service]],tbl_service[Service],tbl_service[Profit],""),
               IF(tbl_main[[#This Row],[Qty]]="","",_xlpm.x*tbl_main[[#This Row],[Qty]]))</f>
        <v>45</v>
      </c>
    </row>
    <row r="1756" spans="1:14" x14ac:dyDescent="0.25">
      <c r="A1756" t="s">
        <v>1798</v>
      </c>
      <c r="B1756" s="1">
        <v>46238</v>
      </c>
      <c r="C1756">
        <f>IF(tbl_main[[#This Row],[Date]]="","",YEAR(B1756))</f>
        <v>2026</v>
      </c>
      <c r="D1756" t="str">
        <f>IF(tbl_main[[#This Row],[Date]]="","",TEXT(B1756,"mmm"))</f>
        <v>Aug</v>
      </c>
      <c r="E1756" t="str">
        <f>IF(tbl_main[[#This Row],[Date]]="","",TEXT(B1756,"DDD"))</f>
        <v>Tue</v>
      </c>
      <c r="F1756" t="s">
        <v>27</v>
      </c>
      <c r="G1756" t="s">
        <v>40</v>
      </c>
      <c r="H1756" s="3" t="s">
        <v>22</v>
      </c>
      <c r="I1756" s="3" t="s">
        <v>41</v>
      </c>
      <c r="J1756" s="3" t="s">
        <v>17</v>
      </c>
      <c r="K1756" s="3">
        <f>_xlfn.XLOOKUP(tbl_main[[#This Row],[Service]],tbl_service[Service],tbl_service[Price],"")</f>
        <v>150</v>
      </c>
      <c r="L1756" s="3">
        <v>1</v>
      </c>
      <c r="M1756" s="3">
        <f>IF(AND(tbl_main[[#This Row],[Price]]="",tbl_main[[#This Row],[Qty]]=""),"",tbl_main[[#This Row],[Price]]*tbl_main[[#This Row],[Qty]])</f>
        <v>150</v>
      </c>
      <c r="N1756" s="3">
        <f>_xlfn.LET(_xlpm.x,_xlfn.XLOOKUP(tbl_main[[#This Row],[Service]],tbl_service[Service],tbl_service[Profit],""),
               IF(tbl_main[[#This Row],[Qty]]="","",_xlpm.x*tbl_main[[#This Row],[Qty]]))</f>
        <v>67</v>
      </c>
    </row>
    <row r="1757" spans="1:14" x14ac:dyDescent="0.25">
      <c r="A1757" t="s">
        <v>1799</v>
      </c>
      <c r="B1757" s="1">
        <v>46239</v>
      </c>
      <c r="C1757">
        <f>IF(tbl_main[[#This Row],[Date]]="","",YEAR(B1757))</f>
        <v>2026</v>
      </c>
      <c r="D1757" t="str">
        <f>IF(tbl_main[[#This Row],[Date]]="","",TEXT(B1757,"mmm"))</f>
        <v>Aug</v>
      </c>
      <c r="E1757" t="str">
        <f>IF(tbl_main[[#This Row],[Date]]="","",TEXT(B1757,"DDD"))</f>
        <v>Wed</v>
      </c>
      <c r="F1757" t="s">
        <v>30</v>
      </c>
      <c r="G1757" t="s">
        <v>31</v>
      </c>
      <c r="H1757" s="3" t="s">
        <v>26</v>
      </c>
      <c r="I1757" s="3" t="s">
        <v>35</v>
      </c>
      <c r="J1757" s="3" t="s">
        <v>32</v>
      </c>
      <c r="K1757" s="3">
        <f>_xlfn.XLOOKUP(tbl_main[[#This Row],[Service]],tbl_service[Service],tbl_service[Price],"")</f>
        <v>200</v>
      </c>
      <c r="L1757" s="3">
        <v>2</v>
      </c>
      <c r="M1757" s="3">
        <f>IF(AND(tbl_main[[#This Row],[Price]]="",tbl_main[[#This Row],[Qty]]=""),"",tbl_main[[#This Row],[Price]]*tbl_main[[#This Row],[Qty]])</f>
        <v>400</v>
      </c>
      <c r="N1757" s="3">
        <f>_xlfn.LET(_xlpm.x,_xlfn.XLOOKUP(tbl_main[[#This Row],[Service]],tbl_service[Service],tbl_service[Profit],""),
               IF(tbl_main[[#This Row],[Qty]]="","",_xlpm.x*tbl_main[[#This Row],[Qty]]))</f>
        <v>180</v>
      </c>
    </row>
    <row r="1758" spans="1:14" x14ac:dyDescent="0.25">
      <c r="A1758" t="s">
        <v>1800</v>
      </c>
      <c r="B1758" s="1">
        <v>46239</v>
      </c>
      <c r="C1758">
        <f>IF(tbl_main[[#This Row],[Date]]="","",YEAR(B1758))</f>
        <v>2026</v>
      </c>
      <c r="D1758" t="str">
        <f>IF(tbl_main[[#This Row],[Date]]="","",TEXT(B1758,"mmm"))</f>
        <v>Aug</v>
      </c>
      <c r="E1758" t="str">
        <f>IF(tbl_main[[#This Row],[Date]]="","",TEXT(B1758,"DDD"))</f>
        <v>Wed</v>
      </c>
      <c r="F1758" t="s">
        <v>30</v>
      </c>
      <c r="G1758" t="s">
        <v>36</v>
      </c>
      <c r="H1758" s="3" t="s">
        <v>18</v>
      </c>
      <c r="I1758" s="3" t="s">
        <v>35</v>
      </c>
      <c r="J1758" s="3" t="s">
        <v>17</v>
      </c>
      <c r="K1758" s="3">
        <f>_xlfn.XLOOKUP(tbl_main[[#This Row],[Service]],tbl_service[Service],tbl_service[Price],"")</f>
        <v>500</v>
      </c>
      <c r="L1758" s="3">
        <v>2</v>
      </c>
      <c r="M1758" s="3">
        <f>IF(AND(tbl_main[[#This Row],[Price]]="",tbl_main[[#This Row],[Qty]]=""),"",tbl_main[[#This Row],[Price]]*tbl_main[[#This Row],[Qty]])</f>
        <v>1000</v>
      </c>
      <c r="N1758" s="3">
        <f>_xlfn.LET(_xlpm.x,_xlfn.XLOOKUP(tbl_main[[#This Row],[Service]],tbl_service[Service],tbl_service[Profit],""),
               IF(tbl_main[[#This Row],[Qty]]="","",_xlpm.x*tbl_main[[#This Row],[Qty]]))</f>
        <v>314</v>
      </c>
    </row>
    <row r="1759" spans="1:14" x14ac:dyDescent="0.25">
      <c r="A1759" t="s">
        <v>1801</v>
      </c>
      <c r="B1759" s="1">
        <v>46239</v>
      </c>
      <c r="C1759">
        <f>IF(tbl_main[[#This Row],[Date]]="","",YEAR(B1759))</f>
        <v>2026</v>
      </c>
      <c r="D1759" t="str">
        <f>IF(tbl_main[[#This Row],[Date]]="","",TEXT(B1759,"mmm"))</f>
        <v>Aug</v>
      </c>
      <c r="E1759" t="str">
        <f>IF(tbl_main[[#This Row],[Date]]="","",TEXT(B1759,"DDD"))</f>
        <v>Wed</v>
      </c>
      <c r="F1759" t="s">
        <v>27</v>
      </c>
      <c r="G1759" t="s">
        <v>40</v>
      </c>
      <c r="H1759" s="3" t="s">
        <v>34</v>
      </c>
      <c r="I1759" s="3" t="s">
        <v>23</v>
      </c>
      <c r="J1759" s="3" t="s">
        <v>32</v>
      </c>
      <c r="K1759" s="3">
        <f>_xlfn.XLOOKUP(tbl_main[[#This Row],[Service]],tbl_service[Service],tbl_service[Price],"")</f>
        <v>100</v>
      </c>
      <c r="L1759" s="3">
        <v>2</v>
      </c>
      <c r="M1759" s="3">
        <f>IF(AND(tbl_main[[#This Row],[Price]]="",tbl_main[[#This Row],[Qty]]=""),"",tbl_main[[#This Row],[Price]]*tbl_main[[#This Row],[Qty]])</f>
        <v>200</v>
      </c>
      <c r="N1759" s="3">
        <f>_xlfn.LET(_xlpm.x,_xlfn.XLOOKUP(tbl_main[[#This Row],[Service]],tbl_service[Service],tbl_service[Profit],""),
               IF(tbl_main[[#This Row],[Qty]]="","",_xlpm.x*tbl_main[[#This Row],[Qty]]))</f>
        <v>90</v>
      </c>
    </row>
    <row r="1760" spans="1:14" x14ac:dyDescent="0.25">
      <c r="A1760" t="s">
        <v>1802</v>
      </c>
      <c r="B1760" s="1">
        <v>46239</v>
      </c>
      <c r="C1760">
        <f>IF(tbl_main[[#This Row],[Date]]="","",YEAR(B1760))</f>
        <v>2026</v>
      </c>
      <c r="D1760" t="str">
        <f>IF(tbl_main[[#This Row],[Date]]="","",TEXT(B1760,"mmm"))</f>
        <v>Aug</v>
      </c>
      <c r="E1760" t="str">
        <f>IF(tbl_main[[#This Row],[Date]]="","",TEXT(B1760,"DDD"))</f>
        <v>Wed</v>
      </c>
      <c r="F1760" t="s">
        <v>30</v>
      </c>
      <c r="G1760" t="s">
        <v>31</v>
      </c>
      <c r="H1760" s="3" t="s">
        <v>34</v>
      </c>
      <c r="I1760" s="3" t="s">
        <v>37</v>
      </c>
      <c r="J1760" s="3" t="s">
        <v>25</v>
      </c>
      <c r="K1760" s="3">
        <f>_xlfn.XLOOKUP(tbl_main[[#This Row],[Service]],tbl_service[Service],tbl_service[Price],"")</f>
        <v>100</v>
      </c>
      <c r="L1760" s="3">
        <v>2</v>
      </c>
      <c r="M1760" s="3">
        <f>IF(AND(tbl_main[[#This Row],[Price]]="",tbl_main[[#This Row],[Qty]]=""),"",tbl_main[[#This Row],[Price]]*tbl_main[[#This Row],[Qty]])</f>
        <v>200</v>
      </c>
      <c r="N1760" s="3">
        <f>_xlfn.LET(_xlpm.x,_xlfn.XLOOKUP(tbl_main[[#This Row],[Service]],tbl_service[Service],tbl_service[Profit],""),
               IF(tbl_main[[#This Row],[Qty]]="","",_xlpm.x*tbl_main[[#This Row],[Qty]]))</f>
        <v>90</v>
      </c>
    </row>
    <row r="1761" spans="1:14" x14ac:dyDescent="0.25">
      <c r="A1761" t="s">
        <v>1803</v>
      </c>
      <c r="B1761" s="1">
        <v>46240</v>
      </c>
      <c r="C1761">
        <f>IF(tbl_main[[#This Row],[Date]]="","",YEAR(B1761))</f>
        <v>2026</v>
      </c>
      <c r="D1761" t="str">
        <f>IF(tbl_main[[#This Row],[Date]]="","",TEXT(B1761,"mmm"))</f>
        <v>Aug</v>
      </c>
      <c r="E1761" t="str">
        <f>IF(tbl_main[[#This Row],[Date]]="","",TEXT(B1761,"DDD"))</f>
        <v>Thu</v>
      </c>
      <c r="F1761" t="s">
        <v>13</v>
      </c>
      <c r="G1761" t="s">
        <v>14</v>
      </c>
      <c r="H1761" s="3" t="s">
        <v>24</v>
      </c>
      <c r="I1761" s="3" t="s">
        <v>38</v>
      </c>
      <c r="J1761" s="3" t="s">
        <v>25</v>
      </c>
      <c r="K1761" s="3">
        <f>_xlfn.XLOOKUP(tbl_main[[#This Row],[Service]],tbl_service[Service],tbl_service[Price],"")</f>
        <v>80</v>
      </c>
      <c r="L1761" s="3">
        <v>1</v>
      </c>
      <c r="M1761" s="3">
        <f>IF(AND(tbl_main[[#This Row],[Price]]="",tbl_main[[#This Row],[Qty]]=""),"",tbl_main[[#This Row],[Price]]*tbl_main[[#This Row],[Qty]])</f>
        <v>80</v>
      </c>
      <c r="N1761" s="3">
        <f>_xlfn.LET(_xlpm.x,_xlfn.XLOOKUP(tbl_main[[#This Row],[Service]],tbl_service[Service],tbl_service[Profit],""),
               IF(tbl_main[[#This Row],[Qty]]="","",_xlpm.x*tbl_main[[#This Row],[Qty]]))</f>
        <v>36</v>
      </c>
    </row>
    <row r="1762" spans="1:14" x14ac:dyDescent="0.25">
      <c r="A1762" t="s">
        <v>1804</v>
      </c>
      <c r="B1762" s="1">
        <v>46240</v>
      </c>
      <c r="C1762">
        <f>IF(tbl_main[[#This Row],[Date]]="","",YEAR(B1762))</f>
        <v>2026</v>
      </c>
      <c r="D1762" t="str">
        <f>IF(tbl_main[[#This Row],[Date]]="","",TEXT(B1762,"mmm"))</f>
        <v>Aug</v>
      </c>
      <c r="E1762" t="str">
        <f>IF(tbl_main[[#This Row],[Date]]="","",TEXT(B1762,"DDD"))</f>
        <v>Thu</v>
      </c>
      <c r="F1762" t="s">
        <v>13</v>
      </c>
      <c r="G1762" t="s">
        <v>33</v>
      </c>
      <c r="H1762" s="3" t="s">
        <v>34</v>
      </c>
      <c r="I1762" s="3" t="s">
        <v>16</v>
      </c>
      <c r="J1762" s="3" t="s">
        <v>25</v>
      </c>
      <c r="K1762" s="3">
        <f>_xlfn.XLOOKUP(tbl_main[[#This Row],[Service]],tbl_service[Service],tbl_service[Price],"")</f>
        <v>100</v>
      </c>
      <c r="L1762" s="3">
        <v>1</v>
      </c>
      <c r="M1762" s="3">
        <f>IF(AND(tbl_main[[#This Row],[Price]]="",tbl_main[[#This Row],[Qty]]=""),"",tbl_main[[#This Row],[Price]]*tbl_main[[#This Row],[Qty]])</f>
        <v>100</v>
      </c>
      <c r="N1762" s="3">
        <f>_xlfn.LET(_xlpm.x,_xlfn.XLOOKUP(tbl_main[[#This Row],[Service]],tbl_service[Service],tbl_service[Profit],""),
               IF(tbl_main[[#This Row],[Qty]]="","",_xlpm.x*tbl_main[[#This Row],[Qty]]))</f>
        <v>45</v>
      </c>
    </row>
    <row r="1763" spans="1:14" x14ac:dyDescent="0.25">
      <c r="A1763" t="s">
        <v>1805</v>
      </c>
      <c r="B1763" s="1">
        <v>46240</v>
      </c>
      <c r="C1763">
        <f>IF(tbl_main[[#This Row],[Date]]="","",YEAR(B1763))</f>
        <v>2026</v>
      </c>
      <c r="D1763" t="str">
        <f>IF(tbl_main[[#This Row],[Date]]="","",TEXT(B1763,"mmm"))</f>
        <v>Aug</v>
      </c>
      <c r="E1763" t="str">
        <f>IF(tbl_main[[#This Row],[Date]]="","",TEXT(B1763,"DDD"))</f>
        <v>Thu</v>
      </c>
      <c r="F1763" t="s">
        <v>20</v>
      </c>
      <c r="G1763" t="s">
        <v>21</v>
      </c>
      <c r="H1763" s="3" t="s">
        <v>15</v>
      </c>
      <c r="I1763" s="3" t="s">
        <v>19</v>
      </c>
      <c r="J1763" s="3" t="s">
        <v>17</v>
      </c>
      <c r="K1763" s="3">
        <f>_xlfn.XLOOKUP(tbl_main[[#This Row],[Service]],tbl_service[Service],tbl_service[Price],"")</f>
        <v>500</v>
      </c>
      <c r="L1763" s="3">
        <v>2</v>
      </c>
      <c r="M1763" s="3">
        <f>IF(AND(tbl_main[[#This Row],[Price]]="",tbl_main[[#This Row],[Qty]]=""),"",tbl_main[[#This Row],[Price]]*tbl_main[[#This Row],[Qty]])</f>
        <v>1000</v>
      </c>
      <c r="N1763" s="3">
        <f>_xlfn.LET(_xlpm.x,_xlfn.XLOOKUP(tbl_main[[#This Row],[Service]],tbl_service[Service],tbl_service[Profit],""),
               IF(tbl_main[[#This Row],[Qty]]="","",_xlpm.x*tbl_main[[#This Row],[Qty]]))</f>
        <v>450</v>
      </c>
    </row>
    <row r="1764" spans="1:14" x14ac:dyDescent="0.25">
      <c r="A1764" t="s">
        <v>1806</v>
      </c>
      <c r="B1764" s="1">
        <v>46241</v>
      </c>
      <c r="C1764">
        <f>IF(tbl_main[[#This Row],[Date]]="","",YEAR(B1764))</f>
        <v>2026</v>
      </c>
      <c r="D1764" t="str">
        <f>IF(tbl_main[[#This Row],[Date]]="","",TEXT(B1764,"mmm"))</f>
        <v>Aug</v>
      </c>
      <c r="E1764" t="str">
        <f>IF(tbl_main[[#This Row],[Date]]="","",TEXT(B1764,"DDD"))</f>
        <v>Fri</v>
      </c>
      <c r="F1764" t="s">
        <v>30</v>
      </c>
      <c r="G1764" t="s">
        <v>36</v>
      </c>
      <c r="H1764" s="3" t="s">
        <v>26</v>
      </c>
      <c r="I1764" s="3" t="s">
        <v>43</v>
      </c>
      <c r="J1764" s="3" t="s">
        <v>17</v>
      </c>
      <c r="K1764" s="3">
        <f>_xlfn.XLOOKUP(tbl_main[[#This Row],[Service]],tbl_service[Service],tbl_service[Price],"")</f>
        <v>200</v>
      </c>
      <c r="L1764" s="3">
        <v>1</v>
      </c>
      <c r="M1764" s="3">
        <f>IF(AND(tbl_main[[#This Row],[Price]]="",tbl_main[[#This Row],[Qty]]=""),"",tbl_main[[#This Row],[Price]]*tbl_main[[#This Row],[Qty]])</f>
        <v>200</v>
      </c>
      <c r="N1764" s="3">
        <f>_xlfn.LET(_xlpm.x,_xlfn.XLOOKUP(tbl_main[[#This Row],[Service]],tbl_service[Service],tbl_service[Profit],""),
               IF(tbl_main[[#This Row],[Qty]]="","",_xlpm.x*tbl_main[[#This Row],[Qty]]))</f>
        <v>90</v>
      </c>
    </row>
    <row r="1765" spans="1:14" x14ac:dyDescent="0.25">
      <c r="A1765" t="s">
        <v>1807</v>
      </c>
      <c r="B1765" s="1">
        <v>46241</v>
      </c>
      <c r="C1765">
        <f>IF(tbl_main[[#This Row],[Date]]="","",YEAR(B1765))</f>
        <v>2026</v>
      </c>
      <c r="D1765" t="str">
        <f>IF(tbl_main[[#This Row],[Date]]="","",TEXT(B1765,"mmm"))</f>
        <v>Aug</v>
      </c>
      <c r="E1765" t="str">
        <f>IF(tbl_main[[#This Row],[Date]]="","",TEXT(B1765,"DDD"))</f>
        <v>Fri</v>
      </c>
      <c r="F1765" t="s">
        <v>27</v>
      </c>
      <c r="G1765" t="s">
        <v>28</v>
      </c>
      <c r="H1765" s="3" t="s">
        <v>24</v>
      </c>
      <c r="I1765" s="3" t="s">
        <v>42</v>
      </c>
      <c r="J1765" s="3" t="s">
        <v>25</v>
      </c>
      <c r="K1765" s="3">
        <f>_xlfn.XLOOKUP(tbl_main[[#This Row],[Service]],tbl_service[Service],tbl_service[Price],"")</f>
        <v>80</v>
      </c>
      <c r="L1765" s="3">
        <v>1</v>
      </c>
      <c r="M1765" s="3">
        <f>IF(AND(tbl_main[[#This Row],[Price]]="",tbl_main[[#This Row],[Qty]]=""),"",tbl_main[[#This Row],[Price]]*tbl_main[[#This Row],[Qty]])</f>
        <v>80</v>
      </c>
      <c r="N1765" s="3">
        <f>_xlfn.LET(_xlpm.x,_xlfn.XLOOKUP(tbl_main[[#This Row],[Service]],tbl_service[Service],tbl_service[Profit],""),
               IF(tbl_main[[#This Row],[Qty]]="","",_xlpm.x*tbl_main[[#This Row],[Qty]]))</f>
        <v>36</v>
      </c>
    </row>
    <row r="1766" spans="1:14" x14ac:dyDescent="0.25">
      <c r="A1766" t="s">
        <v>1808</v>
      </c>
      <c r="B1766" s="1">
        <v>46242</v>
      </c>
      <c r="C1766">
        <f>IF(tbl_main[[#This Row],[Date]]="","",YEAR(B1766))</f>
        <v>2026</v>
      </c>
      <c r="D1766" t="str">
        <f>IF(tbl_main[[#This Row],[Date]]="","",TEXT(B1766,"mmm"))</f>
        <v>Aug</v>
      </c>
      <c r="E1766" t="str">
        <f>IF(tbl_main[[#This Row],[Date]]="","",TEXT(B1766,"DDD"))</f>
        <v>Sat</v>
      </c>
      <c r="F1766" t="s">
        <v>30</v>
      </c>
      <c r="G1766" t="s">
        <v>36</v>
      </c>
      <c r="H1766" s="3" t="s">
        <v>18</v>
      </c>
      <c r="I1766" s="3" t="s">
        <v>41</v>
      </c>
      <c r="J1766" s="3" t="s">
        <v>32</v>
      </c>
      <c r="K1766" s="3">
        <f>_xlfn.XLOOKUP(tbl_main[[#This Row],[Service]],tbl_service[Service],tbl_service[Price],"")</f>
        <v>500</v>
      </c>
      <c r="L1766" s="3">
        <v>2</v>
      </c>
      <c r="M1766" s="3">
        <f>IF(AND(tbl_main[[#This Row],[Price]]="",tbl_main[[#This Row],[Qty]]=""),"",tbl_main[[#This Row],[Price]]*tbl_main[[#This Row],[Qty]])</f>
        <v>1000</v>
      </c>
      <c r="N1766" s="3">
        <f>_xlfn.LET(_xlpm.x,_xlfn.XLOOKUP(tbl_main[[#This Row],[Service]],tbl_service[Service],tbl_service[Profit],""),
               IF(tbl_main[[#This Row],[Qty]]="","",_xlpm.x*tbl_main[[#This Row],[Qty]]))</f>
        <v>314</v>
      </c>
    </row>
    <row r="1767" spans="1:14" x14ac:dyDescent="0.25">
      <c r="A1767" t="s">
        <v>1809</v>
      </c>
      <c r="B1767" s="1">
        <v>46242</v>
      </c>
      <c r="C1767">
        <f>IF(tbl_main[[#This Row],[Date]]="","",YEAR(B1767))</f>
        <v>2026</v>
      </c>
      <c r="D1767" t="str">
        <f>IF(tbl_main[[#This Row],[Date]]="","",TEXT(B1767,"mmm"))</f>
        <v>Aug</v>
      </c>
      <c r="E1767" t="str">
        <f>IF(tbl_main[[#This Row],[Date]]="","",TEXT(B1767,"DDD"))</f>
        <v>Sat</v>
      </c>
      <c r="F1767" t="s">
        <v>13</v>
      </c>
      <c r="G1767" t="s">
        <v>14</v>
      </c>
      <c r="H1767" s="3" t="s">
        <v>34</v>
      </c>
      <c r="I1767" s="3" t="s">
        <v>35</v>
      </c>
      <c r="J1767" s="3" t="s">
        <v>17</v>
      </c>
      <c r="K1767" s="3">
        <f>_xlfn.XLOOKUP(tbl_main[[#This Row],[Service]],tbl_service[Service],tbl_service[Price],"")</f>
        <v>100</v>
      </c>
      <c r="L1767" s="3">
        <v>1</v>
      </c>
      <c r="M1767" s="3">
        <f>IF(AND(tbl_main[[#This Row],[Price]]="",tbl_main[[#This Row],[Qty]]=""),"",tbl_main[[#This Row],[Price]]*tbl_main[[#This Row],[Qty]])</f>
        <v>100</v>
      </c>
      <c r="N1767" s="3">
        <f>_xlfn.LET(_xlpm.x,_xlfn.XLOOKUP(tbl_main[[#This Row],[Service]],tbl_service[Service],tbl_service[Profit],""),
               IF(tbl_main[[#This Row],[Qty]]="","",_xlpm.x*tbl_main[[#This Row],[Qty]]))</f>
        <v>45</v>
      </c>
    </row>
    <row r="1768" spans="1:14" x14ac:dyDescent="0.25">
      <c r="A1768" t="s">
        <v>1810</v>
      </c>
      <c r="B1768" s="1">
        <v>46243</v>
      </c>
      <c r="C1768">
        <f>IF(tbl_main[[#This Row],[Date]]="","",YEAR(B1768))</f>
        <v>2026</v>
      </c>
      <c r="D1768" t="str">
        <f>IF(tbl_main[[#This Row],[Date]]="","",TEXT(B1768,"mmm"))</f>
        <v>Aug</v>
      </c>
      <c r="E1768" t="str">
        <f>IF(tbl_main[[#This Row],[Date]]="","",TEXT(B1768,"DDD"))</f>
        <v>Sun</v>
      </c>
      <c r="F1768" t="s">
        <v>30</v>
      </c>
      <c r="G1768" t="s">
        <v>36</v>
      </c>
      <c r="H1768" s="3" t="s">
        <v>15</v>
      </c>
      <c r="I1768" s="3" t="s">
        <v>35</v>
      </c>
      <c r="J1768" s="3" t="s">
        <v>32</v>
      </c>
      <c r="K1768" s="3">
        <f>_xlfn.XLOOKUP(tbl_main[[#This Row],[Service]],tbl_service[Service],tbl_service[Price],"")</f>
        <v>500</v>
      </c>
      <c r="L1768" s="3">
        <v>2</v>
      </c>
      <c r="M1768" s="3">
        <f>IF(AND(tbl_main[[#This Row],[Price]]="",tbl_main[[#This Row],[Qty]]=""),"",tbl_main[[#This Row],[Price]]*tbl_main[[#This Row],[Qty]])</f>
        <v>1000</v>
      </c>
      <c r="N1768" s="3">
        <f>_xlfn.LET(_xlpm.x,_xlfn.XLOOKUP(tbl_main[[#This Row],[Service]],tbl_service[Service],tbl_service[Profit],""),
               IF(tbl_main[[#This Row],[Qty]]="","",_xlpm.x*tbl_main[[#This Row],[Qty]]))</f>
        <v>450</v>
      </c>
    </row>
    <row r="1769" spans="1:14" x14ac:dyDescent="0.25">
      <c r="A1769" t="s">
        <v>1811</v>
      </c>
      <c r="B1769" s="1">
        <v>46243</v>
      </c>
      <c r="C1769">
        <f>IF(tbl_main[[#This Row],[Date]]="","",YEAR(B1769))</f>
        <v>2026</v>
      </c>
      <c r="D1769" t="str">
        <f>IF(tbl_main[[#This Row],[Date]]="","",TEXT(B1769,"mmm"))</f>
        <v>Aug</v>
      </c>
      <c r="E1769" t="str">
        <f>IF(tbl_main[[#This Row],[Date]]="","",TEXT(B1769,"DDD"))</f>
        <v>Sun</v>
      </c>
      <c r="F1769" t="s">
        <v>20</v>
      </c>
      <c r="G1769" t="s">
        <v>39</v>
      </c>
      <c r="H1769" s="3" t="s">
        <v>18</v>
      </c>
      <c r="I1769" s="3" t="s">
        <v>23</v>
      </c>
      <c r="J1769" s="3" t="s">
        <v>32</v>
      </c>
      <c r="K1769" s="3">
        <f>_xlfn.XLOOKUP(tbl_main[[#This Row],[Service]],tbl_service[Service],tbl_service[Price],"")</f>
        <v>500</v>
      </c>
      <c r="L1769" s="3">
        <v>1</v>
      </c>
      <c r="M1769" s="3">
        <f>IF(AND(tbl_main[[#This Row],[Price]]="",tbl_main[[#This Row],[Qty]]=""),"",tbl_main[[#This Row],[Price]]*tbl_main[[#This Row],[Qty]])</f>
        <v>500</v>
      </c>
      <c r="N1769" s="3">
        <f>_xlfn.LET(_xlpm.x,_xlfn.XLOOKUP(tbl_main[[#This Row],[Service]],tbl_service[Service],tbl_service[Profit],""),
               IF(tbl_main[[#This Row],[Qty]]="","",_xlpm.x*tbl_main[[#This Row],[Qty]]))</f>
        <v>157</v>
      </c>
    </row>
    <row r="1770" spans="1:14" x14ac:dyDescent="0.25">
      <c r="A1770" t="s">
        <v>1812</v>
      </c>
      <c r="B1770" s="1">
        <v>46244</v>
      </c>
      <c r="C1770">
        <f>IF(tbl_main[[#This Row],[Date]]="","",YEAR(B1770))</f>
        <v>2026</v>
      </c>
      <c r="D1770" t="str">
        <f>IF(tbl_main[[#This Row],[Date]]="","",TEXT(B1770,"mmm"))</f>
        <v>Aug</v>
      </c>
      <c r="E1770" t="str">
        <f>IF(tbl_main[[#This Row],[Date]]="","",TEXT(B1770,"DDD"))</f>
        <v>Mon</v>
      </c>
      <c r="F1770" t="s">
        <v>13</v>
      </c>
      <c r="G1770" t="s">
        <v>33</v>
      </c>
      <c r="H1770" s="3" t="s">
        <v>22</v>
      </c>
      <c r="I1770" s="3" t="s">
        <v>37</v>
      </c>
      <c r="J1770" s="3" t="s">
        <v>32</v>
      </c>
      <c r="K1770" s="3">
        <f>_xlfn.XLOOKUP(tbl_main[[#This Row],[Service]],tbl_service[Service],tbl_service[Price],"")</f>
        <v>150</v>
      </c>
      <c r="L1770" s="3">
        <v>1</v>
      </c>
      <c r="M1770" s="3">
        <f>IF(AND(tbl_main[[#This Row],[Price]]="",tbl_main[[#This Row],[Qty]]=""),"",tbl_main[[#This Row],[Price]]*tbl_main[[#This Row],[Qty]])</f>
        <v>150</v>
      </c>
      <c r="N1770" s="3">
        <f>_xlfn.LET(_xlpm.x,_xlfn.XLOOKUP(tbl_main[[#This Row],[Service]],tbl_service[Service],tbl_service[Profit],""),
               IF(tbl_main[[#This Row],[Qty]]="","",_xlpm.x*tbl_main[[#This Row],[Qty]]))</f>
        <v>67</v>
      </c>
    </row>
    <row r="1771" spans="1:14" x14ac:dyDescent="0.25">
      <c r="A1771" t="s">
        <v>1813</v>
      </c>
      <c r="B1771" s="1">
        <v>46244</v>
      </c>
      <c r="C1771">
        <f>IF(tbl_main[[#This Row],[Date]]="","",YEAR(B1771))</f>
        <v>2026</v>
      </c>
      <c r="D1771" t="str">
        <f>IF(tbl_main[[#This Row],[Date]]="","",TEXT(B1771,"mmm"))</f>
        <v>Aug</v>
      </c>
      <c r="E1771" t="str">
        <f>IF(tbl_main[[#This Row],[Date]]="","",TEXT(B1771,"DDD"))</f>
        <v>Mon</v>
      </c>
      <c r="F1771" t="s">
        <v>20</v>
      </c>
      <c r="G1771" t="s">
        <v>21</v>
      </c>
      <c r="H1771" s="3" t="s">
        <v>34</v>
      </c>
      <c r="I1771" s="3" t="s">
        <v>38</v>
      </c>
      <c r="J1771" s="3" t="s">
        <v>17</v>
      </c>
      <c r="K1771" s="3">
        <f>_xlfn.XLOOKUP(tbl_main[[#This Row],[Service]],tbl_service[Service],tbl_service[Price],"")</f>
        <v>100</v>
      </c>
      <c r="L1771" s="3">
        <v>1</v>
      </c>
      <c r="M1771" s="3">
        <f>IF(AND(tbl_main[[#This Row],[Price]]="",tbl_main[[#This Row],[Qty]]=""),"",tbl_main[[#This Row],[Price]]*tbl_main[[#This Row],[Qty]])</f>
        <v>100</v>
      </c>
      <c r="N1771" s="3">
        <f>_xlfn.LET(_xlpm.x,_xlfn.XLOOKUP(tbl_main[[#This Row],[Service]],tbl_service[Service],tbl_service[Profit],""),
               IF(tbl_main[[#This Row],[Qty]]="","",_xlpm.x*tbl_main[[#This Row],[Qty]]))</f>
        <v>45</v>
      </c>
    </row>
    <row r="1772" spans="1:14" x14ac:dyDescent="0.25">
      <c r="A1772" t="s">
        <v>1814</v>
      </c>
      <c r="B1772" s="1">
        <v>46244</v>
      </c>
      <c r="C1772">
        <f>IF(tbl_main[[#This Row],[Date]]="","",YEAR(B1772))</f>
        <v>2026</v>
      </c>
      <c r="D1772" t="str">
        <f>IF(tbl_main[[#This Row],[Date]]="","",TEXT(B1772,"mmm"))</f>
        <v>Aug</v>
      </c>
      <c r="E1772" t="str">
        <f>IF(tbl_main[[#This Row],[Date]]="","",TEXT(B1772,"DDD"))</f>
        <v>Mon</v>
      </c>
      <c r="F1772" t="s">
        <v>13</v>
      </c>
      <c r="G1772" t="s">
        <v>14</v>
      </c>
      <c r="H1772" s="3" t="s">
        <v>15</v>
      </c>
      <c r="I1772" s="3" t="s">
        <v>16</v>
      </c>
      <c r="J1772" s="3" t="s">
        <v>17</v>
      </c>
      <c r="K1772" s="3">
        <f>_xlfn.XLOOKUP(tbl_main[[#This Row],[Service]],tbl_service[Service],tbl_service[Price],"")</f>
        <v>500</v>
      </c>
      <c r="L1772" s="3">
        <v>2</v>
      </c>
      <c r="M1772" s="3">
        <f>IF(AND(tbl_main[[#This Row],[Price]]="",tbl_main[[#This Row],[Qty]]=""),"",tbl_main[[#This Row],[Price]]*tbl_main[[#This Row],[Qty]])</f>
        <v>1000</v>
      </c>
      <c r="N1772" s="3">
        <f>_xlfn.LET(_xlpm.x,_xlfn.XLOOKUP(tbl_main[[#This Row],[Service]],tbl_service[Service],tbl_service[Profit],""),
               IF(tbl_main[[#This Row],[Qty]]="","",_xlpm.x*tbl_main[[#This Row],[Qty]]))</f>
        <v>450</v>
      </c>
    </row>
    <row r="1773" spans="1:14" x14ac:dyDescent="0.25">
      <c r="A1773" t="s">
        <v>1815</v>
      </c>
      <c r="B1773" s="1">
        <v>46244</v>
      </c>
      <c r="C1773">
        <f>IF(tbl_main[[#This Row],[Date]]="","",YEAR(B1773))</f>
        <v>2026</v>
      </c>
      <c r="D1773" t="str">
        <f>IF(tbl_main[[#This Row],[Date]]="","",TEXT(B1773,"mmm"))</f>
        <v>Aug</v>
      </c>
      <c r="E1773" t="str">
        <f>IF(tbl_main[[#This Row],[Date]]="","",TEXT(B1773,"DDD"))</f>
        <v>Mon</v>
      </c>
      <c r="F1773" t="s">
        <v>27</v>
      </c>
      <c r="G1773" t="s">
        <v>28</v>
      </c>
      <c r="H1773" s="3" t="s">
        <v>34</v>
      </c>
      <c r="I1773" s="3" t="s">
        <v>19</v>
      </c>
      <c r="J1773" s="3" t="s">
        <v>32</v>
      </c>
      <c r="K1773" s="3">
        <f>_xlfn.XLOOKUP(tbl_main[[#This Row],[Service]],tbl_service[Service],tbl_service[Price],"")</f>
        <v>100</v>
      </c>
      <c r="L1773" s="3">
        <v>2</v>
      </c>
      <c r="M1773" s="3">
        <f>IF(AND(tbl_main[[#This Row],[Price]]="",tbl_main[[#This Row],[Qty]]=""),"",tbl_main[[#This Row],[Price]]*tbl_main[[#This Row],[Qty]])</f>
        <v>200</v>
      </c>
      <c r="N1773" s="3">
        <f>_xlfn.LET(_xlpm.x,_xlfn.XLOOKUP(tbl_main[[#This Row],[Service]],tbl_service[Service],tbl_service[Profit],""),
               IF(tbl_main[[#This Row],[Qty]]="","",_xlpm.x*tbl_main[[#This Row],[Qty]]))</f>
        <v>90</v>
      </c>
    </row>
    <row r="1774" spans="1:14" x14ac:dyDescent="0.25">
      <c r="A1774" t="s">
        <v>1816</v>
      </c>
      <c r="B1774" s="1">
        <v>46245</v>
      </c>
      <c r="C1774">
        <f>IF(tbl_main[[#This Row],[Date]]="","",YEAR(B1774))</f>
        <v>2026</v>
      </c>
      <c r="D1774" t="str">
        <f>IF(tbl_main[[#This Row],[Date]]="","",TEXT(B1774,"mmm"))</f>
        <v>Aug</v>
      </c>
      <c r="E1774" t="str">
        <f>IF(tbl_main[[#This Row],[Date]]="","",TEXT(B1774,"DDD"))</f>
        <v>Tue</v>
      </c>
      <c r="F1774" t="s">
        <v>13</v>
      </c>
      <c r="G1774" t="s">
        <v>14</v>
      </c>
      <c r="H1774" s="3" t="s">
        <v>15</v>
      </c>
      <c r="I1774" s="3" t="s">
        <v>43</v>
      </c>
      <c r="J1774" s="3" t="s">
        <v>32</v>
      </c>
      <c r="K1774" s="3">
        <f>_xlfn.XLOOKUP(tbl_main[[#This Row],[Service]],tbl_service[Service],tbl_service[Price],"")</f>
        <v>500</v>
      </c>
      <c r="L1774" s="3">
        <v>2</v>
      </c>
      <c r="M1774" s="3">
        <f>IF(AND(tbl_main[[#This Row],[Price]]="",tbl_main[[#This Row],[Qty]]=""),"",tbl_main[[#This Row],[Price]]*tbl_main[[#This Row],[Qty]])</f>
        <v>1000</v>
      </c>
      <c r="N1774" s="3">
        <f>_xlfn.LET(_xlpm.x,_xlfn.XLOOKUP(tbl_main[[#This Row],[Service]],tbl_service[Service],tbl_service[Profit],""),
               IF(tbl_main[[#This Row],[Qty]]="","",_xlpm.x*tbl_main[[#This Row],[Qty]]))</f>
        <v>450</v>
      </c>
    </row>
    <row r="1775" spans="1:14" x14ac:dyDescent="0.25">
      <c r="A1775" t="s">
        <v>1817</v>
      </c>
      <c r="B1775" s="1">
        <v>46245</v>
      </c>
      <c r="C1775">
        <f>IF(tbl_main[[#This Row],[Date]]="","",YEAR(B1775))</f>
        <v>2026</v>
      </c>
      <c r="D1775" t="str">
        <f>IF(tbl_main[[#This Row],[Date]]="","",TEXT(B1775,"mmm"))</f>
        <v>Aug</v>
      </c>
      <c r="E1775" t="str">
        <f>IF(tbl_main[[#This Row],[Date]]="","",TEXT(B1775,"DDD"))</f>
        <v>Tue</v>
      </c>
      <c r="F1775" t="s">
        <v>27</v>
      </c>
      <c r="G1775" t="s">
        <v>28</v>
      </c>
      <c r="H1775" s="3" t="s">
        <v>34</v>
      </c>
      <c r="I1775" s="3" t="s">
        <v>42</v>
      </c>
      <c r="J1775" s="3" t="s">
        <v>32</v>
      </c>
      <c r="K1775" s="3">
        <f>_xlfn.XLOOKUP(tbl_main[[#This Row],[Service]],tbl_service[Service],tbl_service[Price],"")</f>
        <v>100</v>
      </c>
      <c r="L1775" s="3">
        <v>1</v>
      </c>
      <c r="M1775" s="3">
        <f>IF(AND(tbl_main[[#This Row],[Price]]="",tbl_main[[#This Row],[Qty]]=""),"",tbl_main[[#This Row],[Price]]*tbl_main[[#This Row],[Qty]])</f>
        <v>100</v>
      </c>
      <c r="N1775" s="3">
        <f>_xlfn.LET(_xlpm.x,_xlfn.XLOOKUP(tbl_main[[#This Row],[Service]],tbl_service[Service],tbl_service[Profit],""),
               IF(tbl_main[[#This Row],[Qty]]="","",_xlpm.x*tbl_main[[#This Row],[Qty]]))</f>
        <v>45</v>
      </c>
    </row>
    <row r="1776" spans="1:14" x14ac:dyDescent="0.25">
      <c r="A1776" t="s">
        <v>1818</v>
      </c>
      <c r="B1776" s="1">
        <v>46245</v>
      </c>
      <c r="C1776">
        <f>IF(tbl_main[[#This Row],[Date]]="","",YEAR(B1776))</f>
        <v>2026</v>
      </c>
      <c r="D1776" t="str">
        <f>IF(tbl_main[[#This Row],[Date]]="","",TEXT(B1776,"mmm"))</f>
        <v>Aug</v>
      </c>
      <c r="E1776" t="str">
        <f>IF(tbl_main[[#This Row],[Date]]="","",TEXT(B1776,"DDD"))</f>
        <v>Tue</v>
      </c>
      <c r="F1776" t="s">
        <v>30</v>
      </c>
      <c r="G1776" t="s">
        <v>36</v>
      </c>
      <c r="H1776" s="3" t="s">
        <v>18</v>
      </c>
      <c r="I1776" s="3" t="s">
        <v>41</v>
      </c>
      <c r="J1776" s="3" t="s">
        <v>32</v>
      </c>
      <c r="K1776" s="3">
        <f>_xlfn.XLOOKUP(tbl_main[[#This Row],[Service]],tbl_service[Service],tbl_service[Price],"")</f>
        <v>500</v>
      </c>
      <c r="L1776" s="3">
        <v>2</v>
      </c>
      <c r="M1776" s="3">
        <f>IF(AND(tbl_main[[#This Row],[Price]]="",tbl_main[[#This Row],[Qty]]=""),"",tbl_main[[#This Row],[Price]]*tbl_main[[#This Row],[Qty]])</f>
        <v>1000</v>
      </c>
      <c r="N1776" s="3">
        <f>_xlfn.LET(_xlpm.x,_xlfn.XLOOKUP(tbl_main[[#This Row],[Service]],tbl_service[Service],tbl_service[Profit],""),
               IF(tbl_main[[#This Row],[Qty]]="","",_xlpm.x*tbl_main[[#This Row],[Qty]]))</f>
        <v>314</v>
      </c>
    </row>
    <row r="1777" spans="1:14" x14ac:dyDescent="0.25">
      <c r="A1777" t="s">
        <v>1819</v>
      </c>
      <c r="B1777" s="1">
        <v>46246</v>
      </c>
      <c r="C1777">
        <f>IF(tbl_main[[#This Row],[Date]]="","",YEAR(B1777))</f>
        <v>2026</v>
      </c>
      <c r="D1777" t="str">
        <f>IF(tbl_main[[#This Row],[Date]]="","",TEXT(B1777,"mmm"))</f>
        <v>Aug</v>
      </c>
      <c r="E1777" t="str">
        <f>IF(tbl_main[[#This Row],[Date]]="","",TEXT(B1777,"DDD"))</f>
        <v>Wed</v>
      </c>
      <c r="F1777" t="s">
        <v>13</v>
      </c>
      <c r="G1777" t="s">
        <v>33</v>
      </c>
      <c r="H1777" s="3" t="s">
        <v>26</v>
      </c>
      <c r="I1777" s="3" t="s">
        <v>35</v>
      </c>
      <c r="J1777" s="3" t="s">
        <v>17</v>
      </c>
      <c r="K1777" s="3">
        <f>_xlfn.XLOOKUP(tbl_main[[#This Row],[Service]],tbl_service[Service],tbl_service[Price],"")</f>
        <v>200</v>
      </c>
      <c r="L1777" s="3">
        <v>2</v>
      </c>
      <c r="M1777" s="3">
        <f>IF(AND(tbl_main[[#This Row],[Price]]="",tbl_main[[#This Row],[Qty]]=""),"",tbl_main[[#This Row],[Price]]*tbl_main[[#This Row],[Qty]])</f>
        <v>400</v>
      </c>
      <c r="N1777" s="3">
        <f>_xlfn.LET(_xlpm.x,_xlfn.XLOOKUP(tbl_main[[#This Row],[Service]],tbl_service[Service],tbl_service[Profit],""),
               IF(tbl_main[[#This Row],[Qty]]="","",_xlpm.x*tbl_main[[#This Row],[Qty]]))</f>
        <v>180</v>
      </c>
    </row>
    <row r="1778" spans="1:14" x14ac:dyDescent="0.25">
      <c r="A1778" t="s">
        <v>1820</v>
      </c>
      <c r="B1778" s="1">
        <v>46246</v>
      </c>
      <c r="C1778">
        <f>IF(tbl_main[[#This Row],[Date]]="","",YEAR(B1778))</f>
        <v>2026</v>
      </c>
      <c r="D1778" t="str">
        <f>IF(tbl_main[[#This Row],[Date]]="","",TEXT(B1778,"mmm"))</f>
        <v>Aug</v>
      </c>
      <c r="E1778" t="str">
        <f>IF(tbl_main[[#This Row],[Date]]="","",TEXT(B1778,"DDD"))</f>
        <v>Wed</v>
      </c>
      <c r="F1778" t="s">
        <v>30</v>
      </c>
      <c r="G1778" t="s">
        <v>31</v>
      </c>
      <c r="H1778" s="3" t="s">
        <v>22</v>
      </c>
      <c r="I1778" s="3" t="s">
        <v>35</v>
      </c>
      <c r="J1778" s="3" t="s">
        <v>17</v>
      </c>
      <c r="K1778" s="3">
        <f>_xlfn.XLOOKUP(tbl_main[[#This Row],[Service]],tbl_service[Service],tbl_service[Price],"")</f>
        <v>150</v>
      </c>
      <c r="L1778" s="3">
        <v>2</v>
      </c>
      <c r="M1778" s="3">
        <f>IF(AND(tbl_main[[#This Row],[Price]]="",tbl_main[[#This Row],[Qty]]=""),"",tbl_main[[#This Row],[Price]]*tbl_main[[#This Row],[Qty]])</f>
        <v>300</v>
      </c>
      <c r="N1778" s="3">
        <f>_xlfn.LET(_xlpm.x,_xlfn.XLOOKUP(tbl_main[[#This Row],[Service]],tbl_service[Service],tbl_service[Profit],""),
               IF(tbl_main[[#This Row],[Qty]]="","",_xlpm.x*tbl_main[[#This Row],[Qty]]))</f>
        <v>134</v>
      </c>
    </row>
    <row r="1779" spans="1:14" x14ac:dyDescent="0.25">
      <c r="A1779" t="s">
        <v>1821</v>
      </c>
      <c r="B1779" s="1">
        <v>46247</v>
      </c>
      <c r="C1779">
        <f>IF(tbl_main[[#This Row],[Date]]="","",YEAR(B1779))</f>
        <v>2026</v>
      </c>
      <c r="D1779" t="str">
        <f>IF(tbl_main[[#This Row],[Date]]="","",TEXT(B1779,"mmm"))</f>
        <v>Aug</v>
      </c>
      <c r="E1779" t="str">
        <f>IF(tbl_main[[#This Row],[Date]]="","",TEXT(B1779,"DDD"))</f>
        <v>Thu</v>
      </c>
      <c r="F1779" t="s">
        <v>20</v>
      </c>
      <c r="G1779" t="s">
        <v>39</v>
      </c>
      <c r="H1779" s="3" t="s">
        <v>24</v>
      </c>
      <c r="I1779" s="3" t="s">
        <v>23</v>
      </c>
      <c r="J1779" s="3" t="s">
        <v>32</v>
      </c>
      <c r="K1779" s="3">
        <f>_xlfn.XLOOKUP(tbl_main[[#This Row],[Service]],tbl_service[Service],tbl_service[Price],"")</f>
        <v>80</v>
      </c>
      <c r="L1779" s="3">
        <v>2</v>
      </c>
      <c r="M1779" s="3">
        <f>IF(AND(tbl_main[[#This Row],[Price]]="",tbl_main[[#This Row],[Qty]]=""),"",tbl_main[[#This Row],[Price]]*tbl_main[[#This Row],[Qty]])</f>
        <v>160</v>
      </c>
      <c r="N1779" s="3">
        <f>_xlfn.LET(_xlpm.x,_xlfn.XLOOKUP(tbl_main[[#This Row],[Service]],tbl_service[Service],tbl_service[Profit],""),
               IF(tbl_main[[#This Row],[Qty]]="","",_xlpm.x*tbl_main[[#This Row],[Qty]]))</f>
        <v>72</v>
      </c>
    </row>
    <row r="1780" spans="1:14" x14ac:dyDescent="0.25">
      <c r="A1780" t="s">
        <v>1822</v>
      </c>
      <c r="B1780" s="1">
        <v>46247</v>
      </c>
      <c r="C1780">
        <f>IF(tbl_main[[#This Row],[Date]]="","",YEAR(B1780))</f>
        <v>2026</v>
      </c>
      <c r="D1780" t="str">
        <f>IF(tbl_main[[#This Row],[Date]]="","",TEXT(B1780,"mmm"))</f>
        <v>Aug</v>
      </c>
      <c r="E1780" t="str">
        <f>IF(tbl_main[[#This Row],[Date]]="","",TEXT(B1780,"DDD"))</f>
        <v>Thu</v>
      </c>
      <c r="F1780" t="s">
        <v>20</v>
      </c>
      <c r="G1780" t="s">
        <v>29</v>
      </c>
      <c r="H1780" s="3" t="s">
        <v>34</v>
      </c>
      <c r="I1780" s="3" t="s">
        <v>37</v>
      </c>
      <c r="J1780" s="3" t="s">
        <v>17</v>
      </c>
      <c r="K1780" s="3">
        <f>_xlfn.XLOOKUP(tbl_main[[#This Row],[Service]],tbl_service[Service],tbl_service[Price],"")</f>
        <v>100</v>
      </c>
      <c r="L1780" s="3">
        <v>2</v>
      </c>
      <c r="M1780" s="3">
        <f>IF(AND(tbl_main[[#This Row],[Price]]="",tbl_main[[#This Row],[Qty]]=""),"",tbl_main[[#This Row],[Price]]*tbl_main[[#This Row],[Qty]])</f>
        <v>200</v>
      </c>
      <c r="N1780" s="3">
        <f>_xlfn.LET(_xlpm.x,_xlfn.XLOOKUP(tbl_main[[#This Row],[Service]],tbl_service[Service],tbl_service[Profit],""),
               IF(tbl_main[[#This Row],[Qty]]="","",_xlpm.x*tbl_main[[#This Row],[Qty]]))</f>
        <v>90</v>
      </c>
    </row>
    <row r="1781" spans="1:14" x14ac:dyDescent="0.25">
      <c r="A1781" t="s">
        <v>1823</v>
      </c>
      <c r="B1781" s="1">
        <v>46248</v>
      </c>
      <c r="C1781">
        <f>IF(tbl_main[[#This Row],[Date]]="","",YEAR(B1781))</f>
        <v>2026</v>
      </c>
      <c r="D1781" t="str">
        <f>IF(tbl_main[[#This Row],[Date]]="","",TEXT(B1781,"mmm"))</f>
        <v>Aug</v>
      </c>
      <c r="E1781" t="str">
        <f>IF(tbl_main[[#This Row],[Date]]="","",TEXT(B1781,"DDD"))</f>
        <v>Fri</v>
      </c>
      <c r="F1781" t="s">
        <v>30</v>
      </c>
      <c r="G1781" t="s">
        <v>36</v>
      </c>
      <c r="H1781" s="3" t="s">
        <v>24</v>
      </c>
      <c r="I1781" s="3" t="s">
        <v>38</v>
      </c>
      <c r="J1781" s="3" t="s">
        <v>17</v>
      </c>
      <c r="K1781" s="3">
        <f>_xlfn.XLOOKUP(tbl_main[[#This Row],[Service]],tbl_service[Service],tbl_service[Price],"")</f>
        <v>80</v>
      </c>
      <c r="L1781" s="3">
        <v>1</v>
      </c>
      <c r="M1781" s="3">
        <f>IF(AND(tbl_main[[#This Row],[Price]]="",tbl_main[[#This Row],[Qty]]=""),"",tbl_main[[#This Row],[Price]]*tbl_main[[#This Row],[Qty]])</f>
        <v>80</v>
      </c>
      <c r="N1781" s="3">
        <f>_xlfn.LET(_xlpm.x,_xlfn.XLOOKUP(tbl_main[[#This Row],[Service]],tbl_service[Service],tbl_service[Profit],""),
               IF(tbl_main[[#This Row],[Qty]]="","",_xlpm.x*tbl_main[[#This Row],[Qty]]))</f>
        <v>36</v>
      </c>
    </row>
    <row r="1782" spans="1:14" x14ac:dyDescent="0.25">
      <c r="A1782" t="s">
        <v>1824</v>
      </c>
      <c r="B1782" s="1">
        <v>46248</v>
      </c>
      <c r="C1782">
        <f>IF(tbl_main[[#This Row],[Date]]="","",YEAR(B1782))</f>
        <v>2026</v>
      </c>
      <c r="D1782" t="str">
        <f>IF(tbl_main[[#This Row],[Date]]="","",TEXT(B1782,"mmm"))</f>
        <v>Aug</v>
      </c>
      <c r="E1782" t="str">
        <f>IF(tbl_main[[#This Row],[Date]]="","",TEXT(B1782,"DDD"))</f>
        <v>Fri</v>
      </c>
      <c r="F1782" t="s">
        <v>30</v>
      </c>
      <c r="G1782" t="s">
        <v>36</v>
      </c>
      <c r="H1782" s="3" t="s">
        <v>15</v>
      </c>
      <c r="I1782" s="3" t="s">
        <v>16</v>
      </c>
      <c r="J1782" s="3" t="s">
        <v>17</v>
      </c>
      <c r="K1782" s="3">
        <f>_xlfn.XLOOKUP(tbl_main[[#This Row],[Service]],tbl_service[Service],tbl_service[Price],"")</f>
        <v>500</v>
      </c>
      <c r="L1782" s="3">
        <v>2</v>
      </c>
      <c r="M1782" s="3">
        <f>IF(AND(tbl_main[[#This Row],[Price]]="",tbl_main[[#This Row],[Qty]]=""),"",tbl_main[[#This Row],[Price]]*tbl_main[[#This Row],[Qty]])</f>
        <v>1000</v>
      </c>
      <c r="N1782" s="3">
        <f>_xlfn.LET(_xlpm.x,_xlfn.XLOOKUP(tbl_main[[#This Row],[Service]],tbl_service[Service],tbl_service[Profit],""),
               IF(tbl_main[[#This Row],[Qty]]="","",_xlpm.x*tbl_main[[#This Row],[Qty]]))</f>
        <v>450</v>
      </c>
    </row>
    <row r="1783" spans="1:14" x14ac:dyDescent="0.25">
      <c r="A1783" t="s">
        <v>1825</v>
      </c>
      <c r="B1783" s="1">
        <v>46249</v>
      </c>
      <c r="C1783">
        <f>IF(tbl_main[[#This Row],[Date]]="","",YEAR(B1783))</f>
        <v>2026</v>
      </c>
      <c r="D1783" t="str">
        <f>IF(tbl_main[[#This Row],[Date]]="","",TEXT(B1783,"mmm"))</f>
        <v>Aug</v>
      </c>
      <c r="E1783" t="str">
        <f>IF(tbl_main[[#This Row],[Date]]="","",TEXT(B1783,"DDD"))</f>
        <v>Sat</v>
      </c>
      <c r="F1783" t="s">
        <v>13</v>
      </c>
      <c r="G1783" t="s">
        <v>33</v>
      </c>
      <c r="H1783" s="3" t="s">
        <v>22</v>
      </c>
      <c r="I1783" s="3" t="s">
        <v>19</v>
      </c>
      <c r="J1783" s="3" t="s">
        <v>32</v>
      </c>
      <c r="K1783" s="3">
        <f>_xlfn.XLOOKUP(tbl_main[[#This Row],[Service]],tbl_service[Service],tbl_service[Price],"")</f>
        <v>150</v>
      </c>
      <c r="L1783" s="3">
        <v>1</v>
      </c>
      <c r="M1783" s="3">
        <f>IF(AND(tbl_main[[#This Row],[Price]]="",tbl_main[[#This Row],[Qty]]=""),"",tbl_main[[#This Row],[Price]]*tbl_main[[#This Row],[Qty]])</f>
        <v>150</v>
      </c>
      <c r="N1783" s="3">
        <f>_xlfn.LET(_xlpm.x,_xlfn.XLOOKUP(tbl_main[[#This Row],[Service]],tbl_service[Service],tbl_service[Profit],""),
               IF(tbl_main[[#This Row],[Qty]]="","",_xlpm.x*tbl_main[[#This Row],[Qty]]))</f>
        <v>67</v>
      </c>
    </row>
    <row r="1784" spans="1:14" x14ac:dyDescent="0.25">
      <c r="A1784" t="s">
        <v>1826</v>
      </c>
      <c r="B1784" s="1">
        <v>46249</v>
      </c>
      <c r="C1784">
        <f>IF(tbl_main[[#This Row],[Date]]="","",YEAR(B1784))</f>
        <v>2026</v>
      </c>
      <c r="D1784" t="str">
        <f>IF(tbl_main[[#This Row],[Date]]="","",TEXT(B1784,"mmm"))</f>
        <v>Aug</v>
      </c>
      <c r="E1784" t="str">
        <f>IF(tbl_main[[#This Row],[Date]]="","",TEXT(B1784,"DDD"))</f>
        <v>Sat</v>
      </c>
      <c r="F1784" t="s">
        <v>20</v>
      </c>
      <c r="G1784" t="s">
        <v>39</v>
      </c>
      <c r="H1784" s="3" t="s">
        <v>34</v>
      </c>
      <c r="I1784" s="3" t="s">
        <v>43</v>
      </c>
      <c r="J1784" s="3" t="s">
        <v>32</v>
      </c>
      <c r="K1784" s="3">
        <f>_xlfn.XLOOKUP(tbl_main[[#This Row],[Service]],tbl_service[Service],tbl_service[Price],"")</f>
        <v>100</v>
      </c>
      <c r="L1784" s="3">
        <v>2</v>
      </c>
      <c r="M1784" s="3">
        <f>IF(AND(tbl_main[[#This Row],[Price]]="",tbl_main[[#This Row],[Qty]]=""),"",tbl_main[[#This Row],[Price]]*tbl_main[[#This Row],[Qty]])</f>
        <v>200</v>
      </c>
      <c r="N1784" s="3">
        <f>_xlfn.LET(_xlpm.x,_xlfn.XLOOKUP(tbl_main[[#This Row],[Service]],tbl_service[Service],tbl_service[Profit],""),
               IF(tbl_main[[#This Row],[Qty]]="","",_xlpm.x*tbl_main[[#This Row],[Qty]]))</f>
        <v>90</v>
      </c>
    </row>
    <row r="1785" spans="1:14" x14ac:dyDescent="0.25">
      <c r="A1785" t="s">
        <v>1827</v>
      </c>
      <c r="B1785" s="1">
        <v>46250</v>
      </c>
      <c r="C1785">
        <f>IF(tbl_main[[#This Row],[Date]]="","",YEAR(B1785))</f>
        <v>2026</v>
      </c>
      <c r="D1785" t="str">
        <f>IF(tbl_main[[#This Row],[Date]]="","",TEXT(B1785,"mmm"))</f>
        <v>Aug</v>
      </c>
      <c r="E1785" t="str">
        <f>IF(tbl_main[[#This Row],[Date]]="","",TEXT(B1785,"DDD"))</f>
        <v>Sun</v>
      </c>
      <c r="F1785" t="s">
        <v>13</v>
      </c>
      <c r="G1785" t="s">
        <v>33</v>
      </c>
      <c r="H1785" s="3" t="s">
        <v>26</v>
      </c>
      <c r="I1785" s="3" t="s">
        <v>42</v>
      </c>
      <c r="J1785" s="3" t="s">
        <v>17</v>
      </c>
      <c r="K1785" s="3">
        <f>_xlfn.XLOOKUP(tbl_main[[#This Row],[Service]],tbl_service[Service],tbl_service[Price],"")</f>
        <v>200</v>
      </c>
      <c r="L1785" s="3">
        <v>1</v>
      </c>
      <c r="M1785" s="3">
        <f>IF(AND(tbl_main[[#This Row],[Price]]="",tbl_main[[#This Row],[Qty]]=""),"",tbl_main[[#This Row],[Price]]*tbl_main[[#This Row],[Qty]])</f>
        <v>200</v>
      </c>
      <c r="N1785" s="3">
        <f>_xlfn.LET(_xlpm.x,_xlfn.XLOOKUP(tbl_main[[#This Row],[Service]],tbl_service[Service],tbl_service[Profit],""),
               IF(tbl_main[[#This Row],[Qty]]="","",_xlpm.x*tbl_main[[#This Row],[Qty]]))</f>
        <v>90</v>
      </c>
    </row>
    <row r="1786" spans="1:14" x14ac:dyDescent="0.25">
      <c r="A1786" t="s">
        <v>1828</v>
      </c>
      <c r="B1786" s="1">
        <v>46250</v>
      </c>
      <c r="C1786">
        <f>IF(tbl_main[[#This Row],[Date]]="","",YEAR(B1786))</f>
        <v>2026</v>
      </c>
      <c r="D1786" t="str">
        <f>IF(tbl_main[[#This Row],[Date]]="","",TEXT(B1786,"mmm"))</f>
        <v>Aug</v>
      </c>
      <c r="E1786" t="str">
        <f>IF(tbl_main[[#This Row],[Date]]="","",TEXT(B1786,"DDD"))</f>
        <v>Sun</v>
      </c>
      <c r="F1786" t="s">
        <v>27</v>
      </c>
      <c r="G1786" t="s">
        <v>28</v>
      </c>
      <c r="H1786" s="3" t="s">
        <v>18</v>
      </c>
      <c r="I1786" s="3" t="s">
        <v>41</v>
      </c>
      <c r="J1786" s="3" t="s">
        <v>17</v>
      </c>
      <c r="K1786" s="3">
        <f>_xlfn.XLOOKUP(tbl_main[[#This Row],[Service]],tbl_service[Service],tbl_service[Price],"")</f>
        <v>500</v>
      </c>
      <c r="L1786" s="3">
        <v>2</v>
      </c>
      <c r="M1786" s="3">
        <f>IF(AND(tbl_main[[#This Row],[Price]]="",tbl_main[[#This Row],[Qty]]=""),"",tbl_main[[#This Row],[Price]]*tbl_main[[#This Row],[Qty]])</f>
        <v>1000</v>
      </c>
      <c r="N1786" s="3">
        <f>_xlfn.LET(_xlpm.x,_xlfn.XLOOKUP(tbl_main[[#This Row],[Service]],tbl_service[Service],tbl_service[Profit],""),
               IF(tbl_main[[#This Row],[Qty]]="","",_xlpm.x*tbl_main[[#This Row],[Qty]]))</f>
        <v>314</v>
      </c>
    </row>
    <row r="1787" spans="1:14" x14ac:dyDescent="0.25">
      <c r="A1787" t="s">
        <v>1829</v>
      </c>
      <c r="B1787" s="1">
        <v>46250</v>
      </c>
      <c r="C1787">
        <f>IF(tbl_main[[#This Row],[Date]]="","",YEAR(B1787))</f>
        <v>2026</v>
      </c>
      <c r="D1787" t="str">
        <f>IF(tbl_main[[#This Row],[Date]]="","",TEXT(B1787,"mmm"))</f>
        <v>Aug</v>
      </c>
      <c r="E1787" t="str">
        <f>IF(tbl_main[[#This Row],[Date]]="","",TEXT(B1787,"DDD"))</f>
        <v>Sun</v>
      </c>
      <c r="F1787" t="s">
        <v>30</v>
      </c>
      <c r="G1787" t="s">
        <v>31</v>
      </c>
      <c r="H1787" s="3" t="s">
        <v>26</v>
      </c>
      <c r="I1787" s="3" t="s">
        <v>35</v>
      </c>
      <c r="J1787" s="3" t="s">
        <v>32</v>
      </c>
      <c r="K1787" s="3">
        <f>_xlfn.XLOOKUP(tbl_main[[#This Row],[Service]],tbl_service[Service],tbl_service[Price],"")</f>
        <v>200</v>
      </c>
      <c r="L1787" s="3">
        <v>2</v>
      </c>
      <c r="M1787" s="3">
        <f>IF(AND(tbl_main[[#This Row],[Price]]="",tbl_main[[#This Row],[Qty]]=""),"",tbl_main[[#This Row],[Price]]*tbl_main[[#This Row],[Qty]])</f>
        <v>400</v>
      </c>
      <c r="N1787" s="3">
        <f>_xlfn.LET(_xlpm.x,_xlfn.XLOOKUP(tbl_main[[#This Row],[Service]],tbl_service[Service],tbl_service[Profit],""),
               IF(tbl_main[[#This Row],[Qty]]="","",_xlpm.x*tbl_main[[#This Row],[Qty]]))</f>
        <v>180</v>
      </c>
    </row>
    <row r="1788" spans="1:14" x14ac:dyDescent="0.25">
      <c r="A1788" t="s">
        <v>1830</v>
      </c>
      <c r="B1788" s="1">
        <v>46251</v>
      </c>
      <c r="C1788">
        <f>IF(tbl_main[[#This Row],[Date]]="","",YEAR(B1788))</f>
        <v>2026</v>
      </c>
      <c r="D1788" t="str">
        <f>IF(tbl_main[[#This Row],[Date]]="","",TEXT(B1788,"mmm"))</f>
        <v>Aug</v>
      </c>
      <c r="E1788" t="str">
        <f>IF(tbl_main[[#This Row],[Date]]="","",TEXT(B1788,"DDD"))</f>
        <v>Mon</v>
      </c>
      <c r="F1788" t="s">
        <v>13</v>
      </c>
      <c r="G1788" t="s">
        <v>33</v>
      </c>
      <c r="H1788" s="3" t="s">
        <v>18</v>
      </c>
      <c r="I1788" s="3" t="s">
        <v>35</v>
      </c>
      <c r="J1788" s="3" t="s">
        <v>32</v>
      </c>
      <c r="K1788" s="3">
        <f>_xlfn.XLOOKUP(tbl_main[[#This Row],[Service]],tbl_service[Service],tbl_service[Price],"")</f>
        <v>500</v>
      </c>
      <c r="L1788" s="3">
        <v>1</v>
      </c>
      <c r="M1788" s="3">
        <f>IF(AND(tbl_main[[#This Row],[Price]]="",tbl_main[[#This Row],[Qty]]=""),"",tbl_main[[#This Row],[Price]]*tbl_main[[#This Row],[Qty]])</f>
        <v>500</v>
      </c>
      <c r="N1788" s="3">
        <f>_xlfn.LET(_xlpm.x,_xlfn.XLOOKUP(tbl_main[[#This Row],[Service]],tbl_service[Service],tbl_service[Profit],""),
               IF(tbl_main[[#This Row],[Qty]]="","",_xlpm.x*tbl_main[[#This Row],[Qty]]))</f>
        <v>157</v>
      </c>
    </row>
    <row r="1789" spans="1:14" x14ac:dyDescent="0.25">
      <c r="A1789" t="s">
        <v>1831</v>
      </c>
      <c r="B1789" s="1">
        <v>46251</v>
      </c>
      <c r="C1789">
        <f>IF(tbl_main[[#This Row],[Date]]="","",YEAR(B1789))</f>
        <v>2026</v>
      </c>
      <c r="D1789" t="str">
        <f>IF(tbl_main[[#This Row],[Date]]="","",TEXT(B1789,"mmm"))</f>
        <v>Aug</v>
      </c>
      <c r="E1789" t="str">
        <f>IF(tbl_main[[#This Row],[Date]]="","",TEXT(B1789,"DDD"))</f>
        <v>Mon</v>
      </c>
      <c r="F1789" t="s">
        <v>20</v>
      </c>
      <c r="G1789" t="s">
        <v>29</v>
      </c>
      <c r="H1789" s="3" t="s">
        <v>26</v>
      </c>
      <c r="I1789" s="3" t="s">
        <v>23</v>
      </c>
      <c r="J1789" s="3" t="s">
        <v>32</v>
      </c>
      <c r="K1789" s="3">
        <f>_xlfn.XLOOKUP(tbl_main[[#This Row],[Service]],tbl_service[Service],tbl_service[Price],"")</f>
        <v>200</v>
      </c>
      <c r="L1789" s="3">
        <v>2</v>
      </c>
      <c r="M1789" s="3">
        <f>IF(AND(tbl_main[[#This Row],[Price]]="",tbl_main[[#This Row],[Qty]]=""),"",tbl_main[[#This Row],[Price]]*tbl_main[[#This Row],[Qty]])</f>
        <v>400</v>
      </c>
      <c r="N1789" s="3">
        <f>_xlfn.LET(_xlpm.x,_xlfn.XLOOKUP(tbl_main[[#This Row],[Service]],tbl_service[Service],tbl_service[Profit],""),
               IF(tbl_main[[#This Row],[Qty]]="","",_xlpm.x*tbl_main[[#This Row],[Qty]]))</f>
        <v>180</v>
      </c>
    </row>
    <row r="1790" spans="1:14" x14ac:dyDescent="0.25">
      <c r="A1790" t="s">
        <v>1832</v>
      </c>
      <c r="B1790" s="1">
        <v>46251</v>
      </c>
      <c r="C1790">
        <f>IF(tbl_main[[#This Row],[Date]]="","",YEAR(B1790))</f>
        <v>2026</v>
      </c>
      <c r="D1790" t="str">
        <f>IF(tbl_main[[#This Row],[Date]]="","",TEXT(B1790,"mmm"))</f>
        <v>Aug</v>
      </c>
      <c r="E1790" t="str">
        <f>IF(tbl_main[[#This Row],[Date]]="","",TEXT(B1790,"DDD"))</f>
        <v>Mon</v>
      </c>
      <c r="F1790" t="s">
        <v>13</v>
      </c>
      <c r="G1790" t="s">
        <v>14</v>
      </c>
      <c r="H1790" s="3" t="s">
        <v>18</v>
      </c>
      <c r="I1790" s="3" t="s">
        <v>37</v>
      </c>
      <c r="J1790" s="3" t="s">
        <v>32</v>
      </c>
      <c r="K1790" s="3">
        <f>_xlfn.XLOOKUP(tbl_main[[#This Row],[Service]],tbl_service[Service],tbl_service[Price],"")</f>
        <v>500</v>
      </c>
      <c r="L1790" s="3">
        <v>1</v>
      </c>
      <c r="M1790" s="3">
        <f>IF(AND(tbl_main[[#This Row],[Price]]="",tbl_main[[#This Row],[Qty]]=""),"",tbl_main[[#This Row],[Price]]*tbl_main[[#This Row],[Qty]])</f>
        <v>500</v>
      </c>
      <c r="N1790" s="3">
        <f>_xlfn.LET(_xlpm.x,_xlfn.XLOOKUP(tbl_main[[#This Row],[Service]],tbl_service[Service],tbl_service[Profit],""),
               IF(tbl_main[[#This Row],[Qty]]="","",_xlpm.x*tbl_main[[#This Row],[Qty]]))</f>
        <v>157</v>
      </c>
    </row>
    <row r="1791" spans="1:14" x14ac:dyDescent="0.25">
      <c r="A1791" t="s">
        <v>1833</v>
      </c>
      <c r="B1791" s="1">
        <v>46252</v>
      </c>
      <c r="C1791">
        <f>IF(tbl_main[[#This Row],[Date]]="","",YEAR(B1791))</f>
        <v>2026</v>
      </c>
      <c r="D1791" t="str">
        <f>IF(tbl_main[[#This Row],[Date]]="","",TEXT(B1791,"mmm"))</f>
        <v>Aug</v>
      </c>
      <c r="E1791" t="str">
        <f>IF(tbl_main[[#This Row],[Date]]="","",TEXT(B1791,"DDD"))</f>
        <v>Tue</v>
      </c>
      <c r="F1791" t="s">
        <v>30</v>
      </c>
      <c r="G1791" t="s">
        <v>36</v>
      </c>
      <c r="H1791" s="3" t="s">
        <v>34</v>
      </c>
      <c r="I1791" s="3" t="s">
        <v>38</v>
      </c>
      <c r="J1791" s="3" t="s">
        <v>25</v>
      </c>
      <c r="K1791" s="3">
        <f>_xlfn.XLOOKUP(tbl_main[[#This Row],[Service]],tbl_service[Service],tbl_service[Price],"")</f>
        <v>100</v>
      </c>
      <c r="L1791" s="3">
        <v>1</v>
      </c>
      <c r="M1791" s="3">
        <f>IF(AND(tbl_main[[#This Row],[Price]]="",tbl_main[[#This Row],[Qty]]=""),"",tbl_main[[#This Row],[Price]]*tbl_main[[#This Row],[Qty]])</f>
        <v>100</v>
      </c>
      <c r="N1791" s="3">
        <f>_xlfn.LET(_xlpm.x,_xlfn.XLOOKUP(tbl_main[[#This Row],[Service]],tbl_service[Service],tbl_service[Profit],""),
               IF(tbl_main[[#This Row],[Qty]]="","",_xlpm.x*tbl_main[[#This Row],[Qty]]))</f>
        <v>45</v>
      </c>
    </row>
    <row r="1792" spans="1:14" x14ac:dyDescent="0.25">
      <c r="A1792" t="s">
        <v>1834</v>
      </c>
      <c r="B1792" s="1">
        <v>46252</v>
      </c>
      <c r="C1792">
        <f>IF(tbl_main[[#This Row],[Date]]="","",YEAR(B1792))</f>
        <v>2026</v>
      </c>
      <c r="D1792" t="str">
        <f>IF(tbl_main[[#This Row],[Date]]="","",TEXT(B1792,"mmm"))</f>
        <v>Aug</v>
      </c>
      <c r="E1792" t="str">
        <f>IF(tbl_main[[#This Row],[Date]]="","",TEXT(B1792,"DDD"))</f>
        <v>Tue</v>
      </c>
      <c r="F1792" t="s">
        <v>30</v>
      </c>
      <c r="G1792" t="s">
        <v>36</v>
      </c>
      <c r="H1792" s="3" t="s">
        <v>24</v>
      </c>
      <c r="I1792" s="3" t="s">
        <v>16</v>
      </c>
      <c r="J1792" s="3" t="s">
        <v>32</v>
      </c>
      <c r="K1792" s="3">
        <f>_xlfn.XLOOKUP(tbl_main[[#This Row],[Service]],tbl_service[Service],tbl_service[Price],"")</f>
        <v>80</v>
      </c>
      <c r="L1792" s="3">
        <v>1</v>
      </c>
      <c r="M1792" s="3">
        <f>IF(AND(tbl_main[[#This Row],[Price]]="",tbl_main[[#This Row],[Qty]]=""),"",tbl_main[[#This Row],[Price]]*tbl_main[[#This Row],[Qty]])</f>
        <v>80</v>
      </c>
      <c r="N1792" s="3">
        <f>_xlfn.LET(_xlpm.x,_xlfn.XLOOKUP(tbl_main[[#This Row],[Service]],tbl_service[Service],tbl_service[Profit],""),
               IF(tbl_main[[#This Row],[Qty]]="","",_xlpm.x*tbl_main[[#This Row],[Qty]]))</f>
        <v>36</v>
      </c>
    </row>
    <row r="1793" spans="1:14" x14ac:dyDescent="0.25">
      <c r="A1793" t="s">
        <v>1835</v>
      </c>
      <c r="B1793" s="1">
        <v>46253</v>
      </c>
      <c r="C1793">
        <f>IF(tbl_main[[#This Row],[Date]]="","",YEAR(B1793))</f>
        <v>2026</v>
      </c>
      <c r="D1793" t="str">
        <f>IF(tbl_main[[#This Row],[Date]]="","",TEXT(B1793,"mmm"))</f>
        <v>Aug</v>
      </c>
      <c r="E1793" t="str">
        <f>IF(tbl_main[[#This Row],[Date]]="","",TEXT(B1793,"DDD"))</f>
        <v>Wed</v>
      </c>
      <c r="F1793" t="s">
        <v>30</v>
      </c>
      <c r="G1793" t="s">
        <v>36</v>
      </c>
      <c r="H1793" s="3" t="s">
        <v>24</v>
      </c>
      <c r="I1793" s="3" t="s">
        <v>19</v>
      </c>
      <c r="J1793" s="3" t="s">
        <v>25</v>
      </c>
      <c r="K1793" s="3">
        <f>_xlfn.XLOOKUP(tbl_main[[#This Row],[Service]],tbl_service[Service],tbl_service[Price],"")</f>
        <v>80</v>
      </c>
      <c r="L1793" s="3">
        <v>2</v>
      </c>
      <c r="M1793" s="3">
        <f>IF(AND(tbl_main[[#This Row],[Price]]="",tbl_main[[#This Row],[Qty]]=""),"",tbl_main[[#This Row],[Price]]*tbl_main[[#This Row],[Qty]])</f>
        <v>160</v>
      </c>
      <c r="N1793" s="3">
        <f>_xlfn.LET(_xlpm.x,_xlfn.XLOOKUP(tbl_main[[#This Row],[Service]],tbl_service[Service],tbl_service[Profit],""),
               IF(tbl_main[[#This Row],[Qty]]="","",_xlpm.x*tbl_main[[#This Row],[Qty]]))</f>
        <v>72</v>
      </c>
    </row>
    <row r="1794" spans="1:14" x14ac:dyDescent="0.25">
      <c r="A1794" t="s">
        <v>1836</v>
      </c>
      <c r="B1794" s="1">
        <v>46253</v>
      </c>
      <c r="C1794">
        <f>IF(tbl_main[[#This Row],[Date]]="","",YEAR(B1794))</f>
        <v>2026</v>
      </c>
      <c r="D1794" t="str">
        <f>IF(tbl_main[[#This Row],[Date]]="","",TEXT(B1794,"mmm"))</f>
        <v>Aug</v>
      </c>
      <c r="E1794" t="str">
        <f>IF(tbl_main[[#This Row],[Date]]="","",TEXT(B1794,"DDD"))</f>
        <v>Wed</v>
      </c>
      <c r="F1794" t="s">
        <v>13</v>
      </c>
      <c r="G1794" t="s">
        <v>33</v>
      </c>
      <c r="H1794" s="3" t="s">
        <v>26</v>
      </c>
      <c r="I1794" s="3" t="s">
        <v>43</v>
      </c>
      <c r="J1794" s="3" t="s">
        <v>17</v>
      </c>
      <c r="K1794" s="3">
        <f>_xlfn.XLOOKUP(tbl_main[[#This Row],[Service]],tbl_service[Service],tbl_service[Price],"")</f>
        <v>200</v>
      </c>
      <c r="L1794" s="3">
        <v>1</v>
      </c>
      <c r="M1794" s="3">
        <f>IF(AND(tbl_main[[#This Row],[Price]]="",tbl_main[[#This Row],[Qty]]=""),"",tbl_main[[#This Row],[Price]]*tbl_main[[#This Row],[Qty]])</f>
        <v>200</v>
      </c>
      <c r="N1794" s="3">
        <f>_xlfn.LET(_xlpm.x,_xlfn.XLOOKUP(tbl_main[[#This Row],[Service]],tbl_service[Service],tbl_service[Profit],""),
               IF(tbl_main[[#This Row],[Qty]]="","",_xlpm.x*tbl_main[[#This Row],[Qty]]))</f>
        <v>90</v>
      </c>
    </row>
    <row r="1795" spans="1:14" x14ac:dyDescent="0.25">
      <c r="A1795" t="s">
        <v>1837</v>
      </c>
      <c r="B1795" s="1">
        <v>46254</v>
      </c>
      <c r="C1795">
        <f>IF(tbl_main[[#This Row],[Date]]="","",YEAR(B1795))</f>
        <v>2026</v>
      </c>
      <c r="D1795" t="str">
        <f>IF(tbl_main[[#This Row],[Date]]="","",TEXT(B1795,"mmm"))</f>
        <v>Aug</v>
      </c>
      <c r="E1795" t="str">
        <f>IF(tbl_main[[#This Row],[Date]]="","",TEXT(B1795,"DDD"))</f>
        <v>Thu</v>
      </c>
      <c r="F1795" t="s">
        <v>30</v>
      </c>
      <c r="G1795" t="s">
        <v>36</v>
      </c>
      <c r="H1795" s="3" t="s">
        <v>15</v>
      </c>
      <c r="I1795" s="3" t="s">
        <v>42</v>
      </c>
      <c r="J1795" s="3" t="s">
        <v>25</v>
      </c>
      <c r="K1795" s="3">
        <f>_xlfn.XLOOKUP(tbl_main[[#This Row],[Service]],tbl_service[Service],tbl_service[Price],"")</f>
        <v>500</v>
      </c>
      <c r="L1795" s="3">
        <v>2</v>
      </c>
      <c r="M1795" s="3">
        <f>IF(AND(tbl_main[[#This Row],[Price]]="",tbl_main[[#This Row],[Qty]]=""),"",tbl_main[[#This Row],[Price]]*tbl_main[[#This Row],[Qty]])</f>
        <v>1000</v>
      </c>
      <c r="N1795" s="3">
        <f>_xlfn.LET(_xlpm.x,_xlfn.XLOOKUP(tbl_main[[#This Row],[Service]],tbl_service[Service],tbl_service[Profit],""),
               IF(tbl_main[[#This Row],[Qty]]="","",_xlpm.x*tbl_main[[#This Row],[Qty]]))</f>
        <v>450</v>
      </c>
    </row>
    <row r="1796" spans="1:14" x14ac:dyDescent="0.25">
      <c r="A1796" t="s">
        <v>1838</v>
      </c>
      <c r="B1796" s="1">
        <v>46254</v>
      </c>
      <c r="C1796">
        <f>IF(tbl_main[[#This Row],[Date]]="","",YEAR(B1796))</f>
        <v>2026</v>
      </c>
      <c r="D1796" t="str">
        <f>IF(tbl_main[[#This Row],[Date]]="","",TEXT(B1796,"mmm"))</f>
        <v>Aug</v>
      </c>
      <c r="E1796" t="str">
        <f>IF(tbl_main[[#This Row],[Date]]="","",TEXT(B1796,"DDD"))</f>
        <v>Thu</v>
      </c>
      <c r="F1796" t="s">
        <v>30</v>
      </c>
      <c r="G1796" t="s">
        <v>36</v>
      </c>
      <c r="H1796" s="3" t="s">
        <v>18</v>
      </c>
      <c r="I1796" s="3" t="s">
        <v>41</v>
      </c>
      <c r="J1796" s="3" t="s">
        <v>25</v>
      </c>
      <c r="K1796" s="3">
        <f>_xlfn.XLOOKUP(tbl_main[[#This Row],[Service]],tbl_service[Service],tbl_service[Price],"")</f>
        <v>500</v>
      </c>
      <c r="L1796" s="3">
        <v>1</v>
      </c>
      <c r="M1796" s="3">
        <f>IF(AND(tbl_main[[#This Row],[Price]]="",tbl_main[[#This Row],[Qty]]=""),"",tbl_main[[#This Row],[Price]]*tbl_main[[#This Row],[Qty]])</f>
        <v>500</v>
      </c>
      <c r="N1796" s="3">
        <f>_xlfn.LET(_xlpm.x,_xlfn.XLOOKUP(tbl_main[[#This Row],[Service]],tbl_service[Service],tbl_service[Profit],""),
               IF(tbl_main[[#This Row],[Qty]]="","",_xlpm.x*tbl_main[[#This Row],[Qty]]))</f>
        <v>157</v>
      </c>
    </row>
    <row r="1797" spans="1:14" x14ac:dyDescent="0.25">
      <c r="A1797" t="s">
        <v>1839</v>
      </c>
      <c r="B1797" s="1">
        <v>46254</v>
      </c>
      <c r="C1797">
        <f>IF(tbl_main[[#This Row],[Date]]="","",YEAR(B1797))</f>
        <v>2026</v>
      </c>
      <c r="D1797" t="str">
        <f>IF(tbl_main[[#This Row],[Date]]="","",TEXT(B1797,"mmm"))</f>
        <v>Aug</v>
      </c>
      <c r="E1797" t="str">
        <f>IF(tbl_main[[#This Row],[Date]]="","",TEXT(B1797,"DDD"))</f>
        <v>Thu</v>
      </c>
      <c r="F1797" t="s">
        <v>30</v>
      </c>
      <c r="G1797" t="s">
        <v>36</v>
      </c>
      <c r="H1797" s="3" t="s">
        <v>15</v>
      </c>
      <c r="I1797" s="3" t="s">
        <v>35</v>
      </c>
      <c r="J1797" s="3" t="s">
        <v>17</v>
      </c>
      <c r="K1797" s="3">
        <f>_xlfn.XLOOKUP(tbl_main[[#This Row],[Service]],tbl_service[Service],tbl_service[Price],"")</f>
        <v>500</v>
      </c>
      <c r="L1797" s="3">
        <v>1</v>
      </c>
      <c r="M1797" s="3">
        <f>IF(AND(tbl_main[[#This Row],[Price]]="",tbl_main[[#This Row],[Qty]]=""),"",tbl_main[[#This Row],[Price]]*tbl_main[[#This Row],[Qty]])</f>
        <v>500</v>
      </c>
      <c r="N1797" s="3">
        <f>_xlfn.LET(_xlpm.x,_xlfn.XLOOKUP(tbl_main[[#This Row],[Service]],tbl_service[Service],tbl_service[Profit],""),
               IF(tbl_main[[#This Row],[Qty]]="","",_xlpm.x*tbl_main[[#This Row],[Qty]]))</f>
        <v>225</v>
      </c>
    </row>
    <row r="1798" spans="1:14" x14ac:dyDescent="0.25">
      <c r="A1798" t="s">
        <v>1840</v>
      </c>
      <c r="B1798" s="1">
        <v>46254</v>
      </c>
      <c r="C1798">
        <f>IF(tbl_main[[#This Row],[Date]]="","",YEAR(B1798))</f>
        <v>2026</v>
      </c>
      <c r="D1798" t="str">
        <f>IF(tbl_main[[#This Row],[Date]]="","",TEXT(B1798,"mmm"))</f>
        <v>Aug</v>
      </c>
      <c r="E1798" t="str">
        <f>IF(tbl_main[[#This Row],[Date]]="","",TEXT(B1798,"DDD"))</f>
        <v>Thu</v>
      </c>
      <c r="F1798" t="s">
        <v>20</v>
      </c>
      <c r="G1798" t="s">
        <v>21</v>
      </c>
      <c r="H1798" s="3" t="s">
        <v>22</v>
      </c>
      <c r="I1798" s="3" t="s">
        <v>35</v>
      </c>
      <c r="J1798" s="3" t="s">
        <v>32</v>
      </c>
      <c r="K1798" s="3">
        <f>_xlfn.XLOOKUP(tbl_main[[#This Row],[Service]],tbl_service[Service],tbl_service[Price],"")</f>
        <v>150</v>
      </c>
      <c r="L1798" s="3">
        <v>2</v>
      </c>
      <c r="M1798" s="3">
        <f>IF(AND(tbl_main[[#This Row],[Price]]="",tbl_main[[#This Row],[Qty]]=""),"",tbl_main[[#This Row],[Price]]*tbl_main[[#This Row],[Qty]])</f>
        <v>300</v>
      </c>
      <c r="N1798" s="3">
        <f>_xlfn.LET(_xlpm.x,_xlfn.XLOOKUP(tbl_main[[#This Row],[Service]],tbl_service[Service],tbl_service[Profit],""),
               IF(tbl_main[[#This Row],[Qty]]="","",_xlpm.x*tbl_main[[#This Row],[Qty]]))</f>
        <v>134</v>
      </c>
    </row>
    <row r="1799" spans="1:14" x14ac:dyDescent="0.25">
      <c r="A1799" t="s">
        <v>1841</v>
      </c>
      <c r="B1799" s="1">
        <v>46255</v>
      </c>
      <c r="C1799">
        <f>IF(tbl_main[[#This Row],[Date]]="","",YEAR(B1799))</f>
        <v>2026</v>
      </c>
      <c r="D1799" t="str">
        <f>IF(tbl_main[[#This Row],[Date]]="","",TEXT(B1799,"mmm"))</f>
        <v>Aug</v>
      </c>
      <c r="E1799" t="str">
        <f>IF(tbl_main[[#This Row],[Date]]="","",TEXT(B1799,"DDD"))</f>
        <v>Fri</v>
      </c>
      <c r="F1799" t="s">
        <v>30</v>
      </c>
      <c r="G1799" t="s">
        <v>31</v>
      </c>
      <c r="H1799" s="3" t="s">
        <v>15</v>
      </c>
      <c r="I1799" s="3" t="s">
        <v>23</v>
      </c>
      <c r="J1799" s="3" t="s">
        <v>32</v>
      </c>
      <c r="K1799" s="3">
        <f>_xlfn.XLOOKUP(tbl_main[[#This Row],[Service]],tbl_service[Service],tbl_service[Price],"")</f>
        <v>500</v>
      </c>
      <c r="L1799" s="3">
        <v>1</v>
      </c>
      <c r="M1799" s="3">
        <f>IF(AND(tbl_main[[#This Row],[Price]]="",tbl_main[[#This Row],[Qty]]=""),"",tbl_main[[#This Row],[Price]]*tbl_main[[#This Row],[Qty]])</f>
        <v>500</v>
      </c>
      <c r="N1799" s="3">
        <f>_xlfn.LET(_xlpm.x,_xlfn.XLOOKUP(tbl_main[[#This Row],[Service]],tbl_service[Service],tbl_service[Profit],""),
               IF(tbl_main[[#This Row],[Qty]]="","",_xlpm.x*tbl_main[[#This Row],[Qty]]))</f>
        <v>225</v>
      </c>
    </row>
    <row r="1800" spans="1:14" x14ac:dyDescent="0.25">
      <c r="A1800" t="s">
        <v>1842</v>
      </c>
      <c r="B1800" s="1">
        <v>46255</v>
      </c>
      <c r="C1800">
        <f>IF(tbl_main[[#This Row],[Date]]="","",YEAR(B1800))</f>
        <v>2026</v>
      </c>
      <c r="D1800" t="str">
        <f>IF(tbl_main[[#This Row],[Date]]="","",TEXT(B1800,"mmm"))</f>
        <v>Aug</v>
      </c>
      <c r="E1800" t="str">
        <f>IF(tbl_main[[#This Row],[Date]]="","",TEXT(B1800,"DDD"))</f>
        <v>Fri</v>
      </c>
      <c r="F1800" t="s">
        <v>30</v>
      </c>
      <c r="G1800" t="s">
        <v>36</v>
      </c>
      <c r="H1800" s="3" t="s">
        <v>18</v>
      </c>
      <c r="I1800" s="3" t="s">
        <v>37</v>
      </c>
      <c r="J1800" s="3" t="s">
        <v>17</v>
      </c>
      <c r="K1800" s="3">
        <f>_xlfn.XLOOKUP(tbl_main[[#This Row],[Service]],tbl_service[Service],tbl_service[Price],"")</f>
        <v>500</v>
      </c>
      <c r="L1800" s="3">
        <v>1</v>
      </c>
      <c r="M1800" s="3">
        <f>IF(AND(tbl_main[[#This Row],[Price]]="",tbl_main[[#This Row],[Qty]]=""),"",tbl_main[[#This Row],[Price]]*tbl_main[[#This Row],[Qty]])</f>
        <v>500</v>
      </c>
      <c r="N1800" s="3">
        <f>_xlfn.LET(_xlpm.x,_xlfn.XLOOKUP(tbl_main[[#This Row],[Service]],tbl_service[Service],tbl_service[Profit],""),
               IF(tbl_main[[#This Row],[Qty]]="","",_xlpm.x*tbl_main[[#This Row],[Qty]]))</f>
        <v>157</v>
      </c>
    </row>
    <row r="1801" spans="1:14" x14ac:dyDescent="0.25">
      <c r="A1801" t="s">
        <v>1843</v>
      </c>
      <c r="B1801" s="1">
        <v>46255</v>
      </c>
      <c r="C1801">
        <f>IF(tbl_main[[#This Row],[Date]]="","",YEAR(B1801))</f>
        <v>2026</v>
      </c>
      <c r="D1801" t="str">
        <f>IF(tbl_main[[#This Row],[Date]]="","",TEXT(B1801,"mmm"))</f>
        <v>Aug</v>
      </c>
      <c r="E1801" t="str">
        <f>IF(tbl_main[[#This Row],[Date]]="","",TEXT(B1801,"DDD"))</f>
        <v>Fri</v>
      </c>
      <c r="F1801" t="s">
        <v>13</v>
      </c>
      <c r="G1801" t="s">
        <v>14</v>
      </c>
      <c r="H1801" s="3" t="s">
        <v>22</v>
      </c>
      <c r="I1801" s="3" t="s">
        <v>38</v>
      </c>
      <c r="J1801" s="3" t="s">
        <v>17</v>
      </c>
      <c r="K1801" s="3">
        <f>_xlfn.XLOOKUP(tbl_main[[#This Row],[Service]],tbl_service[Service],tbl_service[Price],"")</f>
        <v>150</v>
      </c>
      <c r="L1801" s="3">
        <v>1</v>
      </c>
      <c r="M1801" s="3">
        <f>IF(AND(tbl_main[[#This Row],[Price]]="",tbl_main[[#This Row],[Qty]]=""),"",tbl_main[[#This Row],[Price]]*tbl_main[[#This Row],[Qty]])</f>
        <v>150</v>
      </c>
      <c r="N1801" s="3">
        <f>_xlfn.LET(_xlpm.x,_xlfn.XLOOKUP(tbl_main[[#This Row],[Service]],tbl_service[Service],tbl_service[Profit],""),
               IF(tbl_main[[#This Row],[Qty]]="","",_xlpm.x*tbl_main[[#This Row],[Qty]]))</f>
        <v>67</v>
      </c>
    </row>
    <row r="1802" spans="1:14" x14ac:dyDescent="0.25">
      <c r="A1802" t="s">
        <v>1844</v>
      </c>
      <c r="B1802" s="1">
        <v>46256</v>
      </c>
      <c r="C1802">
        <f>IF(tbl_main[[#This Row],[Date]]="","",YEAR(B1802))</f>
        <v>2026</v>
      </c>
      <c r="D1802" t="str">
        <f>IF(tbl_main[[#This Row],[Date]]="","",TEXT(B1802,"mmm"))</f>
        <v>Aug</v>
      </c>
      <c r="E1802" t="str">
        <f>IF(tbl_main[[#This Row],[Date]]="","",TEXT(B1802,"DDD"))</f>
        <v>Sat</v>
      </c>
      <c r="F1802" t="s">
        <v>20</v>
      </c>
      <c r="G1802" t="s">
        <v>21</v>
      </c>
      <c r="H1802" s="3" t="s">
        <v>24</v>
      </c>
      <c r="I1802" s="3" t="s">
        <v>16</v>
      </c>
      <c r="J1802" s="3" t="s">
        <v>32</v>
      </c>
      <c r="K1802" s="3">
        <f>_xlfn.XLOOKUP(tbl_main[[#This Row],[Service]],tbl_service[Service],tbl_service[Price],"")</f>
        <v>80</v>
      </c>
      <c r="L1802" s="3">
        <v>2</v>
      </c>
      <c r="M1802" s="3">
        <f>IF(AND(tbl_main[[#This Row],[Price]]="",tbl_main[[#This Row],[Qty]]=""),"",tbl_main[[#This Row],[Price]]*tbl_main[[#This Row],[Qty]])</f>
        <v>160</v>
      </c>
      <c r="N1802" s="3">
        <f>_xlfn.LET(_xlpm.x,_xlfn.XLOOKUP(tbl_main[[#This Row],[Service]],tbl_service[Service],tbl_service[Profit],""),
               IF(tbl_main[[#This Row],[Qty]]="","",_xlpm.x*tbl_main[[#This Row],[Qty]]))</f>
        <v>72</v>
      </c>
    </row>
    <row r="1803" spans="1:14" x14ac:dyDescent="0.25">
      <c r="A1803" t="s">
        <v>1845</v>
      </c>
      <c r="B1803" s="1">
        <v>46256</v>
      </c>
      <c r="C1803">
        <f>IF(tbl_main[[#This Row],[Date]]="","",YEAR(B1803))</f>
        <v>2026</v>
      </c>
      <c r="D1803" t="str">
        <f>IF(tbl_main[[#This Row],[Date]]="","",TEXT(B1803,"mmm"))</f>
        <v>Aug</v>
      </c>
      <c r="E1803" t="str">
        <f>IF(tbl_main[[#This Row],[Date]]="","",TEXT(B1803,"DDD"))</f>
        <v>Sat</v>
      </c>
      <c r="F1803" t="s">
        <v>20</v>
      </c>
      <c r="G1803" t="s">
        <v>39</v>
      </c>
      <c r="H1803" s="3" t="s">
        <v>34</v>
      </c>
      <c r="I1803" s="3" t="s">
        <v>19</v>
      </c>
      <c r="J1803" s="3" t="s">
        <v>32</v>
      </c>
      <c r="K1803" s="3">
        <f>_xlfn.XLOOKUP(tbl_main[[#This Row],[Service]],tbl_service[Service],tbl_service[Price],"")</f>
        <v>100</v>
      </c>
      <c r="L1803" s="3">
        <v>1</v>
      </c>
      <c r="M1803" s="3">
        <f>IF(AND(tbl_main[[#This Row],[Price]]="",tbl_main[[#This Row],[Qty]]=""),"",tbl_main[[#This Row],[Price]]*tbl_main[[#This Row],[Qty]])</f>
        <v>100</v>
      </c>
      <c r="N1803" s="3">
        <f>_xlfn.LET(_xlpm.x,_xlfn.XLOOKUP(tbl_main[[#This Row],[Service]],tbl_service[Service],tbl_service[Profit],""),
               IF(tbl_main[[#This Row],[Qty]]="","",_xlpm.x*tbl_main[[#This Row],[Qty]]))</f>
        <v>45</v>
      </c>
    </row>
    <row r="1804" spans="1:14" x14ac:dyDescent="0.25">
      <c r="A1804" t="s">
        <v>1846</v>
      </c>
      <c r="B1804" s="1">
        <v>46256</v>
      </c>
      <c r="C1804">
        <f>IF(tbl_main[[#This Row],[Date]]="","",YEAR(B1804))</f>
        <v>2026</v>
      </c>
      <c r="D1804" t="str">
        <f>IF(tbl_main[[#This Row],[Date]]="","",TEXT(B1804,"mmm"))</f>
        <v>Aug</v>
      </c>
      <c r="E1804" t="str">
        <f>IF(tbl_main[[#This Row],[Date]]="","",TEXT(B1804,"DDD"))</f>
        <v>Sat</v>
      </c>
      <c r="F1804" t="s">
        <v>30</v>
      </c>
      <c r="G1804" t="s">
        <v>36</v>
      </c>
      <c r="H1804" s="3" t="s">
        <v>26</v>
      </c>
      <c r="I1804" s="3" t="s">
        <v>43</v>
      </c>
      <c r="J1804" s="3" t="s">
        <v>25</v>
      </c>
      <c r="K1804" s="3">
        <f>_xlfn.XLOOKUP(tbl_main[[#This Row],[Service]],tbl_service[Service],tbl_service[Price],"")</f>
        <v>200</v>
      </c>
      <c r="L1804" s="3">
        <v>2</v>
      </c>
      <c r="M1804" s="3">
        <f>IF(AND(tbl_main[[#This Row],[Price]]="",tbl_main[[#This Row],[Qty]]=""),"",tbl_main[[#This Row],[Price]]*tbl_main[[#This Row],[Qty]])</f>
        <v>400</v>
      </c>
      <c r="N1804" s="3">
        <f>_xlfn.LET(_xlpm.x,_xlfn.XLOOKUP(tbl_main[[#This Row],[Service]],tbl_service[Service],tbl_service[Profit],""),
               IF(tbl_main[[#This Row],[Qty]]="","",_xlpm.x*tbl_main[[#This Row],[Qty]]))</f>
        <v>180</v>
      </c>
    </row>
    <row r="1805" spans="1:14" x14ac:dyDescent="0.25">
      <c r="A1805" t="s">
        <v>1847</v>
      </c>
      <c r="B1805" s="1">
        <v>46257</v>
      </c>
      <c r="C1805">
        <f>IF(tbl_main[[#This Row],[Date]]="","",YEAR(B1805))</f>
        <v>2026</v>
      </c>
      <c r="D1805" t="str">
        <f>IF(tbl_main[[#This Row],[Date]]="","",TEXT(B1805,"mmm"))</f>
        <v>Aug</v>
      </c>
      <c r="E1805" t="str">
        <f>IF(tbl_main[[#This Row],[Date]]="","",TEXT(B1805,"DDD"))</f>
        <v>Sun</v>
      </c>
      <c r="F1805" t="s">
        <v>30</v>
      </c>
      <c r="G1805" t="s">
        <v>36</v>
      </c>
      <c r="H1805" s="3" t="s">
        <v>34</v>
      </c>
      <c r="I1805" s="3" t="s">
        <v>42</v>
      </c>
      <c r="J1805" s="3" t="s">
        <v>17</v>
      </c>
      <c r="K1805" s="3">
        <f>_xlfn.XLOOKUP(tbl_main[[#This Row],[Service]],tbl_service[Service],tbl_service[Price],"")</f>
        <v>100</v>
      </c>
      <c r="L1805" s="3">
        <v>2</v>
      </c>
      <c r="M1805" s="3">
        <f>IF(AND(tbl_main[[#This Row],[Price]]="",tbl_main[[#This Row],[Qty]]=""),"",tbl_main[[#This Row],[Price]]*tbl_main[[#This Row],[Qty]])</f>
        <v>200</v>
      </c>
      <c r="N1805" s="3">
        <f>_xlfn.LET(_xlpm.x,_xlfn.XLOOKUP(tbl_main[[#This Row],[Service]],tbl_service[Service],tbl_service[Profit],""),
               IF(tbl_main[[#This Row],[Qty]]="","",_xlpm.x*tbl_main[[#This Row],[Qty]]))</f>
        <v>90</v>
      </c>
    </row>
    <row r="1806" spans="1:14" x14ac:dyDescent="0.25">
      <c r="A1806" t="s">
        <v>1848</v>
      </c>
      <c r="B1806" s="1">
        <v>46257</v>
      </c>
      <c r="C1806">
        <f>IF(tbl_main[[#This Row],[Date]]="","",YEAR(B1806))</f>
        <v>2026</v>
      </c>
      <c r="D1806" t="str">
        <f>IF(tbl_main[[#This Row],[Date]]="","",TEXT(B1806,"mmm"))</f>
        <v>Aug</v>
      </c>
      <c r="E1806" t="str">
        <f>IF(tbl_main[[#This Row],[Date]]="","",TEXT(B1806,"DDD"))</f>
        <v>Sun</v>
      </c>
      <c r="F1806" t="s">
        <v>20</v>
      </c>
      <c r="G1806" t="s">
        <v>21</v>
      </c>
      <c r="H1806" s="3" t="s">
        <v>22</v>
      </c>
      <c r="I1806" s="3" t="s">
        <v>41</v>
      </c>
      <c r="J1806" s="3" t="s">
        <v>17</v>
      </c>
      <c r="K1806" s="3">
        <f>_xlfn.XLOOKUP(tbl_main[[#This Row],[Service]],tbl_service[Service],tbl_service[Price],"")</f>
        <v>150</v>
      </c>
      <c r="L1806" s="3">
        <v>2</v>
      </c>
      <c r="M1806" s="3">
        <f>IF(AND(tbl_main[[#This Row],[Price]]="",tbl_main[[#This Row],[Qty]]=""),"",tbl_main[[#This Row],[Price]]*tbl_main[[#This Row],[Qty]])</f>
        <v>300</v>
      </c>
      <c r="N1806" s="3">
        <f>_xlfn.LET(_xlpm.x,_xlfn.XLOOKUP(tbl_main[[#This Row],[Service]],tbl_service[Service],tbl_service[Profit],""),
               IF(tbl_main[[#This Row],[Qty]]="","",_xlpm.x*tbl_main[[#This Row],[Qty]]))</f>
        <v>134</v>
      </c>
    </row>
    <row r="1807" spans="1:14" x14ac:dyDescent="0.25">
      <c r="A1807" t="s">
        <v>1849</v>
      </c>
      <c r="B1807" s="1">
        <v>46257</v>
      </c>
      <c r="C1807">
        <f>IF(tbl_main[[#This Row],[Date]]="","",YEAR(B1807))</f>
        <v>2026</v>
      </c>
      <c r="D1807" t="str">
        <f>IF(tbl_main[[#This Row],[Date]]="","",TEXT(B1807,"mmm"))</f>
        <v>Aug</v>
      </c>
      <c r="E1807" t="str">
        <f>IF(tbl_main[[#This Row],[Date]]="","",TEXT(B1807,"DDD"))</f>
        <v>Sun</v>
      </c>
      <c r="F1807" t="s">
        <v>20</v>
      </c>
      <c r="G1807" t="s">
        <v>21</v>
      </c>
      <c r="H1807" s="3" t="s">
        <v>22</v>
      </c>
      <c r="I1807" s="3" t="s">
        <v>35</v>
      </c>
      <c r="J1807" s="3" t="s">
        <v>17</v>
      </c>
      <c r="K1807" s="3">
        <f>_xlfn.XLOOKUP(tbl_main[[#This Row],[Service]],tbl_service[Service],tbl_service[Price],"")</f>
        <v>150</v>
      </c>
      <c r="L1807" s="3">
        <v>1</v>
      </c>
      <c r="M1807" s="3">
        <f>IF(AND(tbl_main[[#This Row],[Price]]="",tbl_main[[#This Row],[Qty]]=""),"",tbl_main[[#This Row],[Price]]*tbl_main[[#This Row],[Qty]])</f>
        <v>150</v>
      </c>
      <c r="N1807" s="3">
        <f>_xlfn.LET(_xlpm.x,_xlfn.XLOOKUP(tbl_main[[#This Row],[Service]],tbl_service[Service],tbl_service[Profit],""),
               IF(tbl_main[[#This Row],[Qty]]="","",_xlpm.x*tbl_main[[#This Row],[Qty]]))</f>
        <v>67</v>
      </c>
    </row>
    <row r="1808" spans="1:14" x14ac:dyDescent="0.25">
      <c r="A1808" t="s">
        <v>1850</v>
      </c>
      <c r="B1808" s="1">
        <v>46258</v>
      </c>
      <c r="C1808">
        <f>IF(tbl_main[[#This Row],[Date]]="","",YEAR(B1808))</f>
        <v>2026</v>
      </c>
      <c r="D1808" t="str">
        <f>IF(tbl_main[[#This Row],[Date]]="","",TEXT(B1808,"mmm"))</f>
        <v>Aug</v>
      </c>
      <c r="E1808" t="str">
        <f>IF(tbl_main[[#This Row],[Date]]="","",TEXT(B1808,"DDD"))</f>
        <v>Mon</v>
      </c>
      <c r="F1808" t="s">
        <v>27</v>
      </c>
      <c r="G1808" t="s">
        <v>28</v>
      </c>
      <c r="H1808" s="3" t="s">
        <v>26</v>
      </c>
      <c r="I1808" s="3" t="s">
        <v>35</v>
      </c>
      <c r="J1808" s="3" t="s">
        <v>25</v>
      </c>
      <c r="K1808" s="3">
        <f>_xlfn.XLOOKUP(tbl_main[[#This Row],[Service]],tbl_service[Service],tbl_service[Price],"")</f>
        <v>200</v>
      </c>
      <c r="L1808" s="3">
        <v>1</v>
      </c>
      <c r="M1808" s="3">
        <f>IF(AND(tbl_main[[#This Row],[Price]]="",tbl_main[[#This Row],[Qty]]=""),"",tbl_main[[#This Row],[Price]]*tbl_main[[#This Row],[Qty]])</f>
        <v>200</v>
      </c>
      <c r="N1808" s="3">
        <f>_xlfn.LET(_xlpm.x,_xlfn.XLOOKUP(tbl_main[[#This Row],[Service]],tbl_service[Service],tbl_service[Profit],""),
               IF(tbl_main[[#This Row],[Qty]]="","",_xlpm.x*tbl_main[[#This Row],[Qty]]))</f>
        <v>90</v>
      </c>
    </row>
    <row r="1809" spans="1:14" x14ac:dyDescent="0.25">
      <c r="A1809" t="s">
        <v>1851</v>
      </c>
      <c r="B1809" s="1">
        <v>46258</v>
      </c>
      <c r="C1809">
        <f>IF(tbl_main[[#This Row],[Date]]="","",YEAR(B1809))</f>
        <v>2026</v>
      </c>
      <c r="D1809" t="str">
        <f>IF(tbl_main[[#This Row],[Date]]="","",TEXT(B1809,"mmm"))</f>
        <v>Aug</v>
      </c>
      <c r="E1809" t="str">
        <f>IF(tbl_main[[#This Row],[Date]]="","",TEXT(B1809,"DDD"))</f>
        <v>Mon</v>
      </c>
      <c r="F1809" t="s">
        <v>20</v>
      </c>
      <c r="G1809" t="s">
        <v>29</v>
      </c>
      <c r="H1809" s="3" t="s">
        <v>15</v>
      </c>
      <c r="I1809" s="3" t="s">
        <v>23</v>
      </c>
      <c r="J1809" s="3" t="s">
        <v>25</v>
      </c>
      <c r="K1809" s="3">
        <f>_xlfn.XLOOKUP(tbl_main[[#This Row],[Service]],tbl_service[Service],tbl_service[Price],"")</f>
        <v>500</v>
      </c>
      <c r="L1809" s="3">
        <v>2</v>
      </c>
      <c r="M1809" s="3">
        <f>IF(AND(tbl_main[[#This Row],[Price]]="",tbl_main[[#This Row],[Qty]]=""),"",tbl_main[[#This Row],[Price]]*tbl_main[[#This Row],[Qty]])</f>
        <v>1000</v>
      </c>
      <c r="N1809" s="3">
        <f>_xlfn.LET(_xlpm.x,_xlfn.XLOOKUP(tbl_main[[#This Row],[Service]],tbl_service[Service],tbl_service[Profit],""),
               IF(tbl_main[[#This Row],[Qty]]="","",_xlpm.x*tbl_main[[#This Row],[Qty]]))</f>
        <v>450</v>
      </c>
    </row>
    <row r="1810" spans="1:14" x14ac:dyDescent="0.25">
      <c r="A1810" t="s">
        <v>1852</v>
      </c>
      <c r="B1810" s="1">
        <v>46259</v>
      </c>
      <c r="C1810">
        <f>IF(tbl_main[[#This Row],[Date]]="","",YEAR(B1810))</f>
        <v>2026</v>
      </c>
      <c r="D1810" t="str">
        <f>IF(tbl_main[[#This Row],[Date]]="","",TEXT(B1810,"mmm"))</f>
        <v>Aug</v>
      </c>
      <c r="E1810" t="str">
        <f>IF(tbl_main[[#This Row],[Date]]="","",TEXT(B1810,"DDD"))</f>
        <v>Tue</v>
      </c>
      <c r="F1810" t="s">
        <v>30</v>
      </c>
      <c r="G1810" t="s">
        <v>36</v>
      </c>
      <c r="H1810" s="3" t="s">
        <v>26</v>
      </c>
      <c r="I1810" s="3" t="s">
        <v>37</v>
      </c>
      <c r="J1810" s="3" t="s">
        <v>17</v>
      </c>
      <c r="K1810" s="3">
        <f>_xlfn.XLOOKUP(tbl_main[[#This Row],[Service]],tbl_service[Service],tbl_service[Price],"")</f>
        <v>200</v>
      </c>
      <c r="L1810" s="3">
        <v>2</v>
      </c>
      <c r="M1810" s="3">
        <f>IF(AND(tbl_main[[#This Row],[Price]]="",tbl_main[[#This Row],[Qty]]=""),"",tbl_main[[#This Row],[Price]]*tbl_main[[#This Row],[Qty]])</f>
        <v>400</v>
      </c>
      <c r="N1810" s="3">
        <f>_xlfn.LET(_xlpm.x,_xlfn.XLOOKUP(tbl_main[[#This Row],[Service]],tbl_service[Service],tbl_service[Profit],""),
               IF(tbl_main[[#This Row],[Qty]]="","",_xlpm.x*tbl_main[[#This Row],[Qty]]))</f>
        <v>180</v>
      </c>
    </row>
    <row r="1811" spans="1:14" x14ac:dyDescent="0.25">
      <c r="A1811" t="s">
        <v>1853</v>
      </c>
      <c r="B1811" s="1">
        <v>46259</v>
      </c>
      <c r="C1811">
        <f>IF(tbl_main[[#This Row],[Date]]="","",YEAR(B1811))</f>
        <v>2026</v>
      </c>
      <c r="D1811" t="str">
        <f>IF(tbl_main[[#This Row],[Date]]="","",TEXT(B1811,"mmm"))</f>
        <v>Aug</v>
      </c>
      <c r="E1811" t="str">
        <f>IF(tbl_main[[#This Row],[Date]]="","",TEXT(B1811,"DDD"))</f>
        <v>Tue</v>
      </c>
      <c r="F1811" t="s">
        <v>13</v>
      </c>
      <c r="G1811" t="s">
        <v>33</v>
      </c>
      <c r="H1811" s="3" t="s">
        <v>22</v>
      </c>
      <c r="I1811" s="3" t="s">
        <v>38</v>
      </c>
      <c r="J1811" s="3" t="s">
        <v>25</v>
      </c>
      <c r="K1811" s="3">
        <f>_xlfn.XLOOKUP(tbl_main[[#This Row],[Service]],tbl_service[Service],tbl_service[Price],"")</f>
        <v>150</v>
      </c>
      <c r="L1811" s="3">
        <v>2</v>
      </c>
      <c r="M1811" s="3">
        <f>IF(AND(tbl_main[[#This Row],[Price]]="",tbl_main[[#This Row],[Qty]]=""),"",tbl_main[[#This Row],[Price]]*tbl_main[[#This Row],[Qty]])</f>
        <v>300</v>
      </c>
      <c r="N1811" s="3">
        <f>_xlfn.LET(_xlpm.x,_xlfn.XLOOKUP(tbl_main[[#This Row],[Service]],tbl_service[Service],tbl_service[Profit],""),
               IF(tbl_main[[#This Row],[Qty]]="","",_xlpm.x*tbl_main[[#This Row],[Qty]]))</f>
        <v>134</v>
      </c>
    </row>
    <row r="1812" spans="1:14" x14ac:dyDescent="0.25">
      <c r="A1812" t="s">
        <v>1854</v>
      </c>
      <c r="B1812" s="1">
        <v>46260</v>
      </c>
      <c r="C1812">
        <f>IF(tbl_main[[#This Row],[Date]]="","",YEAR(B1812))</f>
        <v>2026</v>
      </c>
      <c r="D1812" t="str">
        <f>IF(tbl_main[[#This Row],[Date]]="","",TEXT(B1812,"mmm"))</f>
        <v>Aug</v>
      </c>
      <c r="E1812" t="str">
        <f>IF(tbl_main[[#This Row],[Date]]="","",TEXT(B1812,"DDD"))</f>
        <v>Wed</v>
      </c>
      <c r="F1812" t="s">
        <v>30</v>
      </c>
      <c r="G1812" t="s">
        <v>31</v>
      </c>
      <c r="H1812" s="3" t="s">
        <v>18</v>
      </c>
      <c r="I1812" s="3" t="s">
        <v>16</v>
      </c>
      <c r="J1812" s="3" t="s">
        <v>32</v>
      </c>
      <c r="K1812" s="3">
        <f>_xlfn.XLOOKUP(tbl_main[[#This Row],[Service]],tbl_service[Service],tbl_service[Price],"")</f>
        <v>500</v>
      </c>
      <c r="L1812" s="3">
        <v>1</v>
      </c>
      <c r="M1812" s="3">
        <f>IF(AND(tbl_main[[#This Row],[Price]]="",tbl_main[[#This Row],[Qty]]=""),"",tbl_main[[#This Row],[Price]]*tbl_main[[#This Row],[Qty]])</f>
        <v>500</v>
      </c>
      <c r="N1812" s="3">
        <f>_xlfn.LET(_xlpm.x,_xlfn.XLOOKUP(tbl_main[[#This Row],[Service]],tbl_service[Service],tbl_service[Profit],""),
               IF(tbl_main[[#This Row],[Qty]]="","",_xlpm.x*tbl_main[[#This Row],[Qty]]))</f>
        <v>157</v>
      </c>
    </row>
    <row r="1813" spans="1:14" x14ac:dyDescent="0.25">
      <c r="A1813" t="s">
        <v>1855</v>
      </c>
      <c r="B1813" s="1">
        <v>46260</v>
      </c>
      <c r="C1813">
        <f>IF(tbl_main[[#This Row],[Date]]="","",YEAR(B1813))</f>
        <v>2026</v>
      </c>
      <c r="D1813" t="str">
        <f>IF(tbl_main[[#This Row],[Date]]="","",TEXT(B1813,"mmm"))</f>
        <v>Aug</v>
      </c>
      <c r="E1813" t="str">
        <f>IF(tbl_main[[#This Row],[Date]]="","",TEXT(B1813,"DDD"))</f>
        <v>Wed</v>
      </c>
      <c r="F1813" t="s">
        <v>13</v>
      </c>
      <c r="G1813" t="s">
        <v>14</v>
      </c>
      <c r="H1813" s="3" t="s">
        <v>24</v>
      </c>
      <c r="I1813" s="3" t="s">
        <v>19</v>
      </c>
      <c r="J1813" s="3" t="s">
        <v>25</v>
      </c>
      <c r="K1813" s="3">
        <f>_xlfn.XLOOKUP(tbl_main[[#This Row],[Service]],tbl_service[Service],tbl_service[Price],"")</f>
        <v>80</v>
      </c>
      <c r="L1813" s="3">
        <v>2</v>
      </c>
      <c r="M1813" s="3">
        <f>IF(AND(tbl_main[[#This Row],[Price]]="",tbl_main[[#This Row],[Qty]]=""),"",tbl_main[[#This Row],[Price]]*tbl_main[[#This Row],[Qty]])</f>
        <v>160</v>
      </c>
      <c r="N1813" s="3">
        <f>_xlfn.LET(_xlpm.x,_xlfn.XLOOKUP(tbl_main[[#This Row],[Service]],tbl_service[Service],tbl_service[Profit],""),
               IF(tbl_main[[#This Row],[Qty]]="","",_xlpm.x*tbl_main[[#This Row],[Qty]]))</f>
        <v>72</v>
      </c>
    </row>
    <row r="1814" spans="1:14" x14ac:dyDescent="0.25">
      <c r="A1814" t="s">
        <v>1856</v>
      </c>
      <c r="B1814" s="1">
        <v>46260</v>
      </c>
      <c r="C1814">
        <f>IF(tbl_main[[#This Row],[Date]]="","",YEAR(B1814))</f>
        <v>2026</v>
      </c>
      <c r="D1814" t="str">
        <f>IF(tbl_main[[#This Row],[Date]]="","",TEXT(B1814,"mmm"))</f>
        <v>Aug</v>
      </c>
      <c r="E1814" t="str">
        <f>IF(tbl_main[[#This Row],[Date]]="","",TEXT(B1814,"DDD"))</f>
        <v>Wed</v>
      </c>
      <c r="F1814" t="s">
        <v>20</v>
      </c>
      <c r="G1814" t="s">
        <v>39</v>
      </c>
      <c r="H1814" s="3" t="s">
        <v>26</v>
      </c>
      <c r="I1814" s="3" t="s">
        <v>43</v>
      </c>
      <c r="J1814" s="3" t="s">
        <v>32</v>
      </c>
      <c r="K1814" s="3">
        <f>_xlfn.XLOOKUP(tbl_main[[#This Row],[Service]],tbl_service[Service],tbl_service[Price],"")</f>
        <v>200</v>
      </c>
      <c r="L1814" s="3">
        <v>2</v>
      </c>
      <c r="M1814" s="3">
        <f>IF(AND(tbl_main[[#This Row],[Price]]="",tbl_main[[#This Row],[Qty]]=""),"",tbl_main[[#This Row],[Price]]*tbl_main[[#This Row],[Qty]])</f>
        <v>400</v>
      </c>
      <c r="N1814" s="3">
        <f>_xlfn.LET(_xlpm.x,_xlfn.XLOOKUP(tbl_main[[#This Row],[Service]],tbl_service[Service],tbl_service[Profit],""),
               IF(tbl_main[[#This Row],[Qty]]="","",_xlpm.x*tbl_main[[#This Row],[Qty]]))</f>
        <v>180</v>
      </c>
    </row>
    <row r="1815" spans="1:14" x14ac:dyDescent="0.25">
      <c r="A1815" t="s">
        <v>1857</v>
      </c>
      <c r="B1815" s="1">
        <v>46261</v>
      </c>
      <c r="C1815">
        <f>IF(tbl_main[[#This Row],[Date]]="","",YEAR(B1815))</f>
        <v>2026</v>
      </c>
      <c r="D1815" t="str">
        <f>IF(tbl_main[[#This Row],[Date]]="","",TEXT(B1815,"mmm"))</f>
        <v>Aug</v>
      </c>
      <c r="E1815" t="str">
        <f>IF(tbl_main[[#This Row],[Date]]="","",TEXT(B1815,"DDD"))</f>
        <v>Thu</v>
      </c>
      <c r="F1815" t="s">
        <v>20</v>
      </c>
      <c r="G1815" t="s">
        <v>39</v>
      </c>
      <c r="H1815" s="3" t="s">
        <v>22</v>
      </c>
      <c r="I1815" s="3" t="s">
        <v>42</v>
      </c>
      <c r="J1815" s="3" t="s">
        <v>32</v>
      </c>
      <c r="K1815" s="3">
        <f>_xlfn.XLOOKUP(tbl_main[[#This Row],[Service]],tbl_service[Service],tbl_service[Price],"")</f>
        <v>150</v>
      </c>
      <c r="L1815" s="3">
        <v>1</v>
      </c>
      <c r="M1815" s="3">
        <f>IF(AND(tbl_main[[#This Row],[Price]]="",tbl_main[[#This Row],[Qty]]=""),"",tbl_main[[#This Row],[Price]]*tbl_main[[#This Row],[Qty]])</f>
        <v>150</v>
      </c>
      <c r="N1815" s="3">
        <f>_xlfn.LET(_xlpm.x,_xlfn.XLOOKUP(tbl_main[[#This Row],[Service]],tbl_service[Service],tbl_service[Profit],""),
               IF(tbl_main[[#This Row],[Qty]]="","",_xlpm.x*tbl_main[[#This Row],[Qty]]))</f>
        <v>67</v>
      </c>
    </row>
    <row r="1816" spans="1:14" x14ac:dyDescent="0.25">
      <c r="A1816" t="s">
        <v>1858</v>
      </c>
      <c r="B1816" s="1">
        <v>46261</v>
      </c>
      <c r="C1816">
        <f>IF(tbl_main[[#This Row],[Date]]="","",YEAR(B1816))</f>
        <v>2026</v>
      </c>
      <c r="D1816" t="str">
        <f>IF(tbl_main[[#This Row],[Date]]="","",TEXT(B1816,"mmm"))</f>
        <v>Aug</v>
      </c>
      <c r="E1816" t="str">
        <f>IF(tbl_main[[#This Row],[Date]]="","",TEXT(B1816,"DDD"))</f>
        <v>Thu</v>
      </c>
      <c r="F1816" t="s">
        <v>13</v>
      </c>
      <c r="G1816" t="s">
        <v>33</v>
      </c>
      <c r="H1816" s="3" t="s">
        <v>18</v>
      </c>
      <c r="I1816" s="3" t="s">
        <v>41</v>
      </c>
      <c r="J1816" s="3" t="s">
        <v>25</v>
      </c>
      <c r="K1816" s="3">
        <f>_xlfn.XLOOKUP(tbl_main[[#This Row],[Service]],tbl_service[Service],tbl_service[Price],"")</f>
        <v>500</v>
      </c>
      <c r="L1816" s="3">
        <v>2</v>
      </c>
      <c r="M1816" s="3">
        <f>IF(AND(tbl_main[[#This Row],[Price]]="",tbl_main[[#This Row],[Qty]]=""),"",tbl_main[[#This Row],[Price]]*tbl_main[[#This Row],[Qty]])</f>
        <v>1000</v>
      </c>
      <c r="N1816" s="3">
        <f>_xlfn.LET(_xlpm.x,_xlfn.XLOOKUP(tbl_main[[#This Row],[Service]],tbl_service[Service],tbl_service[Profit],""),
               IF(tbl_main[[#This Row],[Qty]]="","",_xlpm.x*tbl_main[[#This Row],[Qty]]))</f>
        <v>314</v>
      </c>
    </row>
    <row r="1817" spans="1:14" x14ac:dyDescent="0.25">
      <c r="A1817" t="s">
        <v>1859</v>
      </c>
      <c r="B1817" s="1">
        <v>46261</v>
      </c>
      <c r="C1817">
        <f>IF(tbl_main[[#This Row],[Date]]="","",YEAR(B1817))</f>
        <v>2026</v>
      </c>
      <c r="D1817" t="str">
        <f>IF(tbl_main[[#This Row],[Date]]="","",TEXT(B1817,"mmm"))</f>
        <v>Aug</v>
      </c>
      <c r="E1817" t="str">
        <f>IF(tbl_main[[#This Row],[Date]]="","",TEXT(B1817,"DDD"))</f>
        <v>Thu</v>
      </c>
      <c r="F1817" t="s">
        <v>20</v>
      </c>
      <c r="G1817" t="s">
        <v>21</v>
      </c>
      <c r="H1817" s="3" t="s">
        <v>15</v>
      </c>
      <c r="I1817" s="3" t="s">
        <v>35</v>
      </c>
      <c r="J1817" s="3" t="s">
        <v>17</v>
      </c>
      <c r="K1817" s="3">
        <f>_xlfn.XLOOKUP(tbl_main[[#This Row],[Service]],tbl_service[Service],tbl_service[Price],"")</f>
        <v>500</v>
      </c>
      <c r="L1817" s="3">
        <v>2</v>
      </c>
      <c r="M1817" s="3">
        <f>IF(AND(tbl_main[[#This Row],[Price]]="",tbl_main[[#This Row],[Qty]]=""),"",tbl_main[[#This Row],[Price]]*tbl_main[[#This Row],[Qty]])</f>
        <v>1000</v>
      </c>
      <c r="N1817" s="3">
        <f>_xlfn.LET(_xlpm.x,_xlfn.XLOOKUP(tbl_main[[#This Row],[Service]],tbl_service[Service],tbl_service[Profit],""),
               IF(tbl_main[[#This Row],[Qty]]="","",_xlpm.x*tbl_main[[#This Row],[Qty]]))</f>
        <v>450</v>
      </c>
    </row>
    <row r="1818" spans="1:14" x14ac:dyDescent="0.25">
      <c r="A1818" t="s">
        <v>1860</v>
      </c>
      <c r="B1818" s="1">
        <v>46262</v>
      </c>
      <c r="C1818">
        <f>IF(tbl_main[[#This Row],[Date]]="","",YEAR(B1818))</f>
        <v>2026</v>
      </c>
      <c r="D1818" t="str">
        <f>IF(tbl_main[[#This Row],[Date]]="","",TEXT(B1818,"mmm"))</f>
        <v>Aug</v>
      </c>
      <c r="E1818" t="str">
        <f>IF(tbl_main[[#This Row],[Date]]="","",TEXT(B1818,"DDD"))</f>
        <v>Fri</v>
      </c>
      <c r="F1818" t="s">
        <v>30</v>
      </c>
      <c r="G1818" t="s">
        <v>31</v>
      </c>
      <c r="H1818" s="3" t="s">
        <v>22</v>
      </c>
      <c r="I1818" s="3" t="s">
        <v>35</v>
      </c>
      <c r="J1818" s="3" t="s">
        <v>17</v>
      </c>
      <c r="K1818" s="3">
        <f>_xlfn.XLOOKUP(tbl_main[[#This Row],[Service]],tbl_service[Service],tbl_service[Price],"")</f>
        <v>150</v>
      </c>
      <c r="L1818" s="3">
        <v>1</v>
      </c>
      <c r="M1818" s="3">
        <f>IF(AND(tbl_main[[#This Row],[Price]]="",tbl_main[[#This Row],[Qty]]=""),"",tbl_main[[#This Row],[Price]]*tbl_main[[#This Row],[Qty]])</f>
        <v>150</v>
      </c>
      <c r="N1818" s="3">
        <f>_xlfn.LET(_xlpm.x,_xlfn.XLOOKUP(tbl_main[[#This Row],[Service]],tbl_service[Service],tbl_service[Profit],""),
               IF(tbl_main[[#This Row],[Qty]]="","",_xlpm.x*tbl_main[[#This Row],[Qty]]))</f>
        <v>67</v>
      </c>
    </row>
    <row r="1819" spans="1:14" x14ac:dyDescent="0.25">
      <c r="A1819" t="s">
        <v>1861</v>
      </c>
      <c r="B1819" s="1">
        <v>46262</v>
      </c>
      <c r="C1819">
        <f>IF(tbl_main[[#This Row],[Date]]="","",YEAR(B1819))</f>
        <v>2026</v>
      </c>
      <c r="D1819" t="str">
        <f>IF(tbl_main[[#This Row],[Date]]="","",TEXT(B1819,"mmm"))</f>
        <v>Aug</v>
      </c>
      <c r="E1819" t="str">
        <f>IF(tbl_main[[#This Row],[Date]]="","",TEXT(B1819,"DDD"))</f>
        <v>Fri</v>
      </c>
      <c r="F1819" t="s">
        <v>27</v>
      </c>
      <c r="G1819" t="s">
        <v>40</v>
      </c>
      <c r="H1819" s="3" t="s">
        <v>15</v>
      </c>
      <c r="I1819" s="3" t="s">
        <v>23</v>
      </c>
      <c r="J1819" s="3" t="s">
        <v>32</v>
      </c>
      <c r="K1819" s="3">
        <f>_xlfn.XLOOKUP(tbl_main[[#This Row],[Service]],tbl_service[Service],tbl_service[Price],"")</f>
        <v>500</v>
      </c>
      <c r="L1819" s="3">
        <v>2</v>
      </c>
      <c r="M1819" s="3">
        <f>IF(AND(tbl_main[[#This Row],[Price]]="",tbl_main[[#This Row],[Qty]]=""),"",tbl_main[[#This Row],[Price]]*tbl_main[[#This Row],[Qty]])</f>
        <v>1000</v>
      </c>
      <c r="N1819" s="3">
        <f>_xlfn.LET(_xlpm.x,_xlfn.XLOOKUP(tbl_main[[#This Row],[Service]],tbl_service[Service],tbl_service[Profit],""),
               IF(tbl_main[[#This Row],[Qty]]="","",_xlpm.x*tbl_main[[#This Row],[Qty]]))</f>
        <v>450</v>
      </c>
    </row>
    <row r="1820" spans="1:14" x14ac:dyDescent="0.25">
      <c r="A1820" t="s">
        <v>1862</v>
      </c>
      <c r="B1820" s="1">
        <v>46262</v>
      </c>
      <c r="C1820">
        <f>IF(tbl_main[[#This Row],[Date]]="","",YEAR(B1820))</f>
        <v>2026</v>
      </c>
      <c r="D1820" t="str">
        <f>IF(tbl_main[[#This Row],[Date]]="","",TEXT(B1820,"mmm"))</f>
        <v>Aug</v>
      </c>
      <c r="E1820" t="str">
        <f>IF(tbl_main[[#This Row],[Date]]="","",TEXT(B1820,"DDD"))</f>
        <v>Fri</v>
      </c>
      <c r="F1820" t="s">
        <v>27</v>
      </c>
      <c r="G1820" t="s">
        <v>28</v>
      </c>
      <c r="H1820" s="3" t="s">
        <v>22</v>
      </c>
      <c r="I1820" s="3" t="s">
        <v>37</v>
      </c>
      <c r="J1820" s="3" t="s">
        <v>32</v>
      </c>
      <c r="K1820" s="3">
        <f>_xlfn.XLOOKUP(tbl_main[[#This Row],[Service]],tbl_service[Service],tbl_service[Price],"")</f>
        <v>150</v>
      </c>
      <c r="L1820" s="3">
        <v>1</v>
      </c>
      <c r="M1820" s="3">
        <f>IF(AND(tbl_main[[#This Row],[Price]]="",tbl_main[[#This Row],[Qty]]=""),"",tbl_main[[#This Row],[Price]]*tbl_main[[#This Row],[Qty]])</f>
        <v>150</v>
      </c>
      <c r="N1820" s="3">
        <f>_xlfn.LET(_xlpm.x,_xlfn.XLOOKUP(tbl_main[[#This Row],[Service]],tbl_service[Service],tbl_service[Profit],""),
               IF(tbl_main[[#This Row],[Qty]]="","",_xlpm.x*tbl_main[[#This Row],[Qty]]))</f>
        <v>67</v>
      </c>
    </row>
    <row r="1821" spans="1:14" x14ac:dyDescent="0.25">
      <c r="A1821" t="s">
        <v>1863</v>
      </c>
      <c r="B1821" s="1">
        <v>46262</v>
      </c>
      <c r="C1821">
        <f>IF(tbl_main[[#This Row],[Date]]="","",YEAR(B1821))</f>
        <v>2026</v>
      </c>
      <c r="D1821" t="str">
        <f>IF(tbl_main[[#This Row],[Date]]="","",TEXT(B1821,"mmm"))</f>
        <v>Aug</v>
      </c>
      <c r="E1821" t="str">
        <f>IF(tbl_main[[#This Row],[Date]]="","",TEXT(B1821,"DDD"))</f>
        <v>Fri</v>
      </c>
      <c r="F1821" t="s">
        <v>30</v>
      </c>
      <c r="G1821" t="s">
        <v>31</v>
      </c>
      <c r="H1821" s="3" t="s">
        <v>34</v>
      </c>
      <c r="I1821" s="3" t="s">
        <v>38</v>
      </c>
      <c r="J1821" s="3" t="s">
        <v>25</v>
      </c>
      <c r="K1821" s="3">
        <f>_xlfn.XLOOKUP(tbl_main[[#This Row],[Service]],tbl_service[Service],tbl_service[Price],"")</f>
        <v>100</v>
      </c>
      <c r="L1821" s="3">
        <v>2</v>
      </c>
      <c r="M1821" s="3">
        <f>IF(AND(tbl_main[[#This Row],[Price]]="",tbl_main[[#This Row],[Qty]]=""),"",tbl_main[[#This Row],[Price]]*tbl_main[[#This Row],[Qty]])</f>
        <v>200</v>
      </c>
      <c r="N1821" s="3">
        <f>_xlfn.LET(_xlpm.x,_xlfn.XLOOKUP(tbl_main[[#This Row],[Service]],tbl_service[Service],tbl_service[Profit],""),
               IF(tbl_main[[#This Row],[Qty]]="","",_xlpm.x*tbl_main[[#This Row],[Qty]]))</f>
        <v>90</v>
      </c>
    </row>
    <row r="1822" spans="1:14" x14ac:dyDescent="0.25">
      <c r="A1822" t="s">
        <v>1864</v>
      </c>
      <c r="B1822" s="1">
        <v>46263</v>
      </c>
      <c r="C1822">
        <f>IF(tbl_main[[#This Row],[Date]]="","",YEAR(B1822))</f>
        <v>2026</v>
      </c>
      <c r="D1822" t="str">
        <f>IF(tbl_main[[#This Row],[Date]]="","",TEXT(B1822,"mmm"))</f>
        <v>Aug</v>
      </c>
      <c r="E1822" t="str">
        <f>IF(tbl_main[[#This Row],[Date]]="","",TEXT(B1822,"DDD"))</f>
        <v>Sat</v>
      </c>
      <c r="F1822" t="s">
        <v>13</v>
      </c>
      <c r="G1822" t="s">
        <v>33</v>
      </c>
      <c r="H1822" s="3" t="s">
        <v>26</v>
      </c>
      <c r="I1822" s="3" t="s">
        <v>16</v>
      </c>
      <c r="J1822" s="3" t="s">
        <v>17</v>
      </c>
      <c r="K1822" s="3">
        <f>_xlfn.XLOOKUP(tbl_main[[#This Row],[Service]],tbl_service[Service],tbl_service[Price],"")</f>
        <v>200</v>
      </c>
      <c r="L1822" s="3">
        <v>2</v>
      </c>
      <c r="M1822" s="3">
        <f>IF(AND(tbl_main[[#This Row],[Price]]="",tbl_main[[#This Row],[Qty]]=""),"",tbl_main[[#This Row],[Price]]*tbl_main[[#This Row],[Qty]])</f>
        <v>400</v>
      </c>
      <c r="N1822" s="3">
        <f>_xlfn.LET(_xlpm.x,_xlfn.XLOOKUP(tbl_main[[#This Row],[Service]],tbl_service[Service],tbl_service[Profit],""),
               IF(tbl_main[[#This Row],[Qty]]="","",_xlpm.x*tbl_main[[#This Row],[Qty]]))</f>
        <v>180</v>
      </c>
    </row>
    <row r="1823" spans="1:14" x14ac:dyDescent="0.25">
      <c r="A1823" t="s">
        <v>1865</v>
      </c>
      <c r="B1823" s="1">
        <v>46263</v>
      </c>
      <c r="C1823">
        <f>IF(tbl_main[[#This Row],[Date]]="","",YEAR(B1823))</f>
        <v>2026</v>
      </c>
      <c r="D1823" t="str">
        <f>IF(tbl_main[[#This Row],[Date]]="","",TEXT(B1823,"mmm"))</f>
        <v>Aug</v>
      </c>
      <c r="E1823" t="str">
        <f>IF(tbl_main[[#This Row],[Date]]="","",TEXT(B1823,"DDD"))</f>
        <v>Sat</v>
      </c>
      <c r="F1823" t="s">
        <v>30</v>
      </c>
      <c r="G1823" t="s">
        <v>31</v>
      </c>
      <c r="H1823" s="3" t="s">
        <v>24</v>
      </c>
      <c r="I1823" s="3" t="s">
        <v>19</v>
      </c>
      <c r="J1823" s="3" t="s">
        <v>32</v>
      </c>
      <c r="K1823" s="3">
        <f>_xlfn.XLOOKUP(tbl_main[[#This Row],[Service]],tbl_service[Service],tbl_service[Price],"")</f>
        <v>80</v>
      </c>
      <c r="L1823" s="3">
        <v>2</v>
      </c>
      <c r="M1823" s="3">
        <f>IF(AND(tbl_main[[#This Row],[Price]]="",tbl_main[[#This Row],[Qty]]=""),"",tbl_main[[#This Row],[Price]]*tbl_main[[#This Row],[Qty]])</f>
        <v>160</v>
      </c>
      <c r="N1823" s="3">
        <f>_xlfn.LET(_xlpm.x,_xlfn.XLOOKUP(tbl_main[[#This Row],[Service]],tbl_service[Service],tbl_service[Profit],""),
               IF(tbl_main[[#This Row],[Qty]]="","",_xlpm.x*tbl_main[[#This Row],[Qty]]))</f>
        <v>72</v>
      </c>
    </row>
    <row r="1824" spans="1:14" x14ac:dyDescent="0.25">
      <c r="A1824" t="s">
        <v>1866</v>
      </c>
      <c r="B1824" s="1">
        <v>46264</v>
      </c>
      <c r="C1824">
        <f>IF(tbl_main[[#This Row],[Date]]="","",YEAR(B1824))</f>
        <v>2026</v>
      </c>
      <c r="D1824" t="str">
        <f>IF(tbl_main[[#This Row],[Date]]="","",TEXT(B1824,"mmm"))</f>
        <v>Aug</v>
      </c>
      <c r="E1824" t="str">
        <f>IF(tbl_main[[#This Row],[Date]]="","",TEXT(B1824,"DDD"))</f>
        <v>Sun</v>
      </c>
      <c r="F1824" t="s">
        <v>27</v>
      </c>
      <c r="G1824" t="s">
        <v>40</v>
      </c>
      <c r="H1824" s="3" t="s">
        <v>26</v>
      </c>
      <c r="I1824" s="3" t="s">
        <v>43</v>
      </c>
      <c r="J1824" s="3" t="s">
        <v>25</v>
      </c>
      <c r="K1824" s="3">
        <f>_xlfn.XLOOKUP(tbl_main[[#This Row],[Service]],tbl_service[Service],tbl_service[Price],"")</f>
        <v>200</v>
      </c>
      <c r="L1824" s="3">
        <v>1</v>
      </c>
      <c r="M1824" s="3">
        <f>IF(AND(tbl_main[[#This Row],[Price]]="",tbl_main[[#This Row],[Qty]]=""),"",tbl_main[[#This Row],[Price]]*tbl_main[[#This Row],[Qty]])</f>
        <v>200</v>
      </c>
      <c r="N1824" s="3">
        <f>_xlfn.LET(_xlpm.x,_xlfn.XLOOKUP(tbl_main[[#This Row],[Service]],tbl_service[Service],tbl_service[Profit],""),
               IF(tbl_main[[#This Row],[Qty]]="","",_xlpm.x*tbl_main[[#This Row],[Qty]]))</f>
        <v>90</v>
      </c>
    </row>
    <row r="1825" spans="1:14" x14ac:dyDescent="0.25">
      <c r="A1825" t="s">
        <v>1867</v>
      </c>
      <c r="B1825" s="1">
        <v>46264</v>
      </c>
      <c r="C1825">
        <f>IF(tbl_main[[#This Row],[Date]]="","",YEAR(B1825))</f>
        <v>2026</v>
      </c>
      <c r="D1825" t="str">
        <f>IF(tbl_main[[#This Row],[Date]]="","",TEXT(B1825,"mmm"))</f>
        <v>Aug</v>
      </c>
      <c r="E1825" t="str">
        <f>IF(tbl_main[[#This Row],[Date]]="","",TEXT(B1825,"DDD"))</f>
        <v>Sun</v>
      </c>
      <c r="F1825" t="s">
        <v>13</v>
      </c>
      <c r="G1825" t="s">
        <v>14</v>
      </c>
      <c r="H1825" s="3" t="s">
        <v>34</v>
      </c>
      <c r="I1825" s="3" t="s">
        <v>42</v>
      </c>
      <c r="J1825" s="3" t="s">
        <v>32</v>
      </c>
      <c r="K1825" s="3">
        <f>_xlfn.XLOOKUP(tbl_main[[#This Row],[Service]],tbl_service[Service],tbl_service[Price],"")</f>
        <v>100</v>
      </c>
      <c r="L1825" s="3">
        <v>1</v>
      </c>
      <c r="M1825" s="3">
        <f>IF(AND(tbl_main[[#This Row],[Price]]="",tbl_main[[#This Row],[Qty]]=""),"",tbl_main[[#This Row],[Price]]*tbl_main[[#This Row],[Qty]])</f>
        <v>100</v>
      </c>
      <c r="N1825" s="3">
        <f>_xlfn.LET(_xlpm.x,_xlfn.XLOOKUP(tbl_main[[#This Row],[Service]],tbl_service[Service],tbl_service[Profit],""),
               IF(tbl_main[[#This Row],[Qty]]="","",_xlpm.x*tbl_main[[#This Row],[Qty]]))</f>
        <v>45</v>
      </c>
    </row>
    <row r="1826" spans="1:14" x14ac:dyDescent="0.25">
      <c r="A1826" t="s">
        <v>1868</v>
      </c>
      <c r="B1826" s="1">
        <v>46264</v>
      </c>
      <c r="C1826">
        <f>IF(tbl_main[[#This Row],[Date]]="","",YEAR(B1826))</f>
        <v>2026</v>
      </c>
      <c r="D1826" t="str">
        <f>IF(tbl_main[[#This Row],[Date]]="","",TEXT(B1826,"mmm"))</f>
        <v>Aug</v>
      </c>
      <c r="E1826" t="str">
        <f>IF(tbl_main[[#This Row],[Date]]="","",TEXT(B1826,"DDD"))</f>
        <v>Sun</v>
      </c>
      <c r="F1826" t="s">
        <v>20</v>
      </c>
      <c r="G1826" t="s">
        <v>21</v>
      </c>
      <c r="H1826" s="3" t="s">
        <v>26</v>
      </c>
      <c r="I1826" s="3" t="s">
        <v>41</v>
      </c>
      <c r="J1826" s="3" t="s">
        <v>25</v>
      </c>
      <c r="K1826" s="3">
        <f>_xlfn.XLOOKUP(tbl_main[[#This Row],[Service]],tbl_service[Service],tbl_service[Price],"")</f>
        <v>200</v>
      </c>
      <c r="L1826" s="3">
        <v>1</v>
      </c>
      <c r="M1826" s="3">
        <f>IF(AND(tbl_main[[#This Row],[Price]]="",tbl_main[[#This Row],[Qty]]=""),"",tbl_main[[#This Row],[Price]]*tbl_main[[#This Row],[Qty]])</f>
        <v>200</v>
      </c>
      <c r="N1826" s="3">
        <f>_xlfn.LET(_xlpm.x,_xlfn.XLOOKUP(tbl_main[[#This Row],[Service]],tbl_service[Service],tbl_service[Profit],""),
               IF(tbl_main[[#This Row],[Qty]]="","",_xlpm.x*tbl_main[[#This Row],[Qty]]))</f>
        <v>90</v>
      </c>
    </row>
    <row r="1827" spans="1:14" x14ac:dyDescent="0.25">
      <c r="A1827" t="s">
        <v>1869</v>
      </c>
      <c r="B1827" s="1">
        <v>46264</v>
      </c>
      <c r="C1827">
        <f>IF(tbl_main[[#This Row],[Date]]="","",YEAR(B1827))</f>
        <v>2026</v>
      </c>
      <c r="D1827" t="str">
        <f>IF(tbl_main[[#This Row],[Date]]="","",TEXT(B1827,"mmm"))</f>
        <v>Aug</v>
      </c>
      <c r="E1827" t="str">
        <f>IF(tbl_main[[#This Row],[Date]]="","",TEXT(B1827,"DDD"))</f>
        <v>Sun</v>
      </c>
      <c r="F1827" t="s">
        <v>30</v>
      </c>
      <c r="G1827" t="s">
        <v>31</v>
      </c>
      <c r="H1827" s="3" t="s">
        <v>24</v>
      </c>
      <c r="I1827" s="3" t="s">
        <v>35</v>
      </c>
      <c r="J1827" s="3" t="s">
        <v>32</v>
      </c>
      <c r="K1827" s="3">
        <f>_xlfn.XLOOKUP(tbl_main[[#This Row],[Service]],tbl_service[Service],tbl_service[Price],"")</f>
        <v>80</v>
      </c>
      <c r="L1827" s="3">
        <v>1</v>
      </c>
      <c r="M1827" s="3">
        <f>IF(AND(tbl_main[[#This Row],[Price]]="",tbl_main[[#This Row],[Qty]]=""),"",tbl_main[[#This Row],[Price]]*tbl_main[[#This Row],[Qty]])</f>
        <v>80</v>
      </c>
      <c r="N1827" s="3">
        <f>_xlfn.LET(_xlpm.x,_xlfn.XLOOKUP(tbl_main[[#This Row],[Service]],tbl_service[Service],tbl_service[Profit],""),
               IF(tbl_main[[#This Row],[Qty]]="","",_xlpm.x*tbl_main[[#This Row],[Qty]]))</f>
        <v>36</v>
      </c>
    </row>
    <row r="1828" spans="1:14" x14ac:dyDescent="0.25">
      <c r="A1828" t="s">
        <v>1870</v>
      </c>
      <c r="B1828" s="1">
        <v>46265</v>
      </c>
      <c r="C1828">
        <f>IF(tbl_main[[#This Row],[Date]]="","",YEAR(B1828))</f>
        <v>2026</v>
      </c>
      <c r="D1828" t="str">
        <f>IF(tbl_main[[#This Row],[Date]]="","",TEXT(B1828,"mmm"))</f>
        <v>Aug</v>
      </c>
      <c r="E1828" t="str">
        <f>IF(tbl_main[[#This Row],[Date]]="","",TEXT(B1828,"DDD"))</f>
        <v>Mon</v>
      </c>
      <c r="F1828" t="s">
        <v>27</v>
      </c>
      <c r="G1828" t="s">
        <v>28</v>
      </c>
      <c r="H1828" s="3" t="s">
        <v>18</v>
      </c>
      <c r="I1828" s="3" t="s">
        <v>35</v>
      </c>
      <c r="J1828" s="3" t="s">
        <v>25</v>
      </c>
      <c r="K1828" s="3">
        <f>_xlfn.XLOOKUP(tbl_main[[#This Row],[Service]],tbl_service[Service],tbl_service[Price],"")</f>
        <v>500</v>
      </c>
      <c r="L1828" s="3">
        <v>1</v>
      </c>
      <c r="M1828" s="3">
        <f>IF(AND(tbl_main[[#This Row],[Price]]="",tbl_main[[#This Row],[Qty]]=""),"",tbl_main[[#This Row],[Price]]*tbl_main[[#This Row],[Qty]])</f>
        <v>500</v>
      </c>
      <c r="N1828" s="3">
        <f>_xlfn.LET(_xlpm.x,_xlfn.XLOOKUP(tbl_main[[#This Row],[Service]],tbl_service[Service],tbl_service[Profit],""),
               IF(tbl_main[[#This Row],[Qty]]="","",_xlpm.x*tbl_main[[#This Row],[Qty]]))</f>
        <v>157</v>
      </c>
    </row>
    <row r="1829" spans="1:14" x14ac:dyDescent="0.25">
      <c r="A1829" t="s">
        <v>1871</v>
      </c>
      <c r="B1829" s="1">
        <v>46265</v>
      </c>
      <c r="C1829">
        <f>IF(tbl_main[[#This Row],[Date]]="","",YEAR(B1829))</f>
        <v>2026</v>
      </c>
      <c r="D1829" t="str">
        <f>IF(tbl_main[[#This Row],[Date]]="","",TEXT(B1829,"mmm"))</f>
        <v>Aug</v>
      </c>
      <c r="E1829" t="str">
        <f>IF(tbl_main[[#This Row],[Date]]="","",TEXT(B1829,"DDD"))</f>
        <v>Mon</v>
      </c>
      <c r="F1829" t="s">
        <v>20</v>
      </c>
      <c r="G1829" t="s">
        <v>29</v>
      </c>
      <c r="H1829" s="3" t="s">
        <v>24</v>
      </c>
      <c r="I1829" s="3" t="s">
        <v>23</v>
      </c>
      <c r="J1829" s="3" t="s">
        <v>32</v>
      </c>
      <c r="K1829" s="3">
        <f>_xlfn.XLOOKUP(tbl_main[[#This Row],[Service]],tbl_service[Service],tbl_service[Price],"")</f>
        <v>80</v>
      </c>
      <c r="L1829" s="3">
        <v>2</v>
      </c>
      <c r="M1829" s="3">
        <f>IF(AND(tbl_main[[#This Row],[Price]]="",tbl_main[[#This Row],[Qty]]=""),"",tbl_main[[#This Row],[Price]]*tbl_main[[#This Row],[Qty]])</f>
        <v>160</v>
      </c>
      <c r="N1829" s="3">
        <f>_xlfn.LET(_xlpm.x,_xlfn.XLOOKUP(tbl_main[[#This Row],[Service]],tbl_service[Service],tbl_service[Profit],""),
               IF(tbl_main[[#This Row],[Qty]]="","",_xlpm.x*tbl_main[[#This Row],[Qty]]))</f>
        <v>72</v>
      </c>
    </row>
    <row r="1830" spans="1:14" x14ac:dyDescent="0.25">
      <c r="A1830" t="s">
        <v>1872</v>
      </c>
      <c r="B1830" s="1">
        <v>46266</v>
      </c>
      <c r="C1830">
        <f>IF(tbl_main[[#This Row],[Date]]="","",YEAR(B1830))</f>
        <v>2026</v>
      </c>
      <c r="D1830" t="str">
        <f>IF(tbl_main[[#This Row],[Date]]="","",TEXT(B1830,"mmm"))</f>
        <v>Sep</v>
      </c>
      <c r="E1830" t="str">
        <f>IF(tbl_main[[#This Row],[Date]]="","",TEXT(B1830,"DDD"))</f>
        <v>Tue</v>
      </c>
      <c r="F1830" t="s">
        <v>20</v>
      </c>
      <c r="G1830" t="s">
        <v>29</v>
      </c>
      <c r="H1830" s="3" t="s">
        <v>24</v>
      </c>
      <c r="I1830" s="3" t="s">
        <v>37</v>
      </c>
      <c r="J1830" s="3" t="s">
        <v>32</v>
      </c>
      <c r="K1830" s="3">
        <f>_xlfn.XLOOKUP(tbl_main[[#This Row],[Service]],tbl_service[Service],tbl_service[Price],"")</f>
        <v>80</v>
      </c>
      <c r="L1830" s="3">
        <v>1</v>
      </c>
      <c r="M1830" s="3">
        <f>IF(AND(tbl_main[[#This Row],[Price]]="",tbl_main[[#This Row],[Qty]]=""),"",tbl_main[[#This Row],[Price]]*tbl_main[[#This Row],[Qty]])</f>
        <v>80</v>
      </c>
      <c r="N1830" s="3">
        <f>_xlfn.LET(_xlpm.x,_xlfn.XLOOKUP(tbl_main[[#This Row],[Service]],tbl_service[Service],tbl_service[Profit],""),
               IF(tbl_main[[#This Row],[Qty]]="","",_xlpm.x*tbl_main[[#This Row],[Qty]]))</f>
        <v>36</v>
      </c>
    </row>
    <row r="1831" spans="1:14" x14ac:dyDescent="0.25">
      <c r="A1831" t="s">
        <v>1873</v>
      </c>
      <c r="B1831" s="1">
        <v>46266</v>
      </c>
      <c r="C1831">
        <f>IF(tbl_main[[#This Row],[Date]]="","",YEAR(B1831))</f>
        <v>2026</v>
      </c>
      <c r="D1831" t="str">
        <f>IF(tbl_main[[#This Row],[Date]]="","",TEXT(B1831,"mmm"))</f>
        <v>Sep</v>
      </c>
      <c r="E1831" t="str">
        <f>IF(tbl_main[[#This Row],[Date]]="","",TEXT(B1831,"DDD"))</f>
        <v>Tue</v>
      </c>
      <c r="F1831" t="s">
        <v>20</v>
      </c>
      <c r="G1831" t="s">
        <v>21</v>
      </c>
      <c r="H1831" s="3" t="s">
        <v>24</v>
      </c>
      <c r="I1831" s="3" t="s">
        <v>38</v>
      </c>
      <c r="J1831" s="3" t="s">
        <v>32</v>
      </c>
      <c r="K1831" s="3">
        <f>_xlfn.XLOOKUP(tbl_main[[#This Row],[Service]],tbl_service[Service],tbl_service[Price],"")</f>
        <v>80</v>
      </c>
      <c r="L1831" s="3">
        <v>2</v>
      </c>
      <c r="M1831" s="3">
        <f>IF(AND(tbl_main[[#This Row],[Price]]="",tbl_main[[#This Row],[Qty]]=""),"",tbl_main[[#This Row],[Price]]*tbl_main[[#This Row],[Qty]])</f>
        <v>160</v>
      </c>
      <c r="N1831" s="3">
        <f>_xlfn.LET(_xlpm.x,_xlfn.XLOOKUP(tbl_main[[#This Row],[Service]],tbl_service[Service],tbl_service[Profit],""),
               IF(tbl_main[[#This Row],[Qty]]="","",_xlpm.x*tbl_main[[#This Row],[Qty]]))</f>
        <v>72</v>
      </c>
    </row>
    <row r="1832" spans="1:14" x14ac:dyDescent="0.25">
      <c r="A1832" t="s">
        <v>1874</v>
      </c>
      <c r="B1832" s="1">
        <v>46267</v>
      </c>
      <c r="C1832">
        <f>IF(tbl_main[[#This Row],[Date]]="","",YEAR(B1832))</f>
        <v>2026</v>
      </c>
      <c r="D1832" t="str">
        <f>IF(tbl_main[[#This Row],[Date]]="","",TEXT(B1832,"mmm"))</f>
        <v>Sep</v>
      </c>
      <c r="E1832" t="str">
        <f>IF(tbl_main[[#This Row],[Date]]="","",TEXT(B1832,"DDD"))</f>
        <v>Wed</v>
      </c>
      <c r="F1832" t="s">
        <v>30</v>
      </c>
      <c r="G1832" t="s">
        <v>31</v>
      </c>
      <c r="H1832" s="3" t="s">
        <v>22</v>
      </c>
      <c r="I1832" s="3" t="s">
        <v>16</v>
      </c>
      <c r="J1832" s="3" t="s">
        <v>17</v>
      </c>
      <c r="K1832" s="3">
        <f>_xlfn.XLOOKUP(tbl_main[[#This Row],[Service]],tbl_service[Service],tbl_service[Price],"")</f>
        <v>150</v>
      </c>
      <c r="L1832" s="3">
        <v>2</v>
      </c>
      <c r="M1832" s="3">
        <f>IF(AND(tbl_main[[#This Row],[Price]]="",tbl_main[[#This Row],[Qty]]=""),"",tbl_main[[#This Row],[Price]]*tbl_main[[#This Row],[Qty]])</f>
        <v>300</v>
      </c>
      <c r="N1832" s="3">
        <f>_xlfn.LET(_xlpm.x,_xlfn.XLOOKUP(tbl_main[[#This Row],[Service]],tbl_service[Service],tbl_service[Profit],""),
               IF(tbl_main[[#This Row],[Qty]]="","",_xlpm.x*tbl_main[[#This Row],[Qty]]))</f>
        <v>134</v>
      </c>
    </row>
    <row r="1833" spans="1:14" x14ac:dyDescent="0.25">
      <c r="A1833" t="s">
        <v>1875</v>
      </c>
      <c r="B1833" s="1">
        <v>46267</v>
      </c>
      <c r="C1833">
        <f>IF(tbl_main[[#This Row],[Date]]="","",YEAR(B1833))</f>
        <v>2026</v>
      </c>
      <c r="D1833" t="str">
        <f>IF(tbl_main[[#This Row],[Date]]="","",TEXT(B1833,"mmm"))</f>
        <v>Sep</v>
      </c>
      <c r="E1833" t="str">
        <f>IF(tbl_main[[#This Row],[Date]]="","",TEXT(B1833,"DDD"))</f>
        <v>Wed</v>
      </c>
      <c r="F1833" t="s">
        <v>20</v>
      </c>
      <c r="G1833" t="s">
        <v>21</v>
      </c>
      <c r="H1833" s="3" t="s">
        <v>26</v>
      </c>
      <c r="I1833" s="3" t="s">
        <v>19</v>
      </c>
      <c r="J1833" s="3" t="s">
        <v>32</v>
      </c>
      <c r="K1833" s="3">
        <f>_xlfn.XLOOKUP(tbl_main[[#This Row],[Service]],tbl_service[Service],tbl_service[Price],"")</f>
        <v>200</v>
      </c>
      <c r="L1833" s="3">
        <v>1</v>
      </c>
      <c r="M1833" s="3">
        <f>IF(AND(tbl_main[[#This Row],[Price]]="",tbl_main[[#This Row],[Qty]]=""),"",tbl_main[[#This Row],[Price]]*tbl_main[[#This Row],[Qty]])</f>
        <v>200</v>
      </c>
      <c r="N1833" s="3">
        <f>_xlfn.LET(_xlpm.x,_xlfn.XLOOKUP(tbl_main[[#This Row],[Service]],tbl_service[Service],tbl_service[Profit],""),
               IF(tbl_main[[#This Row],[Qty]]="","",_xlpm.x*tbl_main[[#This Row],[Qty]]))</f>
        <v>90</v>
      </c>
    </row>
    <row r="1834" spans="1:14" x14ac:dyDescent="0.25">
      <c r="A1834" t="s">
        <v>1876</v>
      </c>
      <c r="B1834" s="1">
        <v>46267</v>
      </c>
      <c r="C1834">
        <f>IF(tbl_main[[#This Row],[Date]]="","",YEAR(B1834))</f>
        <v>2026</v>
      </c>
      <c r="D1834" t="str">
        <f>IF(tbl_main[[#This Row],[Date]]="","",TEXT(B1834,"mmm"))</f>
        <v>Sep</v>
      </c>
      <c r="E1834" t="str">
        <f>IF(tbl_main[[#This Row],[Date]]="","",TEXT(B1834,"DDD"))</f>
        <v>Wed</v>
      </c>
      <c r="F1834" t="s">
        <v>13</v>
      </c>
      <c r="G1834" t="s">
        <v>14</v>
      </c>
      <c r="H1834" s="3" t="s">
        <v>24</v>
      </c>
      <c r="I1834" s="3" t="s">
        <v>43</v>
      </c>
      <c r="J1834" s="3" t="s">
        <v>17</v>
      </c>
      <c r="K1834" s="3">
        <f>_xlfn.XLOOKUP(tbl_main[[#This Row],[Service]],tbl_service[Service],tbl_service[Price],"")</f>
        <v>80</v>
      </c>
      <c r="L1834" s="3">
        <v>2</v>
      </c>
      <c r="M1834" s="3">
        <f>IF(AND(tbl_main[[#This Row],[Price]]="",tbl_main[[#This Row],[Qty]]=""),"",tbl_main[[#This Row],[Price]]*tbl_main[[#This Row],[Qty]])</f>
        <v>160</v>
      </c>
      <c r="N1834" s="3">
        <f>_xlfn.LET(_xlpm.x,_xlfn.XLOOKUP(tbl_main[[#This Row],[Service]],tbl_service[Service],tbl_service[Profit],""),
               IF(tbl_main[[#This Row],[Qty]]="","",_xlpm.x*tbl_main[[#This Row],[Qty]]))</f>
        <v>72</v>
      </c>
    </row>
    <row r="1835" spans="1:14" x14ac:dyDescent="0.25">
      <c r="A1835" t="s">
        <v>1877</v>
      </c>
      <c r="B1835" s="1">
        <v>46267</v>
      </c>
      <c r="C1835">
        <f>IF(tbl_main[[#This Row],[Date]]="","",YEAR(B1835))</f>
        <v>2026</v>
      </c>
      <c r="D1835" t="str">
        <f>IF(tbl_main[[#This Row],[Date]]="","",TEXT(B1835,"mmm"))</f>
        <v>Sep</v>
      </c>
      <c r="E1835" t="str">
        <f>IF(tbl_main[[#This Row],[Date]]="","",TEXT(B1835,"DDD"))</f>
        <v>Wed</v>
      </c>
      <c r="F1835" t="s">
        <v>30</v>
      </c>
      <c r="G1835" t="s">
        <v>31</v>
      </c>
      <c r="H1835" s="3" t="s">
        <v>26</v>
      </c>
      <c r="I1835" s="3" t="s">
        <v>42</v>
      </c>
      <c r="J1835" s="3" t="s">
        <v>32</v>
      </c>
      <c r="K1835" s="3">
        <f>_xlfn.XLOOKUP(tbl_main[[#This Row],[Service]],tbl_service[Service],tbl_service[Price],"")</f>
        <v>200</v>
      </c>
      <c r="L1835" s="3">
        <v>2</v>
      </c>
      <c r="M1835" s="3">
        <f>IF(AND(tbl_main[[#This Row],[Price]]="",tbl_main[[#This Row],[Qty]]=""),"",tbl_main[[#This Row],[Price]]*tbl_main[[#This Row],[Qty]])</f>
        <v>400</v>
      </c>
      <c r="N1835" s="3">
        <f>_xlfn.LET(_xlpm.x,_xlfn.XLOOKUP(tbl_main[[#This Row],[Service]],tbl_service[Service],tbl_service[Profit],""),
               IF(tbl_main[[#This Row],[Qty]]="","",_xlpm.x*tbl_main[[#This Row],[Qty]]))</f>
        <v>180</v>
      </c>
    </row>
    <row r="1836" spans="1:14" x14ac:dyDescent="0.25">
      <c r="A1836" t="s">
        <v>1878</v>
      </c>
      <c r="B1836" s="1">
        <v>46268</v>
      </c>
      <c r="C1836">
        <f>IF(tbl_main[[#This Row],[Date]]="","",YEAR(B1836))</f>
        <v>2026</v>
      </c>
      <c r="D1836" t="str">
        <f>IF(tbl_main[[#This Row],[Date]]="","",TEXT(B1836,"mmm"))</f>
        <v>Sep</v>
      </c>
      <c r="E1836" t="str">
        <f>IF(tbl_main[[#This Row],[Date]]="","",TEXT(B1836,"DDD"))</f>
        <v>Thu</v>
      </c>
      <c r="F1836" t="s">
        <v>13</v>
      </c>
      <c r="G1836" t="s">
        <v>14</v>
      </c>
      <c r="H1836" s="3" t="s">
        <v>18</v>
      </c>
      <c r="I1836" s="3" t="s">
        <v>41</v>
      </c>
      <c r="J1836" s="3" t="s">
        <v>32</v>
      </c>
      <c r="K1836" s="3">
        <f>_xlfn.XLOOKUP(tbl_main[[#This Row],[Service]],tbl_service[Service],tbl_service[Price],"")</f>
        <v>500</v>
      </c>
      <c r="L1836" s="3">
        <v>1</v>
      </c>
      <c r="M1836" s="3">
        <f>IF(AND(tbl_main[[#This Row],[Price]]="",tbl_main[[#This Row],[Qty]]=""),"",tbl_main[[#This Row],[Price]]*tbl_main[[#This Row],[Qty]])</f>
        <v>500</v>
      </c>
      <c r="N1836" s="3">
        <f>_xlfn.LET(_xlpm.x,_xlfn.XLOOKUP(tbl_main[[#This Row],[Service]],tbl_service[Service],tbl_service[Profit],""),
               IF(tbl_main[[#This Row],[Qty]]="","",_xlpm.x*tbl_main[[#This Row],[Qty]]))</f>
        <v>157</v>
      </c>
    </row>
    <row r="1837" spans="1:14" x14ac:dyDescent="0.25">
      <c r="A1837" t="s">
        <v>1879</v>
      </c>
      <c r="B1837" s="1">
        <v>46268</v>
      </c>
      <c r="C1837">
        <f>IF(tbl_main[[#This Row],[Date]]="","",YEAR(B1837))</f>
        <v>2026</v>
      </c>
      <c r="D1837" t="str">
        <f>IF(tbl_main[[#This Row],[Date]]="","",TEXT(B1837,"mmm"))</f>
        <v>Sep</v>
      </c>
      <c r="E1837" t="str">
        <f>IF(tbl_main[[#This Row],[Date]]="","",TEXT(B1837,"DDD"))</f>
        <v>Thu</v>
      </c>
      <c r="F1837" t="s">
        <v>30</v>
      </c>
      <c r="G1837" t="s">
        <v>31</v>
      </c>
      <c r="H1837" s="3" t="s">
        <v>26</v>
      </c>
      <c r="I1837" s="3" t="s">
        <v>35</v>
      </c>
      <c r="J1837" s="3" t="s">
        <v>32</v>
      </c>
      <c r="K1837" s="3">
        <f>_xlfn.XLOOKUP(tbl_main[[#This Row],[Service]],tbl_service[Service],tbl_service[Price],"")</f>
        <v>200</v>
      </c>
      <c r="L1837" s="3">
        <v>2</v>
      </c>
      <c r="M1837" s="3">
        <f>IF(AND(tbl_main[[#This Row],[Price]]="",tbl_main[[#This Row],[Qty]]=""),"",tbl_main[[#This Row],[Price]]*tbl_main[[#This Row],[Qty]])</f>
        <v>400</v>
      </c>
      <c r="N1837" s="3">
        <f>_xlfn.LET(_xlpm.x,_xlfn.XLOOKUP(tbl_main[[#This Row],[Service]],tbl_service[Service],tbl_service[Profit],""),
               IF(tbl_main[[#This Row],[Qty]]="","",_xlpm.x*tbl_main[[#This Row],[Qty]]))</f>
        <v>180</v>
      </c>
    </row>
    <row r="1838" spans="1:14" x14ac:dyDescent="0.25">
      <c r="A1838" t="s">
        <v>1880</v>
      </c>
      <c r="B1838" s="1">
        <v>46269</v>
      </c>
      <c r="C1838">
        <f>IF(tbl_main[[#This Row],[Date]]="","",YEAR(B1838))</f>
        <v>2026</v>
      </c>
      <c r="D1838" t="str">
        <f>IF(tbl_main[[#This Row],[Date]]="","",TEXT(B1838,"mmm"))</f>
        <v>Sep</v>
      </c>
      <c r="E1838" t="str">
        <f>IF(tbl_main[[#This Row],[Date]]="","",TEXT(B1838,"DDD"))</f>
        <v>Fri</v>
      </c>
      <c r="F1838" t="s">
        <v>30</v>
      </c>
      <c r="G1838" t="s">
        <v>31</v>
      </c>
      <c r="H1838" s="3" t="s">
        <v>26</v>
      </c>
      <c r="I1838" s="3" t="s">
        <v>35</v>
      </c>
      <c r="J1838" s="3" t="s">
        <v>17</v>
      </c>
      <c r="K1838" s="3">
        <f>_xlfn.XLOOKUP(tbl_main[[#This Row],[Service]],tbl_service[Service],tbl_service[Price],"")</f>
        <v>200</v>
      </c>
      <c r="L1838" s="3">
        <v>1</v>
      </c>
      <c r="M1838" s="3">
        <f>IF(AND(tbl_main[[#This Row],[Price]]="",tbl_main[[#This Row],[Qty]]=""),"",tbl_main[[#This Row],[Price]]*tbl_main[[#This Row],[Qty]])</f>
        <v>200</v>
      </c>
      <c r="N1838" s="3">
        <f>_xlfn.LET(_xlpm.x,_xlfn.XLOOKUP(tbl_main[[#This Row],[Service]],tbl_service[Service],tbl_service[Profit],""),
               IF(tbl_main[[#This Row],[Qty]]="","",_xlpm.x*tbl_main[[#This Row],[Qty]]))</f>
        <v>90</v>
      </c>
    </row>
    <row r="1839" spans="1:14" x14ac:dyDescent="0.25">
      <c r="A1839" t="s">
        <v>1881</v>
      </c>
      <c r="B1839" s="1">
        <v>46269</v>
      </c>
      <c r="C1839">
        <f>IF(tbl_main[[#This Row],[Date]]="","",YEAR(B1839))</f>
        <v>2026</v>
      </c>
      <c r="D1839" t="str">
        <f>IF(tbl_main[[#This Row],[Date]]="","",TEXT(B1839,"mmm"))</f>
        <v>Sep</v>
      </c>
      <c r="E1839" t="str">
        <f>IF(tbl_main[[#This Row],[Date]]="","",TEXT(B1839,"DDD"))</f>
        <v>Fri</v>
      </c>
      <c r="F1839" t="s">
        <v>20</v>
      </c>
      <c r="G1839" t="s">
        <v>39</v>
      </c>
      <c r="H1839" s="3" t="s">
        <v>26</v>
      </c>
      <c r="I1839" s="3" t="s">
        <v>23</v>
      </c>
      <c r="J1839" s="3" t="s">
        <v>32</v>
      </c>
      <c r="K1839" s="3">
        <f>_xlfn.XLOOKUP(tbl_main[[#This Row],[Service]],tbl_service[Service],tbl_service[Price],"")</f>
        <v>200</v>
      </c>
      <c r="L1839" s="3">
        <v>1</v>
      </c>
      <c r="M1839" s="3">
        <f>IF(AND(tbl_main[[#This Row],[Price]]="",tbl_main[[#This Row],[Qty]]=""),"",tbl_main[[#This Row],[Price]]*tbl_main[[#This Row],[Qty]])</f>
        <v>200</v>
      </c>
      <c r="N1839" s="3">
        <f>_xlfn.LET(_xlpm.x,_xlfn.XLOOKUP(tbl_main[[#This Row],[Service]],tbl_service[Service],tbl_service[Profit],""),
               IF(tbl_main[[#This Row],[Qty]]="","",_xlpm.x*tbl_main[[#This Row],[Qty]]))</f>
        <v>90</v>
      </c>
    </row>
    <row r="1840" spans="1:14" x14ac:dyDescent="0.25">
      <c r="A1840" t="s">
        <v>1882</v>
      </c>
      <c r="B1840" s="1">
        <v>46269</v>
      </c>
      <c r="C1840">
        <f>IF(tbl_main[[#This Row],[Date]]="","",YEAR(B1840))</f>
        <v>2026</v>
      </c>
      <c r="D1840" t="str">
        <f>IF(tbl_main[[#This Row],[Date]]="","",TEXT(B1840,"mmm"))</f>
        <v>Sep</v>
      </c>
      <c r="E1840" t="str">
        <f>IF(tbl_main[[#This Row],[Date]]="","",TEXT(B1840,"DDD"))</f>
        <v>Fri</v>
      </c>
      <c r="F1840" t="s">
        <v>30</v>
      </c>
      <c r="G1840" t="s">
        <v>31</v>
      </c>
      <c r="H1840" s="3" t="s">
        <v>24</v>
      </c>
      <c r="I1840" s="3" t="s">
        <v>37</v>
      </c>
      <c r="J1840" s="3" t="s">
        <v>32</v>
      </c>
      <c r="K1840" s="3">
        <f>_xlfn.XLOOKUP(tbl_main[[#This Row],[Service]],tbl_service[Service],tbl_service[Price],"")</f>
        <v>80</v>
      </c>
      <c r="L1840" s="3">
        <v>1</v>
      </c>
      <c r="M1840" s="3">
        <f>IF(AND(tbl_main[[#This Row],[Price]]="",tbl_main[[#This Row],[Qty]]=""),"",tbl_main[[#This Row],[Price]]*tbl_main[[#This Row],[Qty]])</f>
        <v>80</v>
      </c>
      <c r="N1840" s="3">
        <f>_xlfn.LET(_xlpm.x,_xlfn.XLOOKUP(tbl_main[[#This Row],[Service]],tbl_service[Service],tbl_service[Profit],""),
               IF(tbl_main[[#This Row],[Qty]]="","",_xlpm.x*tbl_main[[#This Row],[Qty]]))</f>
        <v>36</v>
      </c>
    </row>
    <row r="1841" spans="1:14" x14ac:dyDescent="0.25">
      <c r="A1841" t="s">
        <v>1883</v>
      </c>
      <c r="B1841" s="1">
        <v>46270</v>
      </c>
      <c r="C1841">
        <f>IF(tbl_main[[#This Row],[Date]]="","",YEAR(B1841))</f>
        <v>2026</v>
      </c>
      <c r="D1841" t="str">
        <f>IF(tbl_main[[#This Row],[Date]]="","",TEXT(B1841,"mmm"))</f>
        <v>Sep</v>
      </c>
      <c r="E1841" t="str">
        <f>IF(tbl_main[[#This Row],[Date]]="","",TEXT(B1841,"DDD"))</f>
        <v>Sat</v>
      </c>
      <c r="F1841" t="s">
        <v>30</v>
      </c>
      <c r="G1841" t="s">
        <v>31</v>
      </c>
      <c r="H1841" s="3" t="s">
        <v>18</v>
      </c>
      <c r="I1841" s="3" t="s">
        <v>38</v>
      </c>
      <c r="J1841" s="3" t="s">
        <v>25</v>
      </c>
      <c r="K1841" s="3">
        <f>_xlfn.XLOOKUP(tbl_main[[#This Row],[Service]],tbl_service[Service],tbl_service[Price],"")</f>
        <v>500</v>
      </c>
      <c r="L1841" s="3">
        <v>1</v>
      </c>
      <c r="M1841" s="3">
        <f>IF(AND(tbl_main[[#This Row],[Price]]="",tbl_main[[#This Row],[Qty]]=""),"",tbl_main[[#This Row],[Price]]*tbl_main[[#This Row],[Qty]])</f>
        <v>500</v>
      </c>
      <c r="N1841" s="3">
        <f>_xlfn.LET(_xlpm.x,_xlfn.XLOOKUP(tbl_main[[#This Row],[Service]],tbl_service[Service],tbl_service[Profit],""),
               IF(tbl_main[[#This Row],[Qty]]="","",_xlpm.x*tbl_main[[#This Row],[Qty]]))</f>
        <v>157</v>
      </c>
    </row>
    <row r="1842" spans="1:14" x14ac:dyDescent="0.25">
      <c r="A1842" t="s">
        <v>1884</v>
      </c>
      <c r="B1842" s="1">
        <v>46270</v>
      </c>
      <c r="C1842">
        <f>IF(tbl_main[[#This Row],[Date]]="","",YEAR(B1842))</f>
        <v>2026</v>
      </c>
      <c r="D1842" t="str">
        <f>IF(tbl_main[[#This Row],[Date]]="","",TEXT(B1842,"mmm"))</f>
        <v>Sep</v>
      </c>
      <c r="E1842" t="str">
        <f>IF(tbl_main[[#This Row],[Date]]="","",TEXT(B1842,"DDD"))</f>
        <v>Sat</v>
      </c>
      <c r="F1842" t="s">
        <v>20</v>
      </c>
      <c r="G1842" t="s">
        <v>21</v>
      </c>
      <c r="H1842" s="3" t="s">
        <v>34</v>
      </c>
      <c r="I1842" s="3" t="s">
        <v>16</v>
      </c>
      <c r="J1842" s="3" t="s">
        <v>32</v>
      </c>
      <c r="K1842" s="3">
        <f>_xlfn.XLOOKUP(tbl_main[[#This Row],[Service]],tbl_service[Service],tbl_service[Price],"")</f>
        <v>100</v>
      </c>
      <c r="L1842" s="3">
        <v>1</v>
      </c>
      <c r="M1842" s="3">
        <f>IF(AND(tbl_main[[#This Row],[Price]]="",tbl_main[[#This Row],[Qty]]=""),"",tbl_main[[#This Row],[Price]]*tbl_main[[#This Row],[Qty]])</f>
        <v>100</v>
      </c>
      <c r="N1842" s="3">
        <f>_xlfn.LET(_xlpm.x,_xlfn.XLOOKUP(tbl_main[[#This Row],[Service]],tbl_service[Service],tbl_service[Profit],""),
               IF(tbl_main[[#This Row],[Qty]]="","",_xlpm.x*tbl_main[[#This Row],[Qty]]))</f>
        <v>45</v>
      </c>
    </row>
    <row r="1843" spans="1:14" x14ac:dyDescent="0.25">
      <c r="A1843" t="s">
        <v>1885</v>
      </c>
      <c r="B1843" s="1">
        <v>46270</v>
      </c>
      <c r="C1843">
        <f>IF(tbl_main[[#This Row],[Date]]="","",YEAR(B1843))</f>
        <v>2026</v>
      </c>
      <c r="D1843" t="str">
        <f>IF(tbl_main[[#This Row],[Date]]="","",TEXT(B1843,"mmm"))</f>
        <v>Sep</v>
      </c>
      <c r="E1843" t="str">
        <f>IF(tbl_main[[#This Row],[Date]]="","",TEXT(B1843,"DDD"))</f>
        <v>Sat</v>
      </c>
      <c r="F1843" t="s">
        <v>30</v>
      </c>
      <c r="G1843" t="s">
        <v>36</v>
      </c>
      <c r="H1843" s="3" t="s">
        <v>22</v>
      </c>
      <c r="I1843" s="3" t="s">
        <v>19</v>
      </c>
      <c r="J1843" s="3" t="s">
        <v>32</v>
      </c>
      <c r="K1843" s="3">
        <f>_xlfn.XLOOKUP(tbl_main[[#This Row],[Service]],tbl_service[Service],tbl_service[Price],"")</f>
        <v>150</v>
      </c>
      <c r="L1843" s="3">
        <v>1</v>
      </c>
      <c r="M1843" s="3">
        <f>IF(AND(tbl_main[[#This Row],[Price]]="",tbl_main[[#This Row],[Qty]]=""),"",tbl_main[[#This Row],[Price]]*tbl_main[[#This Row],[Qty]])</f>
        <v>150</v>
      </c>
      <c r="N1843" s="3">
        <f>_xlfn.LET(_xlpm.x,_xlfn.XLOOKUP(tbl_main[[#This Row],[Service]],tbl_service[Service],tbl_service[Profit],""),
               IF(tbl_main[[#This Row],[Qty]]="","",_xlpm.x*tbl_main[[#This Row],[Qty]]))</f>
        <v>67</v>
      </c>
    </row>
    <row r="1844" spans="1:14" x14ac:dyDescent="0.25">
      <c r="A1844" t="s">
        <v>1886</v>
      </c>
      <c r="B1844" s="1">
        <v>46270</v>
      </c>
      <c r="C1844">
        <f>IF(tbl_main[[#This Row],[Date]]="","",YEAR(B1844))</f>
        <v>2026</v>
      </c>
      <c r="D1844" t="str">
        <f>IF(tbl_main[[#This Row],[Date]]="","",TEXT(B1844,"mmm"))</f>
        <v>Sep</v>
      </c>
      <c r="E1844" t="str">
        <f>IF(tbl_main[[#This Row],[Date]]="","",TEXT(B1844,"DDD"))</f>
        <v>Sat</v>
      </c>
      <c r="F1844" t="s">
        <v>27</v>
      </c>
      <c r="G1844" t="s">
        <v>28</v>
      </c>
      <c r="H1844" s="3" t="s">
        <v>18</v>
      </c>
      <c r="I1844" s="3" t="s">
        <v>43</v>
      </c>
      <c r="J1844" s="3" t="s">
        <v>25</v>
      </c>
      <c r="K1844" s="3">
        <f>_xlfn.XLOOKUP(tbl_main[[#This Row],[Service]],tbl_service[Service],tbl_service[Price],"")</f>
        <v>500</v>
      </c>
      <c r="L1844" s="3">
        <v>1</v>
      </c>
      <c r="M1844" s="3">
        <f>IF(AND(tbl_main[[#This Row],[Price]]="",tbl_main[[#This Row],[Qty]]=""),"",tbl_main[[#This Row],[Price]]*tbl_main[[#This Row],[Qty]])</f>
        <v>500</v>
      </c>
      <c r="N1844" s="3">
        <f>_xlfn.LET(_xlpm.x,_xlfn.XLOOKUP(tbl_main[[#This Row],[Service]],tbl_service[Service],tbl_service[Profit],""),
               IF(tbl_main[[#This Row],[Qty]]="","",_xlpm.x*tbl_main[[#This Row],[Qty]]))</f>
        <v>157</v>
      </c>
    </row>
    <row r="1845" spans="1:14" x14ac:dyDescent="0.25">
      <c r="A1845" t="s">
        <v>1887</v>
      </c>
      <c r="B1845" s="1">
        <v>46271</v>
      </c>
      <c r="C1845">
        <f>IF(tbl_main[[#This Row],[Date]]="","",YEAR(B1845))</f>
        <v>2026</v>
      </c>
      <c r="D1845" t="str">
        <f>IF(tbl_main[[#This Row],[Date]]="","",TEXT(B1845,"mmm"))</f>
        <v>Sep</v>
      </c>
      <c r="E1845" t="str">
        <f>IF(tbl_main[[#This Row],[Date]]="","",TEXT(B1845,"DDD"))</f>
        <v>Sun</v>
      </c>
      <c r="F1845" t="s">
        <v>30</v>
      </c>
      <c r="G1845" t="s">
        <v>31</v>
      </c>
      <c r="H1845" s="3" t="s">
        <v>22</v>
      </c>
      <c r="I1845" s="3" t="s">
        <v>42</v>
      </c>
      <c r="J1845" s="3" t="s">
        <v>32</v>
      </c>
      <c r="K1845" s="3">
        <f>_xlfn.XLOOKUP(tbl_main[[#This Row],[Service]],tbl_service[Service],tbl_service[Price],"")</f>
        <v>150</v>
      </c>
      <c r="L1845" s="3">
        <v>2</v>
      </c>
      <c r="M1845" s="3">
        <f>IF(AND(tbl_main[[#This Row],[Price]]="",tbl_main[[#This Row],[Qty]]=""),"",tbl_main[[#This Row],[Price]]*tbl_main[[#This Row],[Qty]])</f>
        <v>300</v>
      </c>
      <c r="N1845" s="3">
        <f>_xlfn.LET(_xlpm.x,_xlfn.XLOOKUP(tbl_main[[#This Row],[Service]],tbl_service[Service],tbl_service[Profit],""),
               IF(tbl_main[[#This Row],[Qty]]="","",_xlpm.x*tbl_main[[#This Row],[Qty]]))</f>
        <v>134</v>
      </c>
    </row>
    <row r="1846" spans="1:14" x14ac:dyDescent="0.25">
      <c r="A1846" t="s">
        <v>1888</v>
      </c>
      <c r="B1846" s="1">
        <v>46271</v>
      </c>
      <c r="C1846">
        <f>IF(tbl_main[[#This Row],[Date]]="","",YEAR(B1846))</f>
        <v>2026</v>
      </c>
      <c r="D1846" t="str">
        <f>IF(tbl_main[[#This Row],[Date]]="","",TEXT(B1846,"mmm"))</f>
        <v>Sep</v>
      </c>
      <c r="E1846" t="str">
        <f>IF(tbl_main[[#This Row],[Date]]="","",TEXT(B1846,"DDD"))</f>
        <v>Sun</v>
      </c>
      <c r="F1846" t="s">
        <v>20</v>
      </c>
      <c r="G1846" t="s">
        <v>39</v>
      </c>
      <c r="H1846" s="3" t="s">
        <v>22</v>
      </c>
      <c r="I1846" s="3" t="s">
        <v>41</v>
      </c>
      <c r="J1846" s="3" t="s">
        <v>32</v>
      </c>
      <c r="K1846" s="3">
        <f>_xlfn.XLOOKUP(tbl_main[[#This Row],[Service]],tbl_service[Service],tbl_service[Price],"")</f>
        <v>150</v>
      </c>
      <c r="L1846" s="3">
        <v>1</v>
      </c>
      <c r="M1846" s="3">
        <f>IF(AND(tbl_main[[#This Row],[Price]]="",tbl_main[[#This Row],[Qty]]=""),"",tbl_main[[#This Row],[Price]]*tbl_main[[#This Row],[Qty]])</f>
        <v>150</v>
      </c>
      <c r="N1846" s="3">
        <f>_xlfn.LET(_xlpm.x,_xlfn.XLOOKUP(tbl_main[[#This Row],[Service]],tbl_service[Service],tbl_service[Profit],""),
               IF(tbl_main[[#This Row],[Qty]]="","",_xlpm.x*tbl_main[[#This Row],[Qty]]))</f>
        <v>67</v>
      </c>
    </row>
    <row r="1847" spans="1:14" x14ac:dyDescent="0.25">
      <c r="A1847" t="s">
        <v>1889</v>
      </c>
      <c r="B1847" s="1">
        <v>46271</v>
      </c>
      <c r="C1847">
        <f>IF(tbl_main[[#This Row],[Date]]="","",YEAR(B1847))</f>
        <v>2026</v>
      </c>
      <c r="D1847" t="str">
        <f>IF(tbl_main[[#This Row],[Date]]="","",TEXT(B1847,"mmm"))</f>
        <v>Sep</v>
      </c>
      <c r="E1847" t="str">
        <f>IF(tbl_main[[#This Row],[Date]]="","",TEXT(B1847,"DDD"))</f>
        <v>Sun</v>
      </c>
      <c r="F1847" t="s">
        <v>27</v>
      </c>
      <c r="G1847" t="s">
        <v>40</v>
      </c>
      <c r="H1847" s="3" t="s">
        <v>18</v>
      </c>
      <c r="I1847" s="3" t="s">
        <v>35</v>
      </c>
      <c r="J1847" s="3" t="s">
        <v>17</v>
      </c>
      <c r="K1847" s="3">
        <f>_xlfn.XLOOKUP(tbl_main[[#This Row],[Service]],tbl_service[Service],tbl_service[Price],"")</f>
        <v>500</v>
      </c>
      <c r="L1847" s="3">
        <v>2</v>
      </c>
      <c r="M1847" s="3">
        <f>IF(AND(tbl_main[[#This Row],[Price]]="",tbl_main[[#This Row],[Qty]]=""),"",tbl_main[[#This Row],[Price]]*tbl_main[[#This Row],[Qty]])</f>
        <v>1000</v>
      </c>
      <c r="N1847" s="3">
        <f>_xlfn.LET(_xlpm.x,_xlfn.XLOOKUP(tbl_main[[#This Row],[Service]],tbl_service[Service],tbl_service[Profit],""),
               IF(tbl_main[[#This Row],[Qty]]="","",_xlpm.x*tbl_main[[#This Row],[Qty]]))</f>
        <v>314</v>
      </c>
    </row>
    <row r="1848" spans="1:14" x14ac:dyDescent="0.25">
      <c r="A1848" t="s">
        <v>1890</v>
      </c>
      <c r="B1848" s="1">
        <v>46271</v>
      </c>
      <c r="C1848">
        <f>IF(tbl_main[[#This Row],[Date]]="","",YEAR(B1848))</f>
        <v>2026</v>
      </c>
      <c r="D1848" t="str">
        <f>IF(tbl_main[[#This Row],[Date]]="","",TEXT(B1848,"mmm"))</f>
        <v>Sep</v>
      </c>
      <c r="E1848" t="str">
        <f>IF(tbl_main[[#This Row],[Date]]="","",TEXT(B1848,"DDD"))</f>
        <v>Sun</v>
      </c>
      <c r="F1848" t="s">
        <v>13</v>
      </c>
      <c r="G1848" t="s">
        <v>33</v>
      </c>
      <c r="H1848" s="3" t="s">
        <v>18</v>
      </c>
      <c r="I1848" s="3" t="s">
        <v>35</v>
      </c>
      <c r="J1848" s="3" t="s">
        <v>32</v>
      </c>
      <c r="K1848" s="3">
        <f>_xlfn.XLOOKUP(tbl_main[[#This Row],[Service]],tbl_service[Service],tbl_service[Price],"")</f>
        <v>500</v>
      </c>
      <c r="L1848" s="3">
        <v>1</v>
      </c>
      <c r="M1848" s="3">
        <f>IF(AND(tbl_main[[#This Row],[Price]]="",tbl_main[[#This Row],[Qty]]=""),"",tbl_main[[#This Row],[Price]]*tbl_main[[#This Row],[Qty]])</f>
        <v>500</v>
      </c>
      <c r="N1848" s="3">
        <f>_xlfn.LET(_xlpm.x,_xlfn.XLOOKUP(tbl_main[[#This Row],[Service]],tbl_service[Service],tbl_service[Profit],""),
               IF(tbl_main[[#This Row],[Qty]]="","",_xlpm.x*tbl_main[[#This Row],[Qty]]))</f>
        <v>157</v>
      </c>
    </row>
    <row r="1849" spans="1:14" x14ac:dyDescent="0.25">
      <c r="A1849" t="s">
        <v>1891</v>
      </c>
      <c r="B1849" s="1">
        <v>46272</v>
      </c>
      <c r="C1849">
        <f>IF(tbl_main[[#This Row],[Date]]="","",YEAR(B1849))</f>
        <v>2026</v>
      </c>
      <c r="D1849" t="str">
        <f>IF(tbl_main[[#This Row],[Date]]="","",TEXT(B1849,"mmm"))</f>
        <v>Sep</v>
      </c>
      <c r="E1849" t="str">
        <f>IF(tbl_main[[#This Row],[Date]]="","",TEXT(B1849,"DDD"))</f>
        <v>Mon</v>
      </c>
      <c r="F1849" t="s">
        <v>13</v>
      </c>
      <c r="G1849" t="s">
        <v>14</v>
      </c>
      <c r="H1849" s="3" t="s">
        <v>22</v>
      </c>
      <c r="I1849" s="3" t="s">
        <v>23</v>
      </c>
      <c r="J1849" s="3" t="s">
        <v>25</v>
      </c>
      <c r="K1849" s="3">
        <f>_xlfn.XLOOKUP(tbl_main[[#This Row],[Service]],tbl_service[Service],tbl_service[Price],"")</f>
        <v>150</v>
      </c>
      <c r="L1849" s="3">
        <v>2</v>
      </c>
      <c r="M1849" s="3">
        <f>IF(AND(tbl_main[[#This Row],[Price]]="",tbl_main[[#This Row],[Qty]]=""),"",tbl_main[[#This Row],[Price]]*tbl_main[[#This Row],[Qty]])</f>
        <v>300</v>
      </c>
      <c r="N1849" s="3">
        <f>_xlfn.LET(_xlpm.x,_xlfn.XLOOKUP(tbl_main[[#This Row],[Service]],tbl_service[Service],tbl_service[Profit],""),
               IF(tbl_main[[#This Row],[Qty]]="","",_xlpm.x*tbl_main[[#This Row],[Qty]]))</f>
        <v>134</v>
      </c>
    </row>
    <row r="1850" spans="1:14" x14ac:dyDescent="0.25">
      <c r="A1850" t="s">
        <v>1892</v>
      </c>
      <c r="B1850" s="1">
        <v>46272</v>
      </c>
      <c r="C1850">
        <f>IF(tbl_main[[#This Row],[Date]]="","",YEAR(B1850))</f>
        <v>2026</v>
      </c>
      <c r="D1850" t="str">
        <f>IF(tbl_main[[#This Row],[Date]]="","",TEXT(B1850,"mmm"))</f>
        <v>Sep</v>
      </c>
      <c r="E1850" t="str">
        <f>IF(tbl_main[[#This Row],[Date]]="","",TEXT(B1850,"DDD"))</f>
        <v>Mon</v>
      </c>
      <c r="F1850" t="s">
        <v>13</v>
      </c>
      <c r="G1850" t="s">
        <v>14</v>
      </c>
      <c r="H1850" s="3" t="s">
        <v>24</v>
      </c>
      <c r="I1850" s="3" t="s">
        <v>37</v>
      </c>
      <c r="J1850" s="3" t="s">
        <v>32</v>
      </c>
      <c r="K1850" s="3">
        <f>_xlfn.XLOOKUP(tbl_main[[#This Row],[Service]],tbl_service[Service],tbl_service[Price],"")</f>
        <v>80</v>
      </c>
      <c r="L1850" s="3">
        <v>2</v>
      </c>
      <c r="M1850" s="3">
        <f>IF(AND(tbl_main[[#This Row],[Price]]="",tbl_main[[#This Row],[Qty]]=""),"",tbl_main[[#This Row],[Price]]*tbl_main[[#This Row],[Qty]])</f>
        <v>160</v>
      </c>
      <c r="N1850" s="3">
        <f>_xlfn.LET(_xlpm.x,_xlfn.XLOOKUP(tbl_main[[#This Row],[Service]],tbl_service[Service],tbl_service[Profit],""),
               IF(tbl_main[[#This Row],[Qty]]="","",_xlpm.x*tbl_main[[#This Row],[Qty]]))</f>
        <v>72</v>
      </c>
    </row>
    <row r="1851" spans="1:14" x14ac:dyDescent="0.25">
      <c r="A1851" t="s">
        <v>1893</v>
      </c>
      <c r="B1851" s="1">
        <v>46272</v>
      </c>
      <c r="C1851">
        <f>IF(tbl_main[[#This Row],[Date]]="","",YEAR(B1851))</f>
        <v>2026</v>
      </c>
      <c r="D1851" t="str">
        <f>IF(tbl_main[[#This Row],[Date]]="","",TEXT(B1851,"mmm"))</f>
        <v>Sep</v>
      </c>
      <c r="E1851" t="str">
        <f>IF(tbl_main[[#This Row],[Date]]="","",TEXT(B1851,"DDD"))</f>
        <v>Mon</v>
      </c>
      <c r="F1851" t="s">
        <v>30</v>
      </c>
      <c r="G1851" t="s">
        <v>36</v>
      </c>
      <c r="H1851" s="3" t="s">
        <v>22</v>
      </c>
      <c r="I1851" s="3" t="s">
        <v>38</v>
      </c>
      <c r="J1851" s="3" t="s">
        <v>32</v>
      </c>
      <c r="K1851" s="3">
        <f>_xlfn.XLOOKUP(tbl_main[[#This Row],[Service]],tbl_service[Service],tbl_service[Price],"")</f>
        <v>150</v>
      </c>
      <c r="L1851" s="3">
        <v>2</v>
      </c>
      <c r="M1851" s="3">
        <f>IF(AND(tbl_main[[#This Row],[Price]]="",tbl_main[[#This Row],[Qty]]=""),"",tbl_main[[#This Row],[Price]]*tbl_main[[#This Row],[Qty]])</f>
        <v>300</v>
      </c>
      <c r="N1851" s="3">
        <f>_xlfn.LET(_xlpm.x,_xlfn.XLOOKUP(tbl_main[[#This Row],[Service]],tbl_service[Service],tbl_service[Profit],""),
               IF(tbl_main[[#This Row],[Qty]]="","",_xlpm.x*tbl_main[[#This Row],[Qty]]))</f>
        <v>134</v>
      </c>
    </row>
    <row r="1852" spans="1:14" x14ac:dyDescent="0.25">
      <c r="A1852" t="s">
        <v>1894</v>
      </c>
      <c r="B1852" s="1">
        <v>46273</v>
      </c>
      <c r="C1852">
        <f>IF(tbl_main[[#This Row],[Date]]="","",YEAR(B1852))</f>
        <v>2026</v>
      </c>
      <c r="D1852" t="str">
        <f>IF(tbl_main[[#This Row],[Date]]="","",TEXT(B1852,"mmm"))</f>
        <v>Sep</v>
      </c>
      <c r="E1852" t="str">
        <f>IF(tbl_main[[#This Row],[Date]]="","",TEXT(B1852,"DDD"))</f>
        <v>Tue</v>
      </c>
      <c r="F1852" t="s">
        <v>20</v>
      </c>
      <c r="G1852" t="s">
        <v>39</v>
      </c>
      <c r="H1852" s="3" t="s">
        <v>34</v>
      </c>
      <c r="I1852" s="3" t="s">
        <v>16</v>
      </c>
      <c r="J1852" s="3" t="s">
        <v>25</v>
      </c>
      <c r="K1852" s="3">
        <f>_xlfn.XLOOKUP(tbl_main[[#This Row],[Service]],tbl_service[Service],tbl_service[Price],"")</f>
        <v>100</v>
      </c>
      <c r="L1852" s="3">
        <v>1</v>
      </c>
      <c r="M1852" s="3">
        <f>IF(AND(tbl_main[[#This Row],[Price]]="",tbl_main[[#This Row],[Qty]]=""),"",tbl_main[[#This Row],[Price]]*tbl_main[[#This Row],[Qty]])</f>
        <v>100</v>
      </c>
      <c r="N1852" s="3">
        <f>_xlfn.LET(_xlpm.x,_xlfn.XLOOKUP(tbl_main[[#This Row],[Service]],tbl_service[Service],tbl_service[Profit],""),
               IF(tbl_main[[#This Row],[Qty]]="","",_xlpm.x*tbl_main[[#This Row],[Qty]]))</f>
        <v>45</v>
      </c>
    </row>
    <row r="1853" spans="1:14" x14ac:dyDescent="0.25">
      <c r="A1853" t="s">
        <v>1895</v>
      </c>
      <c r="B1853" s="1">
        <v>46273</v>
      </c>
      <c r="C1853">
        <f>IF(tbl_main[[#This Row],[Date]]="","",YEAR(B1853))</f>
        <v>2026</v>
      </c>
      <c r="D1853" t="str">
        <f>IF(tbl_main[[#This Row],[Date]]="","",TEXT(B1853,"mmm"))</f>
        <v>Sep</v>
      </c>
      <c r="E1853" t="str">
        <f>IF(tbl_main[[#This Row],[Date]]="","",TEXT(B1853,"DDD"))</f>
        <v>Tue</v>
      </c>
      <c r="F1853" t="s">
        <v>27</v>
      </c>
      <c r="G1853" t="s">
        <v>28</v>
      </c>
      <c r="H1853" s="3" t="s">
        <v>24</v>
      </c>
      <c r="I1853" s="3" t="s">
        <v>19</v>
      </c>
      <c r="J1853" s="3" t="s">
        <v>25</v>
      </c>
      <c r="K1853" s="3">
        <f>_xlfn.XLOOKUP(tbl_main[[#This Row],[Service]],tbl_service[Service],tbl_service[Price],"")</f>
        <v>80</v>
      </c>
      <c r="L1853" s="3">
        <v>1</v>
      </c>
      <c r="M1853" s="3">
        <f>IF(AND(tbl_main[[#This Row],[Price]]="",tbl_main[[#This Row],[Qty]]=""),"",tbl_main[[#This Row],[Price]]*tbl_main[[#This Row],[Qty]])</f>
        <v>80</v>
      </c>
      <c r="N1853" s="3">
        <f>_xlfn.LET(_xlpm.x,_xlfn.XLOOKUP(tbl_main[[#This Row],[Service]],tbl_service[Service],tbl_service[Profit],""),
               IF(tbl_main[[#This Row],[Qty]]="","",_xlpm.x*tbl_main[[#This Row],[Qty]]))</f>
        <v>36</v>
      </c>
    </row>
    <row r="1854" spans="1:14" x14ac:dyDescent="0.25">
      <c r="A1854" t="s">
        <v>1896</v>
      </c>
      <c r="B1854" s="1">
        <v>46273</v>
      </c>
      <c r="C1854">
        <f>IF(tbl_main[[#This Row],[Date]]="","",YEAR(B1854))</f>
        <v>2026</v>
      </c>
      <c r="D1854" t="str">
        <f>IF(tbl_main[[#This Row],[Date]]="","",TEXT(B1854,"mmm"))</f>
        <v>Sep</v>
      </c>
      <c r="E1854" t="str">
        <f>IF(tbl_main[[#This Row],[Date]]="","",TEXT(B1854,"DDD"))</f>
        <v>Tue</v>
      </c>
      <c r="F1854" t="s">
        <v>27</v>
      </c>
      <c r="G1854" t="s">
        <v>28</v>
      </c>
      <c r="H1854" s="3" t="s">
        <v>26</v>
      </c>
      <c r="I1854" s="3" t="s">
        <v>43</v>
      </c>
      <c r="J1854" s="3" t="s">
        <v>32</v>
      </c>
      <c r="K1854" s="3">
        <f>_xlfn.XLOOKUP(tbl_main[[#This Row],[Service]],tbl_service[Service],tbl_service[Price],"")</f>
        <v>200</v>
      </c>
      <c r="L1854" s="3">
        <v>2</v>
      </c>
      <c r="M1854" s="3">
        <f>IF(AND(tbl_main[[#This Row],[Price]]="",tbl_main[[#This Row],[Qty]]=""),"",tbl_main[[#This Row],[Price]]*tbl_main[[#This Row],[Qty]])</f>
        <v>400</v>
      </c>
      <c r="N1854" s="3">
        <f>_xlfn.LET(_xlpm.x,_xlfn.XLOOKUP(tbl_main[[#This Row],[Service]],tbl_service[Service],tbl_service[Profit],""),
               IF(tbl_main[[#This Row],[Qty]]="","",_xlpm.x*tbl_main[[#This Row],[Qty]]))</f>
        <v>180</v>
      </c>
    </row>
    <row r="1855" spans="1:14" x14ac:dyDescent="0.25">
      <c r="A1855" t="s">
        <v>1897</v>
      </c>
      <c r="B1855" s="1">
        <v>46274</v>
      </c>
      <c r="C1855">
        <f>IF(tbl_main[[#This Row],[Date]]="","",YEAR(B1855))</f>
        <v>2026</v>
      </c>
      <c r="D1855" t="str">
        <f>IF(tbl_main[[#This Row],[Date]]="","",TEXT(B1855,"mmm"))</f>
        <v>Sep</v>
      </c>
      <c r="E1855" t="str">
        <f>IF(tbl_main[[#This Row],[Date]]="","",TEXT(B1855,"DDD"))</f>
        <v>Wed</v>
      </c>
      <c r="F1855" t="s">
        <v>13</v>
      </c>
      <c r="G1855" t="s">
        <v>33</v>
      </c>
      <c r="H1855" s="3" t="s">
        <v>15</v>
      </c>
      <c r="I1855" s="3" t="s">
        <v>42</v>
      </c>
      <c r="J1855" s="3" t="s">
        <v>17</v>
      </c>
      <c r="K1855" s="3">
        <f>_xlfn.XLOOKUP(tbl_main[[#This Row],[Service]],tbl_service[Service],tbl_service[Price],"")</f>
        <v>500</v>
      </c>
      <c r="L1855" s="3">
        <v>2</v>
      </c>
      <c r="M1855" s="3">
        <f>IF(AND(tbl_main[[#This Row],[Price]]="",tbl_main[[#This Row],[Qty]]=""),"",tbl_main[[#This Row],[Price]]*tbl_main[[#This Row],[Qty]])</f>
        <v>1000</v>
      </c>
      <c r="N1855" s="3">
        <f>_xlfn.LET(_xlpm.x,_xlfn.XLOOKUP(tbl_main[[#This Row],[Service]],tbl_service[Service],tbl_service[Profit],""),
               IF(tbl_main[[#This Row],[Qty]]="","",_xlpm.x*tbl_main[[#This Row],[Qty]]))</f>
        <v>450</v>
      </c>
    </row>
    <row r="1856" spans="1:14" x14ac:dyDescent="0.25">
      <c r="A1856" t="s">
        <v>1898</v>
      </c>
      <c r="B1856" s="1">
        <v>46274</v>
      </c>
      <c r="C1856">
        <f>IF(tbl_main[[#This Row],[Date]]="","",YEAR(B1856))</f>
        <v>2026</v>
      </c>
      <c r="D1856" t="str">
        <f>IF(tbl_main[[#This Row],[Date]]="","",TEXT(B1856,"mmm"))</f>
        <v>Sep</v>
      </c>
      <c r="E1856" t="str">
        <f>IF(tbl_main[[#This Row],[Date]]="","",TEXT(B1856,"DDD"))</f>
        <v>Wed</v>
      </c>
      <c r="F1856" t="s">
        <v>27</v>
      </c>
      <c r="G1856" t="s">
        <v>40</v>
      </c>
      <c r="H1856" s="3" t="s">
        <v>24</v>
      </c>
      <c r="I1856" s="3" t="s">
        <v>41</v>
      </c>
      <c r="J1856" s="3" t="s">
        <v>32</v>
      </c>
      <c r="K1856" s="3">
        <f>_xlfn.XLOOKUP(tbl_main[[#This Row],[Service]],tbl_service[Service],tbl_service[Price],"")</f>
        <v>80</v>
      </c>
      <c r="L1856" s="3">
        <v>2</v>
      </c>
      <c r="M1856" s="3">
        <f>IF(AND(tbl_main[[#This Row],[Price]]="",tbl_main[[#This Row],[Qty]]=""),"",tbl_main[[#This Row],[Price]]*tbl_main[[#This Row],[Qty]])</f>
        <v>160</v>
      </c>
      <c r="N1856" s="3">
        <f>_xlfn.LET(_xlpm.x,_xlfn.XLOOKUP(tbl_main[[#This Row],[Service]],tbl_service[Service],tbl_service[Profit],""),
               IF(tbl_main[[#This Row],[Qty]]="","",_xlpm.x*tbl_main[[#This Row],[Qty]]))</f>
        <v>72</v>
      </c>
    </row>
    <row r="1857" spans="1:14" x14ac:dyDescent="0.25">
      <c r="A1857" t="s">
        <v>1899</v>
      </c>
      <c r="B1857" s="1">
        <v>46274</v>
      </c>
      <c r="C1857">
        <f>IF(tbl_main[[#This Row],[Date]]="","",YEAR(B1857))</f>
        <v>2026</v>
      </c>
      <c r="D1857" t="str">
        <f>IF(tbl_main[[#This Row],[Date]]="","",TEXT(B1857,"mmm"))</f>
        <v>Sep</v>
      </c>
      <c r="E1857" t="str">
        <f>IF(tbl_main[[#This Row],[Date]]="","",TEXT(B1857,"DDD"))</f>
        <v>Wed</v>
      </c>
      <c r="F1857" t="s">
        <v>27</v>
      </c>
      <c r="G1857" t="s">
        <v>28</v>
      </c>
      <c r="H1857" s="3" t="s">
        <v>26</v>
      </c>
      <c r="I1857" s="3" t="s">
        <v>35</v>
      </c>
      <c r="J1857" s="3" t="s">
        <v>17</v>
      </c>
      <c r="K1857" s="3">
        <f>_xlfn.XLOOKUP(tbl_main[[#This Row],[Service]],tbl_service[Service],tbl_service[Price],"")</f>
        <v>200</v>
      </c>
      <c r="L1857" s="3">
        <v>1</v>
      </c>
      <c r="M1857" s="3">
        <f>IF(AND(tbl_main[[#This Row],[Price]]="",tbl_main[[#This Row],[Qty]]=""),"",tbl_main[[#This Row],[Price]]*tbl_main[[#This Row],[Qty]])</f>
        <v>200</v>
      </c>
      <c r="N1857" s="3">
        <f>_xlfn.LET(_xlpm.x,_xlfn.XLOOKUP(tbl_main[[#This Row],[Service]],tbl_service[Service],tbl_service[Profit],""),
               IF(tbl_main[[#This Row],[Qty]]="","",_xlpm.x*tbl_main[[#This Row],[Qty]]))</f>
        <v>90</v>
      </c>
    </row>
    <row r="1858" spans="1:14" x14ac:dyDescent="0.25">
      <c r="A1858" t="s">
        <v>1900</v>
      </c>
      <c r="B1858" s="1">
        <v>46275</v>
      </c>
      <c r="C1858">
        <f>IF(tbl_main[[#This Row],[Date]]="","",YEAR(B1858))</f>
        <v>2026</v>
      </c>
      <c r="D1858" t="str">
        <f>IF(tbl_main[[#This Row],[Date]]="","",TEXT(B1858,"mmm"))</f>
        <v>Sep</v>
      </c>
      <c r="E1858" t="str">
        <f>IF(tbl_main[[#This Row],[Date]]="","",TEXT(B1858,"DDD"))</f>
        <v>Thu</v>
      </c>
      <c r="F1858" t="s">
        <v>27</v>
      </c>
      <c r="G1858" t="s">
        <v>28</v>
      </c>
      <c r="H1858" s="3" t="s">
        <v>24</v>
      </c>
      <c r="I1858" s="3" t="s">
        <v>35</v>
      </c>
      <c r="J1858" s="3" t="s">
        <v>32</v>
      </c>
      <c r="K1858" s="3">
        <f>_xlfn.XLOOKUP(tbl_main[[#This Row],[Service]],tbl_service[Service],tbl_service[Price],"")</f>
        <v>80</v>
      </c>
      <c r="L1858" s="3">
        <v>2</v>
      </c>
      <c r="M1858" s="3">
        <f>IF(AND(tbl_main[[#This Row],[Price]]="",tbl_main[[#This Row],[Qty]]=""),"",tbl_main[[#This Row],[Price]]*tbl_main[[#This Row],[Qty]])</f>
        <v>160</v>
      </c>
      <c r="N1858" s="3">
        <f>_xlfn.LET(_xlpm.x,_xlfn.XLOOKUP(tbl_main[[#This Row],[Service]],tbl_service[Service],tbl_service[Profit],""),
               IF(tbl_main[[#This Row],[Qty]]="","",_xlpm.x*tbl_main[[#This Row],[Qty]]))</f>
        <v>72</v>
      </c>
    </row>
    <row r="1859" spans="1:14" x14ac:dyDescent="0.25">
      <c r="A1859" t="s">
        <v>1901</v>
      </c>
      <c r="B1859" s="1">
        <v>46275</v>
      </c>
      <c r="C1859">
        <f>IF(tbl_main[[#This Row],[Date]]="","",YEAR(B1859))</f>
        <v>2026</v>
      </c>
      <c r="D1859" t="str">
        <f>IF(tbl_main[[#This Row],[Date]]="","",TEXT(B1859,"mmm"))</f>
        <v>Sep</v>
      </c>
      <c r="E1859" t="str">
        <f>IF(tbl_main[[#This Row],[Date]]="","",TEXT(B1859,"DDD"))</f>
        <v>Thu</v>
      </c>
      <c r="F1859" t="s">
        <v>27</v>
      </c>
      <c r="G1859" t="s">
        <v>40</v>
      </c>
      <c r="H1859" s="3" t="s">
        <v>26</v>
      </c>
      <c r="I1859" s="3" t="s">
        <v>23</v>
      </c>
      <c r="J1859" s="3" t="s">
        <v>17</v>
      </c>
      <c r="K1859" s="3">
        <f>_xlfn.XLOOKUP(tbl_main[[#This Row],[Service]],tbl_service[Service],tbl_service[Price],"")</f>
        <v>200</v>
      </c>
      <c r="L1859" s="3">
        <v>2</v>
      </c>
      <c r="M1859" s="3">
        <f>IF(AND(tbl_main[[#This Row],[Price]]="",tbl_main[[#This Row],[Qty]]=""),"",tbl_main[[#This Row],[Price]]*tbl_main[[#This Row],[Qty]])</f>
        <v>400</v>
      </c>
      <c r="N1859" s="3">
        <f>_xlfn.LET(_xlpm.x,_xlfn.XLOOKUP(tbl_main[[#This Row],[Service]],tbl_service[Service],tbl_service[Profit],""),
               IF(tbl_main[[#This Row],[Qty]]="","",_xlpm.x*tbl_main[[#This Row],[Qty]]))</f>
        <v>180</v>
      </c>
    </row>
    <row r="1860" spans="1:14" x14ac:dyDescent="0.25">
      <c r="A1860" t="s">
        <v>1902</v>
      </c>
      <c r="B1860" s="1">
        <v>46276</v>
      </c>
      <c r="C1860">
        <f>IF(tbl_main[[#This Row],[Date]]="","",YEAR(B1860))</f>
        <v>2026</v>
      </c>
      <c r="D1860" t="str">
        <f>IF(tbl_main[[#This Row],[Date]]="","",TEXT(B1860,"mmm"))</f>
        <v>Sep</v>
      </c>
      <c r="E1860" t="str">
        <f>IF(tbl_main[[#This Row],[Date]]="","",TEXT(B1860,"DDD"))</f>
        <v>Fri</v>
      </c>
      <c r="F1860" t="s">
        <v>27</v>
      </c>
      <c r="G1860" t="s">
        <v>40</v>
      </c>
      <c r="H1860" s="3" t="s">
        <v>22</v>
      </c>
      <c r="I1860" s="3" t="s">
        <v>37</v>
      </c>
      <c r="J1860" s="3" t="s">
        <v>25</v>
      </c>
      <c r="K1860" s="3">
        <f>_xlfn.XLOOKUP(tbl_main[[#This Row],[Service]],tbl_service[Service],tbl_service[Price],"")</f>
        <v>150</v>
      </c>
      <c r="L1860" s="3">
        <v>1</v>
      </c>
      <c r="M1860" s="3">
        <f>IF(AND(tbl_main[[#This Row],[Price]]="",tbl_main[[#This Row],[Qty]]=""),"",tbl_main[[#This Row],[Price]]*tbl_main[[#This Row],[Qty]])</f>
        <v>150</v>
      </c>
      <c r="N1860" s="3">
        <f>_xlfn.LET(_xlpm.x,_xlfn.XLOOKUP(tbl_main[[#This Row],[Service]],tbl_service[Service],tbl_service[Profit],""),
               IF(tbl_main[[#This Row],[Qty]]="","",_xlpm.x*tbl_main[[#This Row],[Qty]]))</f>
        <v>67</v>
      </c>
    </row>
    <row r="1861" spans="1:14" x14ac:dyDescent="0.25">
      <c r="A1861" t="s">
        <v>1903</v>
      </c>
      <c r="B1861" s="1">
        <v>46276</v>
      </c>
      <c r="C1861">
        <f>IF(tbl_main[[#This Row],[Date]]="","",YEAR(B1861))</f>
        <v>2026</v>
      </c>
      <c r="D1861" t="str">
        <f>IF(tbl_main[[#This Row],[Date]]="","",TEXT(B1861,"mmm"))</f>
        <v>Sep</v>
      </c>
      <c r="E1861" t="str">
        <f>IF(tbl_main[[#This Row],[Date]]="","",TEXT(B1861,"DDD"))</f>
        <v>Fri</v>
      </c>
      <c r="F1861" t="s">
        <v>13</v>
      </c>
      <c r="G1861" t="s">
        <v>14</v>
      </c>
      <c r="H1861" s="3" t="s">
        <v>34</v>
      </c>
      <c r="I1861" s="3" t="s">
        <v>38</v>
      </c>
      <c r="J1861" s="3" t="s">
        <v>32</v>
      </c>
      <c r="K1861" s="3">
        <f>_xlfn.XLOOKUP(tbl_main[[#This Row],[Service]],tbl_service[Service],tbl_service[Price],"")</f>
        <v>100</v>
      </c>
      <c r="L1861" s="3">
        <v>2</v>
      </c>
      <c r="M1861" s="3">
        <f>IF(AND(tbl_main[[#This Row],[Price]]="",tbl_main[[#This Row],[Qty]]=""),"",tbl_main[[#This Row],[Price]]*tbl_main[[#This Row],[Qty]])</f>
        <v>200</v>
      </c>
      <c r="N1861" s="3">
        <f>_xlfn.LET(_xlpm.x,_xlfn.XLOOKUP(tbl_main[[#This Row],[Service]],tbl_service[Service],tbl_service[Profit],""),
               IF(tbl_main[[#This Row],[Qty]]="","",_xlpm.x*tbl_main[[#This Row],[Qty]]))</f>
        <v>90</v>
      </c>
    </row>
    <row r="1862" spans="1:14" x14ac:dyDescent="0.25">
      <c r="A1862" t="s">
        <v>1904</v>
      </c>
      <c r="B1862" s="1">
        <v>46277</v>
      </c>
      <c r="C1862">
        <f>IF(tbl_main[[#This Row],[Date]]="","",YEAR(B1862))</f>
        <v>2026</v>
      </c>
      <c r="D1862" t="str">
        <f>IF(tbl_main[[#This Row],[Date]]="","",TEXT(B1862,"mmm"))</f>
        <v>Sep</v>
      </c>
      <c r="E1862" t="str">
        <f>IF(tbl_main[[#This Row],[Date]]="","",TEXT(B1862,"DDD"))</f>
        <v>Sat</v>
      </c>
      <c r="F1862" t="s">
        <v>20</v>
      </c>
      <c r="G1862" t="s">
        <v>39</v>
      </c>
      <c r="H1862" s="3" t="s">
        <v>18</v>
      </c>
      <c r="I1862" s="3" t="s">
        <v>16</v>
      </c>
      <c r="J1862" s="3" t="s">
        <v>32</v>
      </c>
      <c r="K1862" s="3">
        <f>_xlfn.XLOOKUP(tbl_main[[#This Row],[Service]],tbl_service[Service],tbl_service[Price],"")</f>
        <v>500</v>
      </c>
      <c r="L1862" s="3">
        <v>1</v>
      </c>
      <c r="M1862" s="3">
        <f>IF(AND(tbl_main[[#This Row],[Price]]="",tbl_main[[#This Row],[Qty]]=""),"",tbl_main[[#This Row],[Price]]*tbl_main[[#This Row],[Qty]])</f>
        <v>500</v>
      </c>
      <c r="N1862" s="3">
        <f>_xlfn.LET(_xlpm.x,_xlfn.XLOOKUP(tbl_main[[#This Row],[Service]],tbl_service[Service],tbl_service[Profit],""),
               IF(tbl_main[[#This Row],[Qty]]="","",_xlpm.x*tbl_main[[#This Row],[Qty]]))</f>
        <v>157</v>
      </c>
    </row>
    <row r="1863" spans="1:14" x14ac:dyDescent="0.25">
      <c r="A1863" t="s">
        <v>1905</v>
      </c>
      <c r="B1863" s="1">
        <v>46277</v>
      </c>
      <c r="C1863">
        <f>IF(tbl_main[[#This Row],[Date]]="","",YEAR(B1863))</f>
        <v>2026</v>
      </c>
      <c r="D1863" t="str">
        <f>IF(tbl_main[[#This Row],[Date]]="","",TEXT(B1863,"mmm"))</f>
        <v>Sep</v>
      </c>
      <c r="E1863" t="str">
        <f>IF(tbl_main[[#This Row],[Date]]="","",TEXT(B1863,"DDD"))</f>
        <v>Sat</v>
      </c>
      <c r="F1863" t="s">
        <v>30</v>
      </c>
      <c r="G1863" t="s">
        <v>36</v>
      </c>
      <c r="H1863" s="3" t="s">
        <v>34</v>
      </c>
      <c r="I1863" s="3" t="s">
        <v>19</v>
      </c>
      <c r="J1863" s="3" t="s">
        <v>32</v>
      </c>
      <c r="K1863" s="3">
        <f>_xlfn.XLOOKUP(tbl_main[[#This Row],[Service]],tbl_service[Service],tbl_service[Price],"")</f>
        <v>100</v>
      </c>
      <c r="L1863" s="3">
        <v>1</v>
      </c>
      <c r="M1863" s="3">
        <f>IF(AND(tbl_main[[#This Row],[Price]]="",tbl_main[[#This Row],[Qty]]=""),"",tbl_main[[#This Row],[Price]]*tbl_main[[#This Row],[Qty]])</f>
        <v>100</v>
      </c>
      <c r="N1863" s="3">
        <f>_xlfn.LET(_xlpm.x,_xlfn.XLOOKUP(tbl_main[[#This Row],[Service]],tbl_service[Service],tbl_service[Profit],""),
               IF(tbl_main[[#This Row],[Qty]]="","",_xlpm.x*tbl_main[[#This Row],[Qty]]))</f>
        <v>45</v>
      </c>
    </row>
    <row r="1864" spans="1:14" x14ac:dyDescent="0.25">
      <c r="A1864" t="s">
        <v>1906</v>
      </c>
      <c r="B1864" s="1">
        <v>46278</v>
      </c>
      <c r="C1864">
        <f>IF(tbl_main[[#This Row],[Date]]="","",YEAR(B1864))</f>
        <v>2026</v>
      </c>
      <c r="D1864" t="str">
        <f>IF(tbl_main[[#This Row],[Date]]="","",TEXT(B1864,"mmm"))</f>
        <v>Sep</v>
      </c>
      <c r="E1864" t="str">
        <f>IF(tbl_main[[#This Row],[Date]]="","",TEXT(B1864,"DDD"))</f>
        <v>Sun</v>
      </c>
      <c r="F1864" t="s">
        <v>13</v>
      </c>
      <c r="G1864" t="s">
        <v>14</v>
      </c>
      <c r="H1864" s="3" t="s">
        <v>18</v>
      </c>
      <c r="I1864" s="3" t="s">
        <v>43</v>
      </c>
      <c r="J1864" s="3" t="s">
        <v>17</v>
      </c>
      <c r="K1864" s="3">
        <f>_xlfn.XLOOKUP(tbl_main[[#This Row],[Service]],tbl_service[Service],tbl_service[Price],"")</f>
        <v>500</v>
      </c>
      <c r="L1864" s="3">
        <v>2</v>
      </c>
      <c r="M1864" s="3">
        <f>IF(AND(tbl_main[[#This Row],[Price]]="",tbl_main[[#This Row],[Qty]]=""),"",tbl_main[[#This Row],[Price]]*tbl_main[[#This Row],[Qty]])</f>
        <v>1000</v>
      </c>
      <c r="N1864" s="3">
        <f>_xlfn.LET(_xlpm.x,_xlfn.XLOOKUP(tbl_main[[#This Row],[Service]],tbl_service[Service],tbl_service[Profit],""),
               IF(tbl_main[[#This Row],[Qty]]="","",_xlpm.x*tbl_main[[#This Row],[Qty]]))</f>
        <v>314</v>
      </c>
    </row>
    <row r="1865" spans="1:14" x14ac:dyDescent="0.25">
      <c r="A1865" t="s">
        <v>1907</v>
      </c>
      <c r="B1865" s="1">
        <v>46278</v>
      </c>
      <c r="C1865">
        <f>IF(tbl_main[[#This Row],[Date]]="","",YEAR(B1865))</f>
        <v>2026</v>
      </c>
      <c r="D1865" t="str">
        <f>IF(tbl_main[[#This Row],[Date]]="","",TEXT(B1865,"mmm"))</f>
        <v>Sep</v>
      </c>
      <c r="E1865" t="str">
        <f>IF(tbl_main[[#This Row],[Date]]="","",TEXT(B1865,"DDD"))</f>
        <v>Sun</v>
      </c>
      <c r="F1865" t="s">
        <v>13</v>
      </c>
      <c r="G1865" t="s">
        <v>33</v>
      </c>
      <c r="H1865" s="3" t="s">
        <v>26</v>
      </c>
      <c r="I1865" s="3" t="s">
        <v>42</v>
      </c>
      <c r="J1865" s="3" t="s">
        <v>17</v>
      </c>
      <c r="K1865" s="3">
        <f>_xlfn.XLOOKUP(tbl_main[[#This Row],[Service]],tbl_service[Service],tbl_service[Price],"")</f>
        <v>200</v>
      </c>
      <c r="L1865" s="3">
        <v>2</v>
      </c>
      <c r="M1865" s="3">
        <f>IF(AND(tbl_main[[#This Row],[Price]]="",tbl_main[[#This Row],[Qty]]=""),"",tbl_main[[#This Row],[Price]]*tbl_main[[#This Row],[Qty]])</f>
        <v>400</v>
      </c>
      <c r="N1865" s="3">
        <f>_xlfn.LET(_xlpm.x,_xlfn.XLOOKUP(tbl_main[[#This Row],[Service]],tbl_service[Service],tbl_service[Profit],""),
               IF(tbl_main[[#This Row],[Qty]]="","",_xlpm.x*tbl_main[[#This Row],[Qty]]))</f>
        <v>180</v>
      </c>
    </row>
    <row r="1866" spans="1:14" x14ac:dyDescent="0.25">
      <c r="A1866" t="s">
        <v>1908</v>
      </c>
      <c r="B1866" s="1">
        <v>46278</v>
      </c>
      <c r="C1866">
        <f>IF(tbl_main[[#This Row],[Date]]="","",YEAR(B1866))</f>
        <v>2026</v>
      </c>
      <c r="D1866" t="str">
        <f>IF(tbl_main[[#This Row],[Date]]="","",TEXT(B1866,"mmm"))</f>
        <v>Sep</v>
      </c>
      <c r="E1866" t="str">
        <f>IF(tbl_main[[#This Row],[Date]]="","",TEXT(B1866,"DDD"))</f>
        <v>Sun</v>
      </c>
      <c r="F1866" t="s">
        <v>13</v>
      </c>
      <c r="G1866" t="s">
        <v>33</v>
      </c>
      <c r="H1866" s="3" t="s">
        <v>34</v>
      </c>
      <c r="I1866" s="3" t="s">
        <v>41</v>
      </c>
      <c r="J1866" s="3" t="s">
        <v>17</v>
      </c>
      <c r="K1866" s="3">
        <f>_xlfn.XLOOKUP(tbl_main[[#This Row],[Service]],tbl_service[Service],tbl_service[Price],"")</f>
        <v>100</v>
      </c>
      <c r="L1866" s="3">
        <v>1</v>
      </c>
      <c r="M1866" s="3">
        <f>IF(AND(tbl_main[[#This Row],[Price]]="",tbl_main[[#This Row],[Qty]]=""),"",tbl_main[[#This Row],[Price]]*tbl_main[[#This Row],[Qty]])</f>
        <v>100</v>
      </c>
      <c r="N1866" s="3">
        <f>_xlfn.LET(_xlpm.x,_xlfn.XLOOKUP(tbl_main[[#This Row],[Service]],tbl_service[Service],tbl_service[Profit],""),
               IF(tbl_main[[#This Row],[Qty]]="","",_xlpm.x*tbl_main[[#This Row],[Qty]]))</f>
        <v>45</v>
      </c>
    </row>
    <row r="1867" spans="1:14" x14ac:dyDescent="0.25">
      <c r="A1867" t="s">
        <v>1909</v>
      </c>
      <c r="B1867" s="1">
        <v>46279</v>
      </c>
      <c r="C1867">
        <f>IF(tbl_main[[#This Row],[Date]]="","",YEAR(B1867))</f>
        <v>2026</v>
      </c>
      <c r="D1867" t="str">
        <f>IF(tbl_main[[#This Row],[Date]]="","",TEXT(B1867,"mmm"))</f>
        <v>Sep</v>
      </c>
      <c r="E1867" t="str">
        <f>IF(tbl_main[[#This Row],[Date]]="","",TEXT(B1867,"DDD"))</f>
        <v>Mon</v>
      </c>
      <c r="F1867" t="s">
        <v>27</v>
      </c>
      <c r="G1867" t="s">
        <v>28</v>
      </c>
      <c r="H1867" s="3" t="s">
        <v>15</v>
      </c>
      <c r="I1867" s="3" t="s">
        <v>35</v>
      </c>
      <c r="J1867" s="3" t="s">
        <v>25</v>
      </c>
      <c r="K1867" s="3">
        <f>_xlfn.XLOOKUP(tbl_main[[#This Row],[Service]],tbl_service[Service],tbl_service[Price],"")</f>
        <v>500</v>
      </c>
      <c r="L1867" s="3">
        <v>2</v>
      </c>
      <c r="M1867" s="3">
        <f>IF(AND(tbl_main[[#This Row],[Price]]="",tbl_main[[#This Row],[Qty]]=""),"",tbl_main[[#This Row],[Price]]*tbl_main[[#This Row],[Qty]])</f>
        <v>1000</v>
      </c>
      <c r="N1867" s="3">
        <f>_xlfn.LET(_xlpm.x,_xlfn.XLOOKUP(tbl_main[[#This Row],[Service]],tbl_service[Service],tbl_service[Profit],""),
               IF(tbl_main[[#This Row],[Qty]]="","",_xlpm.x*tbl_main[[#This Row],[Qty]]))</f>
        <v>450</v>
      </c>
    </row>
    <row r="1868" spans="1:14" x14ac:dyDescent="0.25">
      <c r="A1868" t="s">
        <v>1910</v>
      </c>
      <c r="B1868" s="1">
        <v>46279</v>
      </c>
      <c r="C1868">
        <f>IF(tbl_main[[#This Row],[Date]]="","",YEAR(B1868))</f>
        <v>2026</v>
      </c>
      <c r="D1868" t="str">
        <f>IF(tbl_main[[#This Row],[Date]]="","",TEXT(B1868,"mmm"))</f>
        <v>Sep</v>
      </c>
      <c r="E1868" t="str">
        <f>IF(tbl_main[[#This Row],[Date]]="","",TEXT(B1868,"DDD"))</f>
        <v>Mon</v>
      </c>
      <c r="F1868" t="s">
        <v>13</v>
      </c>
      <c r="G1868" t="s">
        <v>14</v>
      </c>
      <c r="H1868" s="3" t="s">
        <v>15</v>
      </c>
      <c r="I1868" s="3" t="s">
        <v>35</v>
      </c>
      <c r="J1868" s="3" t="s">
        <v>32</v>
      </c>
      <c r="K1868" s="3">
        <f>_xlfn.XLOOKUP(tbl_main[[#This Row],[Service]],tbl_service[Service],tbl_service[Price],"")</f>
        <v>500</v>
      </c>
      <c r="L1868" s="3">
        <v>1</v>
      </c>
      <c r="M1868" s="3">
        <f>IF(AND(tbl_main[[#This Row],[Price]]="",tbl_main[[#This Row],[Qty]]=""),"",tbl_main[[#This Row],[Price]]*tbl_main[[#This Row],[Qty]])</f>
        <v>500</v>
      </c>
      <c r="N1868" s="3">
        <f>_xlfn.LET(_xlpm.x,_xlfn.XLOOKUP(tbl_main[[#This Row],[Service]],tbl_service[Service],tbl_service[Profit],""),
               IF(tbl_main[[#This Row],[Qty]]="","",_xlpm.x*tbl_main[[#This Row],[Qty]]))</f>
        <v>225</v>
      </c>
    </row>
    <row r="1869" spans="1:14" x14ac:dyDescent="0.25">
      <c r="A1869" t="s">
        <v>1911</v>
      </c>
      <c r="B1869" s="1">
        <v>46279</v>
      </c>
      <c r="C1869">
        <f>IF(tbl_main[[#This Row],[Date]]="","",YEAR(B1869))</f>
        <v>2026</v>
      </c>
      <c r="D1869" t="str">
        <f>IF(tbl_main[[#This Row],[Date]]="","",TEXT(B1869,"mmm"))</f>
        <v>Sep</v>
      </c>
      <c r="E1869" t="str">
        <f>IF(tbl_main[[#This Row],[Date]]="","",TEXT(B1869,"DDD"))</f>
        <v>Mon</v>
      </c>
      <c r="F1869" t="s">
        <v>27</v>
      </c>
      <c r="G1869" t="s">
        <v>28</v>
      </c>
      <c r="H1869" s="3" t="s">
        <v>15</v>
      </c>
      <c r="I1869" s="3" t="s">
        <v>23</v>
      </c>
      <c r="J1869" s="3" t="s">
        <v>25</v>
      </c>
      <c r="K1869" s="3">
        <f>_xlfn.XLOOKUP(tbl_main[[#This Row],[Service]],tbl_service[Service],tbl_service[Price],"")</f>
        <v>500</v>
      </c>
      <c r="L1869" s="3">
        <v>1</v>
      </c>
      <c r="M1869" s="3">
        <f>IF(AND(tbl_main[[#This Row],[Price]]="",tbl_main[[#This Row],[Qty]]=""),"",tbl_main[[#This Row],[Price]]*tbl_main[[#This Row],[Qty]])</f>
        <v>500</v>
      </c>
      <c r="N1869" s="3">
        <f>_xlfn.LET(_xlpm.x,_xlfn.XLOOKUP(tbl_main[[#This Row],[Service]],tbl_service[Service],tbl_service[Profit],""),
               IF(tbl_main[[#This Row],[Qty]]="","",_xlpm.x*tbl_main[[#This Row],[Qty]]))</f>
        <v>225</v>
      </c>
    </row>
    <row r="1870" spans="1:14" x14ac:dyDescent="0.25">
      <c r="A1870" t="s">
        <v>1912</v>
      </c>
      <c r="B1870" s="1">
        <v>46280</v>
      </c>
      <c r="C1870">
        <f>IF(tbl_main[[#This Row],[Date]]="","",YEAR(B1870))</f>
        <v>2026</v>
      </c>
      <c r="D1870" t="str">
        <f>IF(tbl_main[[#This Row],[Date]]="","",TEXT(B1870,"mmm"))</f>
        <v>Sep</v>
      </c>
      <c r="E1870" t="str">
        <f>IF(tbl_main[[#This Row],[Date]]="","",TEXT(B1870,"DDD"))</f>
        <v>Tue</v>
      </c>
      <c r="F1870" t="s">
        <v>20</v>
      </c>
      <c r="G1870" t="s">
        <v>39</v>
      </c>
      <c r="H1870" s="3" t="s">
        <v>18</v>
      </c>
      <c r="I1870" s="3" t="s">
        <v>37</v>
      </c>
      <c r="J1870" s="3" t="s">
        <v>32</v>
      </c>
      <c r="K1870" s="3">
        <f>_xlfn.XLOOKUP(tbl_main[[#This Row],[Service]],tbl_service[Service],tbl_service[Price],"")</f>
        <v>500</v>
      </c>
      <c r="L1870" s="3">
        <v>1</v>
      </c>
      <c r="M1870" s="3">
        <f>IF(AND(tbl_main[[#This Row],[Price]]="",tbl_main[[#This Row],[Qty]]=""),"",tbl_main[[#This Row],[Price]]*tbl_main[[#This Row],[Qty]])</f>
        <v>500</v>
      </c>
      <c r="N1870" s="3">
        <f>_xlfn.LET(_xlpm.x,_xlfn.XLOOKUP(tbl_main[[#This Row],[Service]],tbl_service[Service],tbl_service[Profit],""),
               IF(tbl_main[[#This Row],[Qty]]="","",_xlpm.x*tbl_main[[#This Row],[Qty]]))</f>
        <v>157</v>
      </c>
    </row>
    <row r="1871" spans="1:14" x14ac:dyDescent="0.25">
      <c r="A1871" t="s">
        <v>1913</v>
      </c>
      <c r="B1871" s="1">
        <v>46280</v>
      </c>
      <c r="C1871">
        <f>IF(tbl_main[[#This Row],[Date]]="","",YEAR(B1871))</f>
        <v>2026</v>
      </c>
      <c r="D1871" t="str">
        <f>IF(tbl_main[[#This Row],[Date]]="","",TEXT(B1871,"mmm"))</f>
        <v>Sep</v>
      </c>
      <c r="E1871" t="str">
        <f>IF(tbl_main[[#This Row],[Date]]="","",TEXT(B1871,"DDD"))</f>
        <v>Tue</v>
      </c>
      <c r="F1871" t="s">
        <v>30</v>
      </c>
      <c r="G1871" t="s">
        <v>36</v>
      </c>
      <c r="H1871" s="3" t="s">
        <v>26</v>
      </c>
      <c r="I1871" s="3" t="s">
        <v>38</v>
      </c>
      <c r="J1871" s="3" t="s">
        <v>17</v>
      </c>
      <c r="K1871" s="3">
        <f>_xlfn.XLOOKUP(tbl_main[[#This Row],[Service]],tbl_service[Service],tbl_service[Price],"")</f>
        <v>200</v>
      </c>
      <c r="L1871" s="3">
        <v>2</v>
      </c>
      <c r="M1871" s="3">
        <f>IF(AND(tbl_main[[#This Row],[Price]]="",tbl_main[[#This Row],[Qty]]=""),"",tbl_main[[#This Row],[Price]]*tbl_main[[#This Row],[Qty]])</f>
        <v>400</v>
      </c>
      <c r="N1871" s="3">
        <f>_xlfn.LET(_xlpm.x,_xlfn.XLOOKUP(tbl_main[[#This Row],[Service]],tbl_service[Service],tbl_service[Profit],""),
               IF(tbl_main[[#This Row],[Qty]]="","",_xlpm.x*tbl_main[[#This Row],[Qty]]))</f>
        <v>180</v>
      </c>
    </row>
    <row r="1872" spans="1:14" x14ac:dyDescent="0.25">
      <c r="A1872" t="s">
        <v>1914</v>
      </c>
      <c r="B1872" s="1">
        <v>46280</v>
      </c>
      <c r="C1872">
        <f>IF(tbl_main[[#This Row],[Date]]="","",YEAR(B1872))</f>
        <v>2026</v>
      </c>
      <c r="D1872" t="str">
        <f>IF(tbl_main[[#This Row],[Date]]="","",TEXT(B1872,"mmm"))</f>
        <v>Sep</v>
      </c>
      <c r="E1872" t="str">
        <f>IF(tbl_main[[#This Row],[Date]]="","",TEXT(B1872,"DDD"))</f>
        <v>Tue</v>
      </c>
      <c r="F1872" t="s">
        <v>13</v>
      </c>
      <c r="G1872" t="s">
        <v>14</v>
      </c>
      <c r="H1872" s="3" t="s">
        <v>24</v>
      </c>
      <c r="I1872" s="3" t="s">
        <v>16</v>
      </c>
      <c r="J1872" s="3" t="s">
        <v>25</v>
      </c>
      <c r="K1872" s="3">
        <f>_xlfn.XLOOKUP(tbl_main[[#This Row],[Service]],tbl_service[Service],tbl_service[Price],"")</f>
        <v>80</v>
      </c>
      <c r="L1872" s="3">
        <v>2</v>
      </c>
      <c r="M1872" s="3">
        <f>IF(AND(tbl_main[[#This Row],[Price]]="",tbl_main[[#This Row],[Qty]]=""),"",tbl_main[[#This Row],[Price]]*tbl_main[[#This Row],[Qty]])</f>
        <v>160</v>
      </c>
      <c r="N1872" s="3">
        <f>_xlfn.LET(_xlpm.x,_xlfn.XLOOKUP(tbl_main[[#This Row],[Service]],tbl_service[Service],tbl_service[Profit],""),
               IF(tbl_main[[#This Row],[Qty]]="","",_xlpm.x*tbl_main[[#This Row],[Qty]]))</f>
        <v>72</v>
      </c>
    </row>
    <row r="1873" spans="1:14" x14ac:dyDescent="0.25">
      <c r="A1873" t="s">
        <v>1915</v>
      </c>
      <c r="B1873" s="1">
        <v>46281</v>
      </c>
      <c r="C1873">
        <f>IF(tbl_main[[#This Row],[Date]]="","",YEAR(B1873))</f>
        <v>2026</v>
      </c>
      <c r="D1873" t="str">
        <f>IF(tbl_main[[#This Row],[Date]]="","",TEXT(B1873,"mmm"))</f>
        <v>Sep</v>
      </c>
      <c r="E1873" t="str">
        <f>IF(tbl_main[[#This Row],[Date]]="","",TEXT(B1873,"DDD"))</f>
        <v>Wed</v>
      </c>
      <c r="F1873" t="s">
        <v>20</v>
      </c>
      <c r="G1873" t="s">
        <v>21</v>
      </c>
      <c r="H1873" s="3" t="s">
        <v>22</v>
      </c>
      <c r="I1873" s="3" t="s">
        <v>19</v>
      </c>
      <c r="J1873" s="3" t="s">
        <v>32</v>
      </c>
      <c r="K1873" s="3">
        <f>_xlfn.XLOOKUP(tbl_main[[#This Row],[Service]],tbl_service[Service],tbl_service[Price],"")</f>
        <v>150</v>
      </c>
      <c r="L1873" s="3">
        <v>1</v>
      </c>
      <c r="M1873" s="3">
        <f>IF(AND(tbl_main[[#This Row],[Price]]="",tbl_main[[#This Row],[Qty]]=""),"",tbl_main[[#This Row],[Price]]*tbl_main[[#This Row],[Qty]])</f>
        <v>150</v>
      </c>
      <c r="N1873" s="3">
        <f>_xlfn.LET(_xlpm.x,_xlfn.XLOOKUP(tbl_main[[#This Row],[Service]],tbl_service[Service],tbl_service[Profit],""),
               IF(tbl_main[[#This Row],[Qty]]="","",_xlpm.x*tbl_main[[#This Row],[Qty]]))</f>
        <v>67</v>
      </c>
    </row>
    <row r="1874" spans="1:14" x14ac:dyDescent="0.25">
      <c r="A1874" t="s">
        <v>1916</v>
      </c>
      <c r="B1874" s="1">
        <v>46281</v>
      </c>
      <c r="C1874">
        <f>IF(tbl_main[[#This Row],[Date]]="","",YEAR(B1874))</f>
        <v>2026</v>
      </c>
      <c r="D1874" t="str">
        <f>IF(tbl_main[[#This Row],[Date]]="","",TEXT(B1874,"mmm"))</f>
        <v>Sep</v>
      </c>
      <c r="E1874" t="str">
        <f>IF(tbl_main[[#This Row],[Date]]="","",TEXT(B1874,"DDD"))</f>
        <v>Wed</v>
      </c>
      <c r="F1874" t="s">
        <v>20</v>
      </c>
      <c r="G1874" t="s">
        <v>29</v>
      </c>
      <c r="H1874" s="3" t="s">
        <v>26</v>
      </c>
      <c r="I1874" s="3" t="s">
        <v>43</v>
      </c>
      <c r="J1874" s="3" t="s">
        <v>32</v>
      </c>
      <c r="K1874" s="3">
        <f>_xlfn.XLOOKUP(tbl_main[[#This Row],[Service]],tbl_service[Service],tbl_service[Price],"")</f>
        <v>200</v>
      </c>
      <c r="L1874" s="3">
        <v>2</v>
      </c>
      <c r="M1874" s="3">
        <f>IF(AND(tbl_main[[#This Row],[Price]]="",tbl_main[[#This Row],[Qty]]=""),"",tbl_main[[#This Row],[Price]]*tbl_main[[#This Row],[Qty]])</f>
        <v>400</v>
      </c>
      <c r="N1874" s="3">
        <f>_xlfn.LET(_xlpm.x,_xlfn.XLOOKUP(tbl_main[[#This Row],[Service]],tbl_service[Service],tbl_service[Profit],""),
               IF(tbl_main[[#This Row],[Qty]]="","",_xlpm.x*tbl_main[[#This Row],[Qty]]))</f>
        <v>180</v>
      </c>
    </row>
    <row r="1875" spans="1:14" x14ac:dyDescent="0.25">
      <c r="A1875" t="s">
        <v>1917</v>
      </c>
      <c r="B1875" s="1">
        <v>46282</v>
      </c>
      <c r="C1875">
        <f>IF(tbl_main[[#This Row],[Date]]="","",YEAR(B1875))</f>
        <v>2026</v>
      </c>
      <c r="D1875" t="str">
        <f>IF(tbl_main[[#This Row],[Date]]="","",TEXT(B1875,"mmm"))</f>
        <v>Sep</v>
      </c>
      <c r="E1875" t="str">
        <f>IF(tbl_main[[#This Row],[Date]]="","",TEXT(B1875,"DDD"))</f>
        <v>Thu</v>
      </c>
      <c r="F1875" t="s">
        <v>27</v>
      </c>
      <c r="G1875" t="s">
        <v>40</v>
      </c>
      <c r="H1875" s="3" t="s">
        <v>18</v>
      </c>
      <c r="I1875" s="3" t="s">
        <v>42</v>
      </c>
      <c r="J1875" s="3" t="s">
        <v>32</v>
      </c>
      <c r="K1875" s="3">
        <f>_xlfn.XLOOKUP(tbl_main[[#This Row],[Service]],tbl_service[Service],tbl_service[Price],"")</f>
        <v>500</v>
      </c>
      <c r="L1875" s="3">
        <v>2</v>
      </c>
      <c r="M1875" s="3">
        <f>IF(AND(tbl_main[[#This Row],[Price]]="",tbl_main[[#This Row],[Qty]]=""),"",tbl_main[[#This Row],[Price]]*tbl_main[[#This Row],[Qty]])</f>
        <v>1000</v>
      </c>
      <c r="N1875" s="3">
        <f>_xlfn.LET(_xlpm.x,_xlfn.XLOOKUP(tbl_main[[#This Row],[Service]],tbl_service[Service],tbl_service[Profit],""),
               IF(tbl_main[[#This Row],[Qty]]="","",_xlpm.x*tbl_main[[#This Row],[Qty]]))</f>
        <v>314</v>
      </c>
    </row>
    <row r="1876" spans="1:14" x14ac:dyDescent="0.25">
      <c r="A1876" t="s">
        <v>1918</v>
      </c>
      <c r="B1876" s="1">
        <v>46282</v>
      </c>
      <c r="C1876">
        <f>IF(tbl_main[[#This Row],[Date]]="","",YEAR(B1876))</f>
        <v>2026</v>
      </c>
      <c r="D1876" t="str">
        <f>IF(tbl_main[[#This Row],[Date]]="","",TEXT(B1876,"mmm"))</f>
        <v>Sep</v>
      </c>
      <c r="E1876" t="str">
        <f>IF(tbl_main[[#This Row],[Date]]="","",TEXT(B1876,"DDD"))</f>
        <v>Thu</v>
      </c>
      <c r="F1876" t="s">
        <v>30</v>
      </c>
      <c r="G1876" t="s">
        <v>31</v>
      </c>
      <c r="H1876" s="3" t="s">
        <v>34</v>
      </c>
      <c r="I1876" s="3" t="s">
        <v>41</v>
      </c>
      <c r="J1876" s="3" t="s">
        <v>25</v>
      </c>
      <c r="K1876" s="3">
        <f>_xlfn.XLOOKUP(tbl_main[[#This Row],[Service]],tbl_service[Service],tbl_service[Price],"")</f>
        <v>100</v>
      </c>
      <c r="L1876" s="3">
        <v>1</v>
      </c>
      <c r="M1876" s="3">
        <f>IF(AND(tbl_main[[#This Row],[Price]]="",tbl_main[[#This Row],[Qty]]=""),"",tbl_main[[#This Row],[Price]]*tbl_main[[#This Row],[Qty]])</f>
        <v>100</v>
      </c>
      <c r="N1876" s="3">
        <f>_xlfn.LET(_xlpm.x,_xlfn.XLOOKUP(tbl_main[[#This Row],[Service]],tbl_service[Service],tbl_service[Profit],""),
               IF(tbl_main[[#This Row],[Qty]]="","",_xlpm.x*tbl_main[[#This Row],[Qty]]))</f>
        <v>45</v>
      </c>
    </row>
    <row r="1877" spans="1:14" x14ac:dyDescent="0.25">
      <c r="A1877" t="s">
        <v>1919</v>
      </c>
      <c r="B1877" s="1">
        <v>46282</v>
      </c>
      <c r="C1877">
        <f>IF(tbl_main[[#This Row],[Date]]="","",YEAR(B1877))</f>
        <v>2026</v>
      </c>
      <c r="D1877" t="str">
        <f>IF(tbl_main[[#This Row],[Date]]="","",TEXT(B1877,"mmm"))</f>
        <v>Sep</v>
      </c>
      <c r="E1877" t="str">
        <f>IF(tbl_main[[#This Row],[Date]]="","",TEXT(B1877,"DDD"))</f>
        <v>Thu</v>
      </c>
      <c r="F1877" t="s">
        <v>13</v>
      </c>
      <c r="G1877" t="s">
        <v>14</v>
      </c>
      <c r="H1877" s="3" t="s">
        <v>15</v>
      </c>
      <c r="I1877" s="3" t="s">
        <v>35</v>
      </c>
      <c r="J1877" s="3" t="s">
        <v>32</v>
      </c>
      <c r="K1877" s="3">
        <f>_xlfn.XLOOKUP(tbl_main[[#This Row],[Service]],tbl_service[Service],tbl_service[Price],"")</f>
        <v>500</v>
      </c>
      <c r="L1877" s="3">
        <v>2</v>
      </c>
      <c r="M1877" s="3">
        <f>IF(AND(tbl_main[[#This Row],[Price]]="",tbl_main[[#This Row],[Qty]]=""),"",tbl_main[[#This Row],[Price]]*tbl_main[[#This Row],[Qty]])</f>
        <v>1000</v>
      </c>
      <c r="N1877" s="3">
        <f>_xlfn.LET(_xlpm.x,_xlfn.XLOOKUP(tbl_main[[#This Row],[Service]],tbl_service[Service],tbl_service[Profit],""),
               IF(tbl_main[[#This Row],[Qty]]="","",_xlpm.x*tbl_main[[#This Row],[Qty]]))</f>
        <v>450</v>
      </c>
    </row>
    <row r="1878" spans="1:14" x14ac:dyDescent="0.25">
      <c r="A1878" t="s">
        <v>1920</v>
      </c>
      <c r="B1878" s="1">
        <v>46282</v>
      </c>
      <c r="C1878">
        <f>IF(tbl_main[[#This Row],[Date]]="","",YEAR(B1878))</f>
        <v>2026</v>
      </c>
      <c r="D1878" t="str">
        <f>IF(tbl_main[[#This Row],[Date]]="","",TEXT(B1878,"mmm"))</f>
        <v>Sep</v>
      </c>
      <c r="E1878" t="str">
        <f>IF(tbl_main[[#This Row],[Date]]="","",TEXT(B1878,"DDD"))</f>
        <v>Thu</v>
      </c>
      <c r="F1878" t="s">
        <v>27</v>
      </c>
      <c r="G1878" t="s">
        <v>28</v>
      </c>
      <c r="H1878" s="3" t="s">
        <v>34</v>
      </c>
      <c r="I1878" s="3" t="s">
        <v>35</v>
      </c>
      <c r="J1878" s="3" t="s">
        <v>32</v>
      </c>
      <c r="K1878" s="3">
        <f>_xlfn.XLOOKUP(tbl_main[[#This Row],[Service]],tbl_service[Service],tbl_service[Price],"")</f>
        <v>100</v>
      </c>
      <c r="L1878" s="3">
        <v>2</v>
      </c>
      <c r="M1878" s="3">
        <f>IF(AND(tbl_main[[#This Row],[Price]]="",tbl_main[[#This Row],[Qty]]=""),"",tbl_main[[#This Row],[Price]]*tbl_main[[#This Row],[Qty]])</f>
        <v>200</v>
      </c>
      <c r="N1878" s="3">
        <f>_xlfn.LET(_xlpm.x,_xlfn.XLOOKUP(tbl_main[[#This Row],[Service]],tbl_service[Service],tbl_service[Profit],""),
               IF(tbl_main[[#This Row],[Qty]]="","",_xlpm.x*tbl_main[[#This Row],[Qty]]))</f>
        <v>90</v>
      </c>
    </row>
    <row r="1879" spans="1:14" x14ac:dyDescent="0.25">
      <c r="A1879" t="s">
        <v>1921</v>
      </c>
      <c r="B1879" s="1">
        <v>46283</v>
      </c>
      <c r="C1879">
        <f>IF(tbl_main[[#This Row],[Date]]="","",YEAR(B1879))</f>
        <v>2026</v>
      </c>
      <c r="D1879" t="str">
        <f>IF(tbl_main[[#This Row],[Date]]="","",TEXT(B1879,"mmm"))</f>
        <v>Sep</v>
      </c>
      <c r="E1879" t="str">
        <f>IF(tbl_main[[#This Row],[Date]]="","",TEXT(B1879,"DDD"))</f>
        <v>Fri</v>
      </c>
      <c r="F1879" t="s">
        <v>30</v>
      </c>
      <c r="G1879" t="s">
        <v>36</v>
      </c>
      <c r="H1879" s="3" t="s">
        <v>26</v>
      </c>
      <c r="I1879" s="3" t="s">
        <v>23</v>
      </c>
      <c r="J1879" s="3" t="s">
        <v>25</v>
      </c>
      <c r="K1879" s="3">
        <f>_xlfn.XLOOKUP(tbl_main[[#This Row],[Service]],tbl_service[Service],tbl_service[Price],"")</f>
        <v>200</v>
      </c>
      <c r="L1879" s="3">
        <v>1</v>
      </c>
      <c r="M1879" s="3">
        <f>IF(AND(tbl_main[[#This Row],[Price]]="",tbl_main[[#This Row],[Qty]]=""),"",tbl_main[[#This Row],[Price]]*tbl_main[[#This Row],[Qty]])</f>
        <v>200</v>
      </c>
      <c r="N1879" s="3">
        <f>_xlfn.LET(_xlpm.x,_xlfn.XLOOKUP(tbl_main[[#This Row],[Service]],tbl_service[Service],tbl_service[Profit],""),
               IF(tbl_main[[#This Row],[Qty]]="","",_xlpm.x*tbl_main[[#This Row],[Qty]]))</f>
        <v>90</v>
      </c>
    </row>
    <row r="1880" spans="1:14" x14ac:dyDescent="0.25">
      <c r="A1880" t="s">
        <v>1922</v>
      </c>
      <c r="B1880" s="1">
        <v>46283</v>
      </c>
      <c r="C1880">
        <f>IF(tbl_main[[#This Row],[Date]]="","",YEAR(B1880))</f>
        <v>2026</v>
      </c>
      <c r="D1880" t="str">
        <f>IF(tbl_main[[#This Row],[Date]]="","",TEXT(B1880,"mmm"))</f>
        <v>Sep</v>
      </c>
      <c r="E1880" t="str">
        <f>IF(tbl_main[[#This Row],[Date]]="","",TEXT(B1880,"DDD"))</f>
        <v>Fri</v>
      </c>
      <c r="F1880" t="s">
        <v>13</v>
      </c>
      <c r="G1880" t="s">
        <v>14</v>
      </c>
      <c r="H1880" s="3" t="s">
        <v>34</v>
      </c>
      <c r="I1880" s="3" t="s">
        <v>37</v>
      </c>
      <c r="J1880" s="3" t="s">
        <v>32</v>
      </c>
      <c r="K1880" s="3">
        <f>_xlfn.XLOOKUP(tbl_main[[#This Row],[Service]],tbl_service[Service],tbl_service[Price],"")</f>
        <v>100</v>
      </c>
      <c r="L1880" s="3">
        <v>1</v>
      </c>
      <c r="M1880" s="3">
        <f>IF(AND(tbl_main[[#This Row],[Price]]="",tbl_main[[#This Row],[Qty]]=""),"",tbl_main[[#This Row],[Price]]*tbl_main[[#This Row],[Qty]])</f>
        <v>100</v>
      </c>
      <c r="N1880" s="3">
        <f>_xlfn.LET(_xlpm.x,_xlfn.XLOOKUP(tbl_main[[#This Row],[Service]],tbl_service[Service],tbl_service[Profit],""),
               IF(tbl_main[[#This Row],[Qty]]="","",_xlpm.x*tbl_main[[#This Row],[Qty]]))</f>
        <v>45</v>
      </c>
    </row>
    <row r="1881" spans="1:14" x14ac:dyDescent="0.25">
      <c r="A1881" t="s">
        <v>1923</v>
      </c>
      <c r="B1881" s="1">
        <v>46283</v>
      </c>
      <c r="C1881">
        <f>IF(tbl_main[[#This Row],[Date]]="","",YEAR(B1881))</f>
        <v>2026</v>
      </c>
      <c r="D1881" t="str">
        <f>IF(tbl_main[[#This Row],[Date]]="","",TEXT(B1881,"mmm"))</f>
        <v>Sep</v>
      </c>
      <c r="E1881" t="str">
        <f>IF(tbl_main[[#This Row],[Date]]="","",TEXT(B1881,"DDD"))</f>
        <v>Fri</v>
      </c>
      <c r="F1881" t="s">
        <v>27</v>
      </c>
      <c r="G1881" t="s">
        <v>40</v>
      </c>
      <c r="H1881" s="3" t="s">
        <v>26</v>
      </c>
      <c r="I1881" s="3" t="s">
        <v>38</v>
      </c>
      <c r="J1881" s="3" t="s">
        <v>17</v>
      </c>
      <c r="K1881" s="3">
        <f>_xlfn.XLOOKUP(tbl_main[[#This Row],[Service]],tbl_service[Service],tbl_service[Price],"")</f>
        <v>200</v>
      </c>
      <c r="L1881" s="3">
        <v>2</v>
      </c>
      <c r="M1881" s="3">
        <f>IF(AND(tbl_main[[#This Row],[Price]]="",tbl_main[[#This Row],[Qty]]=""),"",tbl_main[[#This Row],[Price]]*tbl_main[[#This Row],[Qty]])</f>
        <v>400</v>
      </c>
      <c r="N1881" s="3">
        <f>_xlfn.LET(_xlpm.x,_xlfn.XLOOKUP(tbl_main[[#This Row],[Service]],tbl_service[Service],tbl_service[Profit],""),
               IF(tbl_main[[#This Row],[Qty]]="","",_xlpm.x*tbl_main[[#This Row],[Qty]]))</f>
        <v>180</v>
      </c>
    </row>
    <row r="1882" spans="1:14" x14ac:dyDescent="0.25">
      <c r="A1882" t="s">
        <v>1924</v>
      </c>
      <c r="B1882" s="1">
        <v>46283</v>
      </c>
      <c r="C1882">
        <f>IF(tbl_main[[#This Row],[Date]]="","",YEAR(B1882))</f>
        <v>2026</v>
      </c>
      <c r="D1882" t="str">
        <f>IF(tbl_main[[#This Row],[Date]]="","",TEXT(B1882,"mmm"))</f>
        <v>Sep</v>
      </c>
      <c r="E1882" t="str">
        <f>IF(tbl_main[[#This Row],[Date]]="","",TEXT(B1882,"DDD"))</f>
        <v>Fri</v>
      </c>
      <c r="F1882" t="s">
        <v>13</v>
      </c>
      <c r="G1882" t="s">
        <v>33</v>
      </c>
      <c r="H1882" s="3" t="s">
        <v>18</v>
      </c>
      <c r="I1882" s="3" t="s">
        <v>16</v>
      </c>
      <c r="J1882" s="3" t="s">
        <v>32</v>
      </c>
      <c r="K1882" s="3">
        <f>_xlfn.XLOOKUP(tbl_main[[#This Row],[Service]],tbl_service[Service],tbl_service[Price],"")</f>
        <v>500</v>
      </c>
      <c r="L1882" s="3">
        <v>2</v>
      </c>
      <c r="M1882" s="3">
        <f>IF(AND(tbl_main[[#This Row],[Price]]="",tbl_main[[#This Row],[Qty]]=""),"",tbl_main[[#This Row],[Price]]*tbl_main[[#This Row],[Qty]])</f>
        <v>1000</v>
      </c>
      <c r="N1882" s="3">
        <f>_xlfn.LET(_xlpm.x,_xlfn.XLOOKUP(tbl_main[[#This Row],[Service]],tbl_service[Service],tbl_service[Profit],""),
               IF(tbl_main[[#This Row],[Qty]]="","",_xlpm.x*tbl_main[[#This Row],[Qty]]))</f>
        <v>314</v>
      </c>
    </row>
    <row r="1883" spans="1:14" x14ac:dyDescent="0.25">
      <c r="A1883" t="s">
        <v>1925</v>
      </c>
      <c r="B1883" s="1">
        <v>46284</v>
      </c>
      <c r="C1883">
        <f>IF(tbl_main[[#This Row],[Date]]="","",YEAR(B1883))</f>
        <v>2026</v>
      </c>
      <c r="D1883" t="str">
        <f>IF(tbl_main[[#This Row],[Date]]="","",TEXT(B1883,"mmm"))</f>
        <v>Sep</v>
      </c>
      <c r="E1883" t="str">
        <f>IF(tbl_main[[#This Row],[Date]]="","",TEXT(B1883,"DDD"))</f>
        <v>Sat</v>
      </c>
      <c r="F1883" t="s">
        <v>30</v>
      </c>
      <c r="G1883" t="s">
        <v>31</v>
      </c>
      <c r="H1883" s="3" t="s">
        <v>24</v>
      </c>
      <c r="I1883" s="3" t="s">
        <v>19</v>
      </c>
      <c r="J1883" s="3" t="s">
        <v>17</v>
      </c>
      <c r="K1883" s="3">
        <f>_xlfn.XLOOKUP(tbl_main[[#This Row],[Service]],tbl_service[Service],tbl_service[Price],"")</f>
        <v>80</v>
      </c>
      <c r="L1883" s="3">
        <v>2</v>
      </c>
      <c r="M1883" s="3">
        <f>IF(AND(tbl_main[[#This Row],[Price]]="",tbl_main[[#This Row],[Qty]]=""),"",tbl_main[[#This Row],[Price]]*tbl_main[[#This Row],[Qty]])</f>
        <v>160</v>
      </c>
      <c r="N1883" s="3">
        <f>_xlfn.LET(_xlpm.x,_xlfn.XLOOKUP(tbl_main[[#This Row],[Service]],tbl_service[Service],tbl_service[Profit],""),
               IF(tbl_main[[#This Row],[Qty]]="","",_xlpm.x*tbl_main[[#This Row],[Qty]]))</f>
        <v>72</v>
      </c>
    </row>
    <row r="1884" spans="1:14" x14ac:dyDescent="0.25">
      <c r="A1884" t="s">
        <v>1926</v>
      </c>
      <c r="B1884" s="1">
        <v>46284</v>
      </c>
      <c r="C1884">
        <f>IF(tbl_main[[#This Row],[Date]]="","",YEAR(B1884))</f>
        <v>2026</v>
      </c>
      <c r="D1884" t="str">
        <f>IF(tbl_main[[#This Row],[Date]]="","",TEXT(B1884,"mmm"))</f>
        <v>Sep</v>
      </c>
      <c r="E1884" t="str">
        <f>IF(tbl_main[[#This Row],[Date]]="","",TEXT(B1884,"DDD"))</f>
        <v>Sat</v>
      </c>
      <c r="F1884" t="s">
        <v>13</v>
      </c>
      <c r="G1884" t="s">
        <v>14</v>
      </c>
      <c r="H1884" s="3" t="s">
        <v>15</v>
      </c>
      <c r="I1884" s="3" t="s">
        <v>43</v>
      </c>
      <c r="J1884" s="3" t="s">
        <v>17</v>
      </c>
      <c r="K1884" s="3">
        <f>_xlfn.XLOOKUP(tbl_main[[#This Row],[Service]],tbl_service[Service],tbl_service[Price],"")</f>
        <v>500</v>
      </c>
      <c r="L1884" s="3">
        <v>2</v>
      </c>
      <c r="M1884" s="3">
        <f>IF(AND(tbl_main[[#This Row],[Price]]="",tbl_main[[#This Row],[Qty]]=""),"",tbl_main[[#This Row],[Price]]*tbl_main[[#This Row],[Qty]])</f>
        <v>1000</v>
      </c>
      <c r="N1884" s="3">
        <f>_xlfn.LET(_xlpm.x,_xlfn.XLOOKUP(tbl_main[[#This Row],[Service]],tbl_service[Service],tbl_service[Profit],""),
               IF(tbl_main[[#This Row],[Qty]]="","",_xlpm.x*tbl_main[[#This Row],[Qty]]))</f>
        <v>450</v>
      </c>
    </row>
    <row r="1885" spans="1:14" x14ac:dyDescent="0.25">
      <c r="A1885" t="s">
        <v>1927</v>
      </c>
      <c r="B1885" s="1">
        <v>46285</v>
      </c>
      <c r="C1885">
        <f>IF(tbl_main[[#This Row],[Date]]="","",YEAR(B1885))</f>
        <v>2026</v>
      </c>
      <c r="D1885" t="str">
        <f>IF(tbl_main[[#This Row],[Date]]="","",TEXT(B1885,"mmm"))</f>
        <v>Sep</v>
      </c>
      <c r="E1885" t="str">
        <f>IF(tbl_main[[#This Row],[Date]]="","",TEXT(B1885,"DDD"))</f>
        <v>Sun</v>
      </c>
      <c r="F1885" t="s">
        <v>20</v>
      </c>
      <c r="G1885" t="s">
        <v>29</v>
      </c>
      <c r="H1885" s="3" t="s">
        <v>34</v>
      </c>
      <c r="I1885" s="3" t="s">
        <v>42</v>
      </c>
      <c r="J1885" s="3" t="s">
        <v>17</v>
      </c>
      <c r="K1885" s="3">
        <f>_xlfn.XLOOKUP(tbl_main[[#This Row],[Service]],tbl_service[Service],tbl_service[Price],"")</f>
        <v>100</v>
      </c>
      <c r="L1885" s="3">
        <v>2</v>
      </c>
      <c r="M1885" s="3">
        <f>IF(AND(tbl_main[[#This Row],[Price]]="",tbl_main[[#This Row],[Qty]]=""),"",tbl_main[[#This Row],[Price]]*tbl_main[[#This Row],[Qty]])</f>
        <v>200</v>
      </c>
      <c r="N1885" s="3">
        <f>_xlfn.LET(_xlpm.x,_xlfn.XLOOKUP(tbl_main[[#This Row],[Service]],tbl_service[Service],tbl_service[Profit],""),
               IF(tbl_main[[#This Row],[Qty]]="","",_xlpm.x*tbl_main[[#This Row],[Qty]]))</f>
        <v>90</v>
      </c>
    </row>
    <row r="1886" spans="1:14" x14ac:dyDescent="0.25">
      <c r="A1886" t="s">
        <v>1928</v>
      </c>
      <c r="B1886" s="1">
        <v>46285</v>
      </c>
      <c r="C1886">
        <f>IF(tbl_main[[#This Row],[Date]]="","",YEAR(B1886))</f>
        <v>2026</v>
      </c>
      <c r="D1886" t="str">
        <f>IF(tbl_main[[#This Row],[Date]]="","",TEXT(B1886,"mmm"))</f>
        <v>Sep</v>
      </c>
      <c r="E1886" t="str">
        <f>IF(tbl_main[[#This Row],[Date]]="","",TEXT(B1886,"DDD"))</f>
        <v>Sun</v>
      </c>
      <c r="F1886" t="s">
        <v>13</v>
      </c>
      <c r="G1886" t="s">
        <v>33</v>
      </c>
      <c r="H1886" s="3" t="s">
        <v>24</v>
      </c>
      <c r="I1886" s="3" t="s">
        <v>41</v>
      </c>
      <c r="J1886" s="3" t="s">
        <v>32</v>
      </c>
      <c r="K1886" s="3">
        <f>_xlfn.XLOOKUP(tbl_main[[#This Row],[Service]],tbl_service[Service],tbl_service[Price],"")</f>
        <v>80</v>
      </c>
      <c r="L1886" s="3">
        <v>1</v>
      </c>
      <c r="M1886" s="3">
        <f>IF(AND(tbl_main[[#This Row],[Price]]="",tbl_main[[#This Row],[Qty]]=""),"",tbl_main[[#This Row],[Price]]*tbl_main[[#This Row],[Qty]])</f>
        <v>80</v>
      </c>
      <c r="N1886" s="3">
        <f>_xlfn.LET(_xlpm.x,_xlfn.XLOOKUP(tbl_main[[#This Row],[Service]],tbl_service[Service],tbl_service[Profit],""),
               IF(tbl_main[[#This Row],[Qty]]="","",_xlpm.x*tbl_main[[#This Row],[Qty]]))</f>
        <v>36</v>
      </c>
    </row>
    <row r="1887" spans="1:14" x14ac:dyDescent="0.25">
      <c r="A1887" t="s">
        <v>1929</v>
      </c>
      <c r="B1887" s="1">
        <v>46285</v>
      </c>
      <c r="C1887">
        <f>IF(tbl_main[[#This Row],[Date]]="","",YEAR(B1887))</f>
        <v>2026</v>
      </c>
      <c r="D1887" t="str">
        <f>IF(tbl_main[[#This Row],[Date]]="","",TEXT(B1887,"mmm"))</f>
        <v>Sep</v>
      </c>
      <c r="E1887" t="str">
        <f>IF(tbl_main[[#This Row],[Date]]="","",TEXT(B1887,"DDD"))</f>
        <v>Sun</v>
      </c>
      <c r="F1887" t="s">
        <v>13</v>
      </c>
      <c r="G1887" t="s">
        <v>33</v>
      </c>
      <c r="H1887" s="3" t="s">
        <v>34</v>
      </c>
      <c r="I1887" s="3" t="s">
        <v>35</v>
      </c>
      <c r="J1887" s="3" t="s">
        <v>32</v>
      </c>
      <c r="K1887" s="3">
        <f>_xlfn.XLOOKUP(tbl_main[[#This Row],[Service]],tbl_service[Service],tbl_service[Price],"")</f>
        <v>100</v>
      </c>
      <c r="L1887" s="3">
        <v>1</v>
      </c>
      <c r="M1887" s="3">
        <f>IF(AND(tbl_main[[#This Row],[Price]]="",tbl_main[[#This Row],[Qty]]=""),"",tbl_main[[#This Row],[Price]]*tbl_main[[#This Row],[Qty]])</f>
        <v>100</v>
      </c>
      <c r="N1887" s="3">
        <f>_xlfn.LET(_xlpm.x,_xlfn.XLOOKUP(tbl_main[[#This Row],[Service]],tbl_service[Service],tbl_service[Profit],""),
               IF(tbl_main[[#This Row],[Qty]]="","",_xlpm.x*tbl_main[[#This Row],[Qty]]))</f>
        <v>45</v>
      </c>
    </row>
    <row r="1888" spans="1:14" x14ac:dyDescent="0.25">
      <c r="A1888" t="s">
        <v>1930</v>
      </c>
      <c r="B1888" s="1">
        <v>46286</v>
      </c>
      <c r="C1888">
        <f>IF(tbl_main[[#This Row],[Date]]="","",YEAR(B1888))</f>
        <v>2026</v>
      </c>
      <c r="D1888" t="str">
        <f>IF(tbl_main[[#This Row],[Date]]="","",TEXT(B1888,"mmm"))</f>
        <v>Sep</v>
      </c>
      <c r="E1888" t="str">
        <f>IF(tbl_main[[#This Row],[Date]]="","",TEXT(B1888,"DDD"))</f>
        <v>Mon</v>
      </c>
      <c r="F1888" t="s">
        <v>20</v>
      </c>
      <c r="G1888" t="s">
        <v>39</v>
      </c>
      <c r="H1888" s="3" t="s">
        <v>15</v>
      </c>
      <c r="I1888" s="3" t="s">
        <v>35</v>
      </c>
      <c r="J1888" s="3" t="s">
        <v>25</v>
      </c>
      <c r="K1888" s="3">
        <f>_xlfn.XLOOKUP(tbl_main[[#This Row],[Service]],tbl_service[Service],tbl_service[Price],"")</f>
        <v>500</v>
      </c>
      <c r="L1888" s="3">
        <v>1</v>
      </c>
      <c r="M1888" s="3">
        <f>IF(AND(tbl_main[[#This Row],[Price]]="",tbl_main[[#This Row],[Qty]]=""),"",tbl_main[[#This Row],[Price]]*tbl_main[[#This Row],[Qty]])</f>
        <v>500</v>
      </c>
      <c r="N1888" s="3">
        <f>_xlfn.LET(_xlpm.x,_xlfn.XLOOKUP(tbl_main[[#This Row],[Service]],tbl_service[Service],tbl_service[Profit],""),
               IF(tbl_main[[#This Row],[Qty]]="","",_xlpm.x*tbl_main[[#This Row],[Qty]]))</f>
        <v>225</v>
      </c>
    </row>
    <row r="1889" spans="1:14" x14ac:dyDescent="0.25">
      <c r="A1889" t="s">
        <v>1931</v>
      </c>
      <c r="B1889" s="1">
        <v>46286</v>
      </c>
      <c r="C1889">
        <f>IF(tbl_main[[#This Row],[Date]]="","",YEAR(B1889))</f>
        <v>2026</v>
      </c>
      <c r="D1889" t="str">
        <f>IF(tbl_main[[#This Row],[Date]]="","",TEXT(B1889,"mmm"))</f>
        <v>Sep</v>
      </c>
      <c r="E1889" t="str">
        <f>IF(tbl_main[[#This Row],[Date]]="","",TEXT(B1889,"DDD"))</f>
        <v>Mon</v>
      </c>
      <c r="F1889" t="s">
        <v>20</v>
      </c>
      <c r="G1889" t="s">
        <v>21</v>
      </c>
      <c r="H1889" s="3" t="s">
        <v>22</v>
      </c>
      <c r="I1889" s="3" t="s">
        <v>23</v>
      </c>
      <c r="J1889" s="3" t="s">
        <v>17</v>
      </c>
      <c r="K1889" s="3">
        <f>_xlfn.XLOOKUP(tbl_main[[#This Row],[Service]],tbl_service[Service],tbl_service[Price],"")</f>
        <v>150</v>
      </c>
      <c r="L1889" s="3">
        <v>1</v>
      </c>
      <c r="M1889" s="3">
        <f>IF(AND(tbl_main[[#This Row],[Price]]="",tbl_main[[#This Row],[Qty]]=""),"",tbl_main[[#This Row],[Price]]*tbl_main[[#This Row],[Qty]])</f>
        <v>150</v>
      </c>
      <c r="N1889" s="3">
        <f>_xlfn.LET(_xlpm.x,_xlfn.XLOOKUP(tbl_main[[#This Row],[Service]],tbl_service[Service],tbl_service[Profit],""),
               IF(tbl_main[[#This Row],[Qty]]="","",_xlpm.x*tbl_main[[#This Row],[Qty]]))</f>
        <v>67</v>
      </c>
    </row>
    <row r="1890" spans="1:14" x14ac:dyDescent="0.25">
      <c r="A1890" t="s">
        <v>1932</v>
      </c>
      <c r="B1890" s="1">
        <v>46286</v>
      </c>
      <c r="C1890">
        <f>IF(tbl_main[[#This Row],[Date]]="","",YEAR(B1890))</f>
        <v>2026</v>
      </c>
      <c r="D1890" t="str">
        <f>IF(tbl_main[[#This Row],[Date]]="","",TEXT(B1890,"mmm"))</f>
        <v>Sep</v>
      </c>
      <c r="E1890" t="str">
        <f>IF(tbl_main[[#This Row],[Date]]="","",TEXT(B1890,"DDD"))</f>
        <v>Mon</v>
      </c>
      <c r="F1890" t="s">
        <v>27</v>
      </c>
      <c r="G1890" t="s">
        <v>28</v>
      </c>
      <c r="H1890" s="3" t="s">
        <v>24</v>
      </c>
      <c r="I1890" s="3" t="s">
        <v>37</v>
      </c>
      <c r="J1890" s="3" t="s">
        <v>25</v>
      </c>
      <c r="K1890" s="3">
        <f>_xlfn.XLOOKUP(tbl_main[[#This Row],[Service]],tbl_service[Service],tbl_service[Price],"")</f>
        <v>80</v>
      </c>
      <c r="L1890" s="3">
        <v>1</v>
      </c>
      <c r="M1890" s="3">
        <f>IF(AND(tbl_main[[#This Row],[Price]]="",tbl_main[[#This Row],[Qty]]=""),"",tbl_main[[#This Row],[Price]]*tbl_main[[#This Row],[Qty]])</f>
        <v>80</v>
      </c>
      <c r="N1890" s="3">
        <f>_xlfn.LET(_xlpm.x,_xlfn.XLOOKUP(tbl_main[[#This Row],[Service]],tbl_service[Service],tbl_service[Profit],""),
               IF(tbl_main[[#This Row],[Qty]]="","",_xlpm.x*tbl_main[[#This Row],[Qty]]))</f>
        <v>36</v>
      </c>
    </row>
    <row r="1891" spans="1:14" x14ac:dyDescent="0.25">
      <c r="A1891" t="s">
        <v>1933</v>
      </c>
      <c r="B1891" s="1">
        <v>46287</v>
      </c>
      <c r="C1891">
        <f>IF(tbl_main[[#This Row],[Date]]="","",YEAR(B1891))</f>
        <v>2026</v>
      </c>
      <c r="D1891" t="str">
        <f>IF(tbl_main[[#This Row],[Date]]="","",TEXT(B1891,"mmm"))</f>
        <v>Sep</v>
      </c>
      <c r="E1891" t="str">
        <f>IF(tbl_main[[#This Row],[Date]]="","",TEXT(B1891,"DDD"))</f>
        <v>Tue</v>
      </c>
      <c r="F1891" t="s">
        <v>13</v>
      </c>
      <c r="G1891" t="s">
        <v>33</v>
      </c>
      <c r="H1891" s="3" t="s">
        <v>15</v>
      </c>
      <c r="I1891" s="3" t="s">
        <v>38</v>
      </c>
      <c r="J1891" s="3" t="s">
        <v>32</v>
      </c>
      <c r="K1891" s="3">
        <f>_xlfn.XLOOKUP(tbl_main[[#This Row],[Service]],tbl_service[Service],tbl_service[Price],"")</f>
        <v>500</v>
      </c>
      <c r="L1891" s="3">
        <v>2</v>
      </c>
      <c r="M1891" s="3">
        <f>IF(AND(tbl_main[[#This Row],[Price]]="",tbl_main[[#This Row],[Qty]]=""),"",tbl_main[[#This Row],[Price]]*tbl_main[[#This Row],[Qty]])</f>
        <v>1000</v>
      </c>
      <c r="N1891" s="3">
        <f>_xlfn.LET(_xlpm.x,_xlfn.XLOOKUP(tbl_main[[#This Row],[Service]],tbl_service[Service],tbl_service[Profit],""),
               IF(tbl_main[[#This Row],[Qty]]="","",_xlpm.x*tbl_main[[#This Row],[Qty]]))</f>
        <v>450</v>
      </c>
    </row>
    <row r="1892" spans="1:14" x14ac:dyDescent="0.25">
      <c r="A1892" t="s">
        <v>1934</v>
      </c>
      <c r="B1892" s="1">
        <v>46287</v>
      </c>
      <c r="C1892">
        <f>IF(tbl_main[[#This Row],[Date]]="","",YEAR(B1892))</f>
        <v>2026</v>
      </c>
      <c r="D1892" t="str">
        <f>IF(tbl_main[[#This Row],[Date]]="","",TEXT(B1892,"mmm"))</f>
        <v>Sep</v>
      </c>
      <c r="E1892" t="str">
        <f>IF(tbl_main[[#This Row],[Date]]="","",TEXT(B1892,"DDD"))</f>
        <v>Tue</v>
      </c>
      <c r="F1892" t="s">
        <v>27</v>
      </c>
      <c r="G1892" t="s">
        <v>40</v>
      </c>
      <c r="H1892" s="3" t="s">
        <v>15</v>
      </c>
      <c r="I1892" s="3" t="s">
        <v>16</v>
      </c>
      <c r="J1892" s="3" t="s">
        <v>17</v>
      </c>
      <c r="K1892" s="3">
        <f>_xlfn.XLOOKUP(tbl_main[[#This Row],[Service]],tbl_service[Service],tbl_service[Price],"")</f>
        <v>500</v>
      </c>
      <c r="L1892" s="3">
        <v>1</v>
      </c>
      <c r="M1892" s="3">
        <f>IF(AND(tbl_main[[#This Row],[Price]]="",tbl_main[[#This Row],[Qty]]=""),"",tbl_main[[#This Row],[Price]]*tbl_main[[#This Row],[Qty]])</f>
        <v>500</v>
      </c>
      <c r="N1892" s="3">
        <f>_xlfn.LET(_xlpm.x,_xlfn.XLOOKUP(tbl_main[[#This Row],[Service]],tbl_service[Service],tbl_service[Profit],""),
               IF(tbl_main[[#This Row],[Qty]]="","",_xlpm.x*tbl_main[[#This Row],[Qty]]))</f>
        <v>225</v>
      </c>
    </row>
    <row r="1893" spans="1:14" x14ac:dyDescent="0.25">
      <c r="A1893" t="s">
        <v>1935</v>
      </c>
      <c r="B1893" s="1">
        <v>46288</v>
      </c>
      <c r="C1893">
        <f>IF(tbl_main[[#This Row],[Date]]="","",YEAR(B1893))</f>
        <v>2026</v>
      </c>
      <c r="D1893" t="str">
        <f>IF(tbl_main[[#This Row],[Date]]="","",TEXT(B1893,"mmm"))</f>
        <v>Sep</v>
      </c>
      <c r="E1893" t="str">
        <f>IF(tbl_main[[#This Row],[Date]]="","",TEXT(B1893,"DDD"))</f>
        <v>Wed</v>
      </c>
      <c r="F1893" t="s">
        <v>20</v>
      </c>
      <c r="G1893" t="s">
        <v>21</v>
      </c>
      <c r="H1893" s="3" t="s">
        <v>15</v>
      </c>
      <c r="I1893" s="3" t="s">
        <v>19</v>
      </c>
      <c r="J1893" s="3" t="s">
        <v>32</v>
      </c>
      <c r="K1893" s="3">
        <f>_xlfn.XLOOKUP(tbl_main[[#This Row],[Service]],tbl_service[Service],tbl_service[Price],"")</f>
        <v>500</v>
      </c>
      <c r="L1893" s="3">
        <v>2</v>
      </c>
      <c r="M1893" s="3">
        <f>IF(AND(tbl_main[[#This Row],[Price]]="",tbl_main[[#This Row],[Qty]]=""),"",tbl_main[[#This Row],[Price]]*tbl_main[[#This Row],[Qty]])</f>
        <v>1000</v>
      </c>
      <c r="N1893" s="3">
        <f>_xlfn.LET(_xlpm.x,_xlfn.XLOOKUP(tbl_main[[#This Row],[Service]],tbl_service[Service],tbl_service[Profit],""),
               IF(tbl_main[[#This Row],[Qty]]="","",_xlpm.x*tbl_main[[#This Row],[Qty]]))</f>
        <v>450</v>
      </c>
    </row>
    <row r="1894" spans="1:14" x14ac:dyDescent="0.25">
      <c r="A1894" t="s">
        <v>1936</v>
      </c>
      <c r="B1894" s="1">
        <v>46288</v>
      </c>
      <c r="C1894">
        <f>IF(tbl_main[[#This Row],[Date]]="","",YEAR(B1894))</f>
        <v>2026</v>
      </c>
      <c r="D1894" t="str">
        <f>IF(tbl_main[[#This Row],[Date]]="","",TEXT(B1894,"mmm"))</f>
        <v>Sep</v>
      </c>
      <c r="E1894" t="str">
        <f>IF(tbl_main[[#This Row],[Date]]="","",TEXT(B1894,"DDD"))</f>
        <v>Wed</v>
      </c>
      <c r="F1894" t="s">
        <v>27</v>
      </c>
      <c r="G1894" t="s">
        <v>40</v>
      </c>
      <c r="H1894" s="3" t="s">
        <v>15</v>
      </c>
      <c r="I1894" s="3" t="s">
        <v>43</v>
      </c>
      <c r="J1894" s="3" t="s">
        <v>32</v>
      </c>
      <c r="K1894" s="3">
        <f>_xlfn.XLOOKUP(tbl_main[[#This Row],[Service]],tbl_service[Service],tbl_service[Price],"")</f>
        <v>500</v>
      </c>
      <c r="L1894" s="3">
        <v>2</v>
      </c>
      <c r="M1894" s="3">
        <f>IF(AND(tbl_main[[#This Row],[Price]]="",tbl_main[[#This Row],[Qty]]=""),"",tbl_main[[#This Row],[Price]]*tbl_main[[#This Row],[Qty]])</f>
        <v>1000</v>
      </c>
      <c r="N1894" s="3">
        <f>_xlfn.LET(_xlpm.x,_xlfn.XLOOKUP(tbl_main[[#This Row],[Service]],tbl_service[Service],tbl_service[Profit],""),
               IF(tbl_main[[#This Row],[Qty]]="","",_xlpm.x*tbl_main[[#This Row],[Qty]]))</f>
        <v>450</v>
      </c>
    </row>
    <row r="1895" spans="1:14" x14ac:dyDescent="0.25">
      <c r="A1895" t="s">
        <v>1937</v>
      </c>
      <c r="B1895" s="1">
        <v>46288</v>
      </c>
      <c r="C1895">
        <f>IF(tbl_main[[#This Row],[Date]]="","",YEAR(B1895))</f>
        <v>2026</v>
      </c>
      <c r="D1895" t="str">
        <f>IF(tbl_main[[#This Row],[Date]]="","",TEXT(B1895,"mmm"))</f>
        <v>Sep</v>
      </c>
      <c r="E1895" t="str">
        <f>IF(tbl_main[[#This Row],[Date]]="","",TEXT(B1895,"DDD"))</f>
        <v>Wed</v>
      </c>
      <c r="F1895" t="s">
        <v>27</v>
      </c>
      <c r="G1895" t="s">
        <v>28</v>
      </c>
      <c r="H1895" s="3" t="s">
        <v>26</v>
      </c>
      <c r="I1895" s="3" t="s">
        <v>42</v>
      </c>
      <c r="J1895" s="3" t="s">
        <v>32</v>
      </c>
      <c r="K1895" s="3">
        <f>_xlfn.XLOOKUP(tbl_main[[#This Row],[Service]],tbl_service[Service],tbl_service[Price],"")</f>
        <v>200</v>
      </c>
      <c r="L1895" s="3">
        <v>1</v>
      </c>
      <c r="M1895" s="3">
        <f>IF(AND(tbl_main[[#This Row],[Price]]="",tbl_main[[#This Row],[Qty]]=""),"",tbl_main[[#This Row],[Price]]*tbl_main[[#This Row],[Qty]])</f>
        <v>200</v>
      </c>
      <c r="N1895" s="3">
        <f>_xlfn.LET(_xlpm.x,_xlfn.XLOOKUP(tbl_main[[#This Row],[Service]],tbl_service[Service],tbl_service[Profit],""),
               IF(tbl_main[[#This Row],[Qty]]="","",_xlpm.x*tbl_main[[#This Row],[Qty]]))</f>
        <v>90</v>
      </c>
    </row>
    <row r="1896" spans="1:14" x14ac:dyDescent="0.25">
      <c r="A1896" t="s">
        <v>1938</v>
      </c>
      <c r="B1896" s="1">
        <v>46289</v>
      </c>
      <c r="C1896">
        <f>IF(tbl_main[[#This Row],[Date]]="","",YEAR(B1896))</f>
        <v>2026</v>
      </c>
      <c r="D1896" t="str">
        <f>IF(tbl_main[[#This Row],[Date]]="","",TEXT(B1896,"mmm"))</f>
        <v>Sep</v>
      </c>
      <c r="E1896" t="str">
        <f>IF(tbl_main[[#This Row],[Date]]="","",TEXT(B1896,"DDD"))</f>
        <v>Thu</v>
      </c>
      <c r="F1896" t="s">
        <v>27</v>
      </c>
      <c r="G1896" t="s">
        <v>40</v>
      </c>
      <c r="H1896" s="3" t="s">
        <v>15</v>
      </c>
      <c r="I1896" s="3" t="s">
        <v>41</v>
      </c>
      <c r="J1896" s="3" t="s">
        <v>17</v>
      </c>
      <c r="K1896" s="3">
        <f>_xlfn.XLOOKUP(tbl_main[[#This Row],[Service]],tbl_service[Service],tbl_service[Price],"")</f>
        <v>500</v>
      </c>
      <c r="L1896" s="3">
        <v>2</v>
      </c>
      <c r="M1896" s="3">
        <f>IF(AND(tbl_main[[#This Row],[Price]]="",tbl_main[[#This Row],[Qty]]=""),"",tbl_main[[#This Row],[Price]]*tbl_main[[#This Row],[Qty]])</f>
        <v>1000</v>
      </c>
      <c r="N1896" s="3">
        <f>_xlfn.LET(_xlpm.x,_xlfn.XLOOKUP(tbl_main[[#This Row],[Service]],tbl_service[Service],tbl_service[Profit],""),
               IF(tbl_main[[#This Row],[Qty]]="","",_xlpm.x*tbl_main[[#This Row],[Qty]]))</f>
        <v>450</v>
      </c>
    </row>
    <row r="1897" spans="1:14" x14ac:dyDescent="0.25">
      <c r="A1897" t="s">
        <v>1939</v>
      </c>
      <c r="B1897" s="1">
        <v>46289</v>
      </c>
      <c r="C1897">
        <f>IF(tbl_main[[#This Row],[Date]]="","",YEAR(B1897))</f>
        <v>2026</v>
      </c>
      <c r="D1897" t="str">
        <f>IF(tbl_main[[#This Row],[Date]]="","",TEXT(B1897,"mmm"))</f>
        <v>Sep</v>
      </c>
      <c r="E1897" t="str">
        <f>IF(tbl_main[[#This Row],[Date]]="","",TEXT(B1897,"DDD"))</f>
        <v>Thu</v>
      </c>
      <c r="F1897" t="s">
        <v>27</v>
      </c>
      <c r="G1897" t="s">
        <v>28</v>
      </c>
      <c r="H1897" s="3" t="s">
        <v>15</v>
      </c>
      <c r="I1897" s="3" t="s">
        <v>35</v>
      </c>
      <c r="J1897" s="3" t="s">
        <v>25</v>
      </c>
      <c r="K1897" s="3">
        <f>_xlfn.XLOOKUP(tbl_main[[#This Row],[Service]],tbl_service[Service],tbl_service[Price],"")</f>
        <v>500</v>
      </c>
      <c r="L1897" s="3">
        <v>1</v>
      </c>
      <c r="M1897" s="3">
        <f>IF(AND(tbl_main[[#This Row],[Price]]="",tbl_main[[#This Row],[Qty]]=""),"",tbl_main[[#This Row],[Price]]*tbl_main[[#This Row],[Qty]])</f>
        <v>500</v>
      </c>
      <c r="N1897" s="3">
        <f>_xlfn.LET(_xlpm.x,_xlfn.XLOOKUP(tbl_main[[#This Row],[Service]],tbl_service[Service],tbl_service[Profit],""),
               IF(tbl_main[[#This Row],[Qty]]="","",_xlpm.x*tbl_main[[#This Row],[Qty]]))</f>
        <v>225</v>
      </c>
    </row>
    <row r="1898" spans="1:14" x14ac:dyDescent="0.25">
      <c r="A1898" t="s">
        <v>1940</v>
      </c>
      <c r="B1898" s="1">
        <v>46290</v>
      </c>
      <c r="C1898">
        <f>IF(tbl_main[[#This Row],[Date]]="","",YEAR(B1898))</f>
        <v>2026</v>
      </c>
      <c r="D1898" t="str">
        <f>IF(tbl_main[[#This Row],[Date]]="","",TEXT(B1898,"mmm"))</f>
        <v>Sep</v>
      </c>
      <c r="E1898" t="str">
        <f>IF(tbl_main[[#This Row],[Date]]="","",TEXT(B1898,"DDD"))</f>
        <v>Fri</v>
      </c>
      <c r="F1898" t="s">
        <v>13</v>
      </c>
      <c r="G1898" t="s">
        <v>33</v>
      </c>
      <c r="H1898" s="3" t="s">
        <v>24</v>
      </c>
      <c r="I1898" s="3" t="s">
        <v>35</v>
      </c>
      <c r="J1898" s="3" t="s">
        <v>32</v>
      </c>
      <c r="K1898" s="3">
        <f>_xlfn.XLOOKUP(tbl_main[[#This Row],[Service]],tbl_service[Service],tbl_service[Price],"")</f>
        <v>80</v>
      </c>
      <c r="L1898" s="3">
        <v>2</v>
      </c>
      <c r="M1898" s="3">
        <f>IF(AND(tbl_main[[#This Row],[Price]]="",tbl_main[[#This Row],[Qty]]=""),"",tbl_main[[#This Row],[Price]]*tbl_main[[#This Row],[Qty]])</f>
        <v>160</v>
      </c>
      <c r="N1898" s="3">
        <f>_xlfn.LET(_xlpm.x,_xlfn.XLOOKUP(tbl_main[[#This Row],[Service]],tbl_service[Service],tbl_service[Profit],""),
               IF(tbl_main[[#This Row],[Qty]]="","",_xlpm.x*tbl_main[[#This Row],[Qty]]))</f>
        <v>72</v>
      </c>
    </row>
    <row r="1899" spans="1:14" x14ac:dyDescent="0.25">
      <c r="A1899" t="s">
        <v>1941</v>
      </c>
      <c r="B1899" s="1">
        <v>46290</v>
      </c>
      <c r="C1899">
        <f>IF(tbl_main[[#This Row],[Date]]="","",YEAR(B1899))</f>
        <v>2026</v>
      </c>
      <c r="D1899" t="str">
        <f>IF(tbl_main[[#This Row],[Date]]="","",TEXT(B1899,"mmm"))</f>
        <v>Sep</v>
      </c>
      <c r="E1899" t="str">
        <f>IF(tbl_main[[#This Row],[Date]]="","",TEXT(B1899,"DDD"))</f>
        <v>Fri</v>
      </c>
      <c r="F1899" t="s">
        <v>27</v>
      </c>
      <c r="G1899" t="s">
        <v>28</v>
      </c>
      <c r="H1899" s="3" t="s">
        <v>24</v>
      </c>
      <c r="I1899" s="3" t="s">
        <v>23</v>
      </c>
      <c r="J1899" s="3" t="s">
        <v>17</v>
      </c>
      <c r="K1899" s="3">
        <f>_xlfn.XLOOKUP(tbl_main[[#This Row],[Service]],tbl_service[Service],tbl_service[Price],"")</f>
        <v>80</v>
      </c>
      <c r="L1899" s="3">
        <v>2</v>
      </c>
      <c r="M1899" s="3">
        <f>IF(AND(tbl_main[[#This Row],[Price]]="",tbl_main[[#This Row],[Qty]]=""),"",tbl_main[[#This Row],[Price]]*tbl_main[[#This Row],[Qty]])</f>
        <v>160</v>
      </c>
      <c r="N1899" s="3">
        <f>_xlfn.LET(_xlpm.x,_xlfn.XLOOKUP(tbl_main[[#This Row],[Service]],tbl_service[Service],tbl_service[Profit],""),
               IF(tbl_main[[#This Row],[Qty]]="","",_xlpm.x*tbl_main[[#This Row],[Qty]]))</f>
        <v>72</v>
      </c>
    </row>
    <row r="1900" spans="1:14" x14ac:dyDescent="0.25">
      <c r="A1900" t="s">
        <v>1942</v>
      </c>
      <c r="B1900" s="1">
        <v>46291</v>
      </c>
      <c r="C1900">
        <f>IF(tbl_main[[#This Row],[Date]]="","",YEAR(B1900))</f>
        <v>2026</v>
      </c>
      <c r="D1900" t="str">
        <f>IF(tbl_main[[#This Row],[Date]]="","",TEXT(B1900,"mmm"))</f>
        <v>Sep</v>
      </c>
      <c r="E1900" t="str">
        <f>IF(tbl_main[[#This Row],[Date]]="","",TEXT(B1900,"DDD"))</f>
        <v>Sat</v>
      </c>
      <c r="F1900" t="s">
        <v>30</v>
      </c>
      <c r="G1900" t="s">
        <v>31</v>
      </c>
      <c r="H1900" s="3" t="s">
        <v>22</v>
      </c>
      <c r="I1900" s="3" t="s">
        <v>37</v>
      </c>
      <c r="J1900" s="3" t="s">
        <v>17</v>
      </c>
      <c r="K1900" s="3">
        <f>_xlfn.XLOOKUP(tbl_main[[#This Row],[Service]],tbl_service[Service],tbl_service[Price],"")</f>
        <v>150</v>
      </c>
      <c r="L1900" s="3">
        <v>2</v>
      </c>
      <c r="M1900" s="3">
        <f>IF(AND(tbl_main[[#This Row],[Price]]="",tbl_main[[#This Row],[Qty]]=""),"",tbl_main[[#This Row],[Price]]*tbl_main[[#This Row],[Qty]])</f>
        <v>300</v>
      </c>
      <c r="N1900" s="3">
        <f>_xlfn.LET(_xlpm.x,_xlfn.XLOOKUP(tbl_main[[#This Row],[Service]],tbl_service[Service],tbl_service[Profit],""),
               IF(tbl_main[[#This Row],[Qty]]="","",_xlpm.x*tbl_main[[#This Row],[Qty]]))</f>
        <v>134</v>
      </c>
    </row>
    <row r="1901" spans="1:14" x14ac:dyDescent="0.25">
      <c r="A1901" t="s">
        <v>1943</v>
      </c>
      <c r="B1901" s="1">
        <v>46291</v>
      </c>
      <c r="C1901">
        <f>IF(tbl_main[[#This Row],[Date]]="","",YEAR(B1901))</f>
        <v>2026</v>
      </c>
      <c r="D1901" t="str">
        <f>IF(tbl_main[[#This Row],[Date]]="","",TEXT(B1901,"mmm"))</f>
        <v>Sep</v>
      </c>
      <c r="E1901" t="str">
        <f>IF(tbl_main[[#This Row],[Date]]="","",TEXT(B1901,"DDD"))</f>
        <v>Sat</v>
      </c>
      <c r="F1901" t="s">
        <v>20</v>
      </c>
      <c r="G1901" t="s">
        <v>21</v>
      </c>
      <c r="H1901" s="3" t="s">
        <v>26</v>
      </c>
      <c r="I1901" s="3" t="s">
        <v>38</v>
      </c>
      <c r="J1901" s="3" t="s">
        <v>17</v>
      </c>
      <c r="K1901" s="3">
        <f>_xlfn.XLOOKUP(tbl_main[[#This Row],[Service]],tbl_service[Service],tbl_service[Price],"")</f>
        <v>200</v>
      </c>
      <c r="L1901" s="3">
        <v>1</v>
      </c>
      <c r="M1901" s="3">
        <f>IF(AND(tbl_main[[#This Row],[Price]]="",tbl_main[[#This Row],[Qty]]=""),"",tbl_main[[#This Row],[Price]]*tbl_main[[#This Row],[Qty]])</f>
        <v>200</v>
      </c>
      <c r="N1901" s="3">
        <f>_xlfn.LET(_xlpm.x,_xlfn.XLOOKUP(tbl_main[[#This Row],[Service]],tbl_service[Service],tbl_service[Profit],""),
               IF(tbl_main[[#This Row],[Qty]]="","",_xlpm.x*tbl_main[[#This Row],[Qty]]))</f>
        <v>90</v>
      </c>
    </row>
    <row r="1902" spans="1:14" x14ac:dyDescent="0.25">
      <c r="A1902" t="s">
        <v>1944</v>
      </c>
      <c r="B1902" s="1">
        <v>46291</v>
      </c>
      <c r="C1902">
        <f>IF(tbl_main[[#This Row],[Date]]="","",YEAR(B1902))</f>
        <v>2026</v>
      </c>
      <c r="D1902" t="str">
        <f>IF(tbl_main[[#This Row],[Date]]="","",TEXT(B1902,"mmm"))</f>
        <v>Sep</v>
      </c>
      <c r="E1902" t="str">
        <f>IF(tbl_main[[#This Row],[Date]]="","",TEXT(B1902,"DDD"))</f>
        <v>Sat</v>
      </c>
      <c r="F1902" t="s">
        <v>13</v>
      </c>
      <c r="G1902" t="s">
        <v>14</v>
      </c>
      <c r="H1902" s="3" t="s">
        <v>24</v>
      </c>
      <c r="I1902" s="3" t="s">
        <v>16</v>
      </c>
      <c r="J1902" s="3" t="s">
        <v>25</v>
      </c>
      <c r="K1902" s="3">
        <f>_xlfn.XLOOKUP(tbl_main[[#This Row],[Service]],tbl_service[Service],tbl_service[Price],"")</f>
        <v>80</v>
      </c>
      <c r="L1902" s="3">
        <v>2</v>
      </c>
      <c r="M1902" s="3">
        <f>IF(AND(tbl_main[[#This Row],[Price]]="",tbl_main[[#This Row],[Qty]]=""),"",tbl_main[[#This Row],[Price]]*tbl_main[[#This Row],[Qty]])</f>
        <v>160</v>
      </c>
      <c r="N1902" s="3">
        <f>_xlfn.LET(_xlpm.x,_xlfn.XLOOKUP(tbl_main[[#This Row],[Service]],tbl_service[Service],tbl_service[Profit],""),
               IF(tbl_main[[#This Row],[Qty]]="","",_xlpm.x*tbl_main[[#This Row],[Qty]]))</f>
        <v>72</v>
      </c>
    </row>
    <row r="1903" spans="1:14" x14ac:dyDescent="0.25">
      <c r="A1903" t="s">
        <v>1945</v>
      </c>
      <c r="B1903" s="1">
        <v>46292</v>
      </c>
      <c r="C1903">
        <f>IF(tbl_main[[#This Row],[Date]]="","",YEAR(B1903))</f>
        <v>2026</v>
      </c>
      <c r="D1903" t="str">
        <f>IF(tbl_main[[#This Row],[Date]]="","",TEXT(B1903,"mmm"))</f>
        <v>Sep</v>
      </c>
      <c r="E1903" t="str">
        <f>IF(tbl_main[[#This Row],[Date]]="","",TEXT(B1903,"DDD"))</f>
        <v>Sun</v>
      </c>
      <c r="F1903" t="s">
        <v>13</v>
      </c>
      <c r="G1903" t="s">
        <v>14</v>
      </c>
      <c r="H1903" s="3" t="s">
        <v>26</v>
      </c>
      <c r="I1903" s="3" t="s">
        <v>19</v>
      </c>
      <c r="J1903" s="3" t="s">
        <v>25</v>
      </c>
      <c r="K1903" s="3">
        <f>_xlfn.XLOOKUP(tbl_main[[#This Row],[Service]],tbl_service[Service],tbl_service[Price],"")</f>
        <v>200</v>
      </c>
      <c r="L1903" s="3">
        <v>2</v>
      </c>
      <c r="M1903" s="3">
        <f>IF(AND(tbl_main[[#This Row],[Price]]="",tbl_main[[#This Row],[Qty]]=""),"",tbl_main[[#This Row],[Price]]*tbl_main[[#This Row],[Qty]])</f>
        <v>400</v>
      </c>
      <c r="N1903" s="3">
        <f>_xlfn.LET(_xlpm.x,_xlfn.XLOOKUP(tbl_main[[#This Row],[Service]],tbl_service[Service],tbl_service[Profit],""),
               IF(tbl_main[[#This Row],[Qty]]="","",_xlpm.x*tbl_main[[#This Row],[Qty]]))</f>
        <v>180</v>
      </c>
    </row>
    <row r="1904" spans="1:14" x14ac:dyDescent="0.25">
      <c r="A1904" t="s">
        <v>1946</v>
      </c>
      <c r="B1904" s="1">
        <v>46292</v>
      </c>
      <c r="C1904">
        <f>IF(tbl_main[[#This Row],[Date]]="","",YEAR(B1904))</f>
        <v>2026</v>
      </c>
      <c r="D1904" t="str">
        <f>IF(tbl_main[[#This Row],[Date]]="","",TEXT(B1904,"mmm"))</f>
        <v>Sep</v>
      </c>
      <c r="E1904" t="str">
        <f>IF(tbl_main[[#This Row],[Date]]="","",TEXT(B1904,"DDD"))</f>
        <v>Sun</v>
      </c>
      <c r="F1904" t="s">
        <v>13</v>
      </c>
      <c r="G1904" t="s">
        <v>33</v>
      </c>
      <c r="H1904" s="3" t="s">
        <v>24</v>
      </c>
      <c r="I1904" s="3" t="s">
        <v>43</v>
      </c>
      <c r="J1904" s="3" t="s">
        <v>17</v>
      </c>
      <c r="K1904" s="3">
        <f>_xlfn.XLOOKUP(tbl_main[[#This Row],[Service]],tbl_service[Service],tbl_service[Price],"")</f>
        <v>80</v>
      </c>
      <c r="L1904" s="3">
        <v>1</v>
      </c>
      <c r="M1904" s="3">
        <f>IF(AND(tbl_main[[#This Row],[Price]]="",tbl_main[[#This Row],[Qty]]=""),"",tbl_main[[#This Row],[Price]]*tbl_main[[#This Row],[Qty]])</f>
        <v>80</v>
      </c>
      <c r="N1904" s="3">
        <f>_xlfn.LET(_xlpm.x,_xlfn.XLOOKUP(tbl_main[[#This Row],[Service]],tbl_service[Service],tbl_service[Profit],""),
               IF(tbl_main[[#This Row],[Qty]]="","",_xlpm.x*tbl_main[[#This Row],[Qty]]))</f>
        <v>36</v>
      </c>
    </row>
    <row r="1905" spans="1:14" x14ac:dyDescent="0.25">
      <c r="A1905" t="s">
        <v>1947</v>
      </c>
      <c r="B1905" s="1">
        <v>46292</v>
      </c>
      <c r="C1905">
        <f>IF(tbl_main[[#This Row],[Date]]="","",YEAR(B1905))</f>
        <v>2026</v>
      </c>
      <c r="D1905" t="str">
        <f>IF(tbl_main[[#This Row],[Date]]="","",TEXT(B1905,"mmm"))</f>
        <v>Sep</v>
      </c>
      <c r="E1905" t="str">
        <f>IF(tbl_main[[#This Row],[Date]]="","",TEXT(B1905,"DDD"))</f>
        <v>Sun</v>
      </c>
      <c r="F1905" t="s">
        <v>13</v>
      </c>
      <c r="G1905" t="s">
        <v>33</v>
      </c>
      <c r="H1905" s="3" t="s">
        <v>22</v>
      </c>
      <c r="I1905" s="3" t="s">
        <v>42</v>
      </c>
      <c r="J1905" s="3" t="s">
        <v>17</v>
      </c>
      <c r="K1905" s="3">
        <f>_xlfn.XLOOKUP(tbl_main[[#This Row],[Service]],tbl_service[Service],tbl_service[Price],"")</f>
        <v>150</v>
      </c>
      <c r="L1905" s="3">
        <v>1</v>
      </c>
      <c r="M1905" s="3">
        <f>IF(AND(tbl_main[[#This Row],[Price]]="",tbl_main[[#This Row],[Qty]]=""),"",tbl_main[[#This Row],[Price]]*tbl_main[[#This Row],[Qty]])</f>
        <v>150</v>
      </c>
      <c r="N1905" s="3">
        <f>_xlfn.LET(_xlpm.x,_xlfn.XLOOKUP(tbl_main[[#This Row],[Service]],tbl_service[Service],tbl_service[Profit],""),
               IF(tbl_main[[#This Row],[Qty]]="","",_xlpm.x*tbl_main[[#This Row],[Qty]]))</f>
        <v>67</v>
      </c>
    </row>
    <row r="1906" spans="1:14" x14ac:dyDescent="0.25">
      <c r="A1906" t="s">
        <v>1948</v>
      </c>
      <c r="B1906" s="1">
        <v>46293</v>
      </c>
      <c r="C1906">
        <f>IF(tbl_main[[#This Row],[Date]]="","",YEAR(B1906))</f>
        <v>2026</v>
      </c>
      <c r="D1906" t="str">
        <f>IF(tbl_main[[#This Row],[Date]]="","",TEXT(B1906,"mmm"))</f>
        <v>Sep</v>
      </c>
      <c r="E1906" t="str">
        <f>IF(tbl_main[[#This Row],[Date]]="","",TEXT(B1906,"DDD"))</f>
        <v>Mon</v>
      </c>
      <c r="F1906" t="s">
        <v>27</v>
      </c>
      <c r="G1906" t="s">
        <v>28</v>
      </c>
      <c r="H1906" s="3" t="s">
        <v>26</v>
      </c>
      <c r="I1906" s="3" t="s">
        <v>41</v>
      </c>
      <c r="J1906" s="3" t="s">
        <v>25</v>
      </c>
      <c r="K1906" s="3">
        <f>_xlfn.XLOOKUP(tbl_main[[#This Row],[Service]],tbl_service[Service],tbl_service[Price],"")</f>
        <v>200</v>
      </c>
      <c r="L1906" s="3">
        <v>1</v>
      </c>
      <c r="M1906" s="3">
        <f>IF(AND(tbl_main[[#This Row],[Price]]="",tbl_main[[#This Row],[Qty]]=""),"",tbl_main[[#This Row],[Price]]*tbl_main[[#This Row],[Qty]])</f>
        <v>200</v>
      </c>
      <c r="N1906" s="3">
        <f>_xlfn.LET(_xlpm.x,_xlfn.XLOOKUP(tbl_main[[#This Row],[Service]],tbl_service[Service],tbl_service[Profit],""),
               IF(tbl_main[[#This Row],[Qty]]="","",_xlpm.x*tbl_main[[#This Row],[Qty]]))</f>
        <v>90</v>
      </c>
    </row>
    <row r="1907" spans="1:14" x14ac:dyDescent="0.25">
      <c r="A1907" t="s">
        <v>1949</v>
      </c>
      <c r="B1907" s="1">
        <v>46293</v>
      </c>
      <c r="C1907">
        <f>IF(tbl_main[[#This Row],[Date]]="","",YEAR(B1907))</f>
        <v>2026</v>
      </c>
      <c r="D1907" t="str">
        <f>IF(tbl_main[[#This Row],[Date]]="","",TEXT(B1907,"mmm"))</f>
        <v>Sep</v>
      </c>
      <c r="E1907" t="str">
        <f>IF(tbl_main[[#This Row],[Date]]="","",TEXT(B1907,"DDD"))</f>
        <v>Mon</v>
      </c>
      <c r="F1907" t="s">
        <v>20</v>
      </c>
      <c r="G1907" t="s">
        <v>39</v>
      </c>
      <c r="H1907" s="3" t="s">
        <v>26</v>
      </c>
      <c r="I1907" s="3" t="s">
        <v>35</v>
      </c>
      <c r="J1907" s="3" t="s">
        <v>17</v>
      </c>
      <c r="K1907" s="3">
        <f>_xlfn.XLOOKUP(tbl_main[[#This Row],[Service]],tbl_service[Service],tbl_service[Price],"")</f>
        <v>200</v>
      </c>
      <c r="L1907" s="3">
        <v>2</v>
      </c>
      <c r="M1907" s="3">
        <f>IF(AND(tbl_main[[#This Row],[Price]]="",tbl_main[[#This Row],[Qty]]=""),"",tbl_main[[#This Row],[Price]]*tbl_main[[#This Row],[Qty]])</f>
        <v>400</v>
      </c>
      <c r="N1907" s="3">
        <f>_xlfn.LET(_xlpm.x,_xlfn.XLOOKUP(tbl_main[[#This Row],[Service]],tbl_service[Service],tbl_service[Profit],""),
               IF(tbl_main[[#This Row],[Qty]]="","",_xlpm.x*tbl_main[[#This Row],[Qty]]))</f>
        <v>180</v>
      </c>
    </row>
    <row r="1908" spans="1:14" x14ac:dyDescent="0.25">
      <c r="A1908" t="s">
        <v>1950</v>
      </c>
      <c r="B1908" s="1">
        <v>46293</v>
      </c>
      <c r="C1908">
        <f>IF(tbl_main[[#This Row],[Date]]="","",YEAR(B1908))</f>
        <v>2026</v>
      </c>
      <c r="D1908" t="str">
        <f>IF(tbl_main[[#This Row],[Date]]="","",TEXT(B1908,"mmm"))</f>
        <v>Sep</v>
      </c>
      <c r="E1908" t="str">
        <f>IF(tbl_main[[#This Row],[Date]]="","",TEXT(B1908,"DDD"))</f>
        <v>Mon</v>
      </c>
      <c r="F1908" t="s">
        <v>27</v>
      </c>
      <c r="G1908" t="s">
        <v>40</v>
      </c>
      <c r="H1908" s="3" t="s">
        <v>18</v>
      </c>
      <c r="I1908" s="3" t="s">
        <v>35</v>
      </c>
      <c r="J1908" s="3" t="s">
        <v>32</v>
      </c>
      <c r="K1908" s="3">
        <f>_xlfn.XLOOKUP(tbl_main[[#This Row],[Service]],tbl_service[Service],tbl_service[Price],"")</f>
        <v>500</v>
      </c>
      <c r="L1908" s="3">
        <v>2</v>
      </c>
      <c r="M1908" s="3">
        <f>IF(AND(tbl_main[[#This Row],[Price]]="",tbl_main[[#This Row],[Qty]]=""),"",tbl_main[[#This Row],[Price]]*tbl_main[[#This Row],[Qty]])</f>
        <v>1000</v>
      </c>
      <c r="N1908" s="3">
        <f>_xlfn.LET(_xlpm.x,_xlfn.XLOOKUP(tbl_main[[#This Row],[Service]],tbl_service[Service],tbl_service[Profit],""),
               IF(tbl_main[[#This Row],[Qty]]="","",_xlpm.x*tbl_main[[#This Row],[Qty]]))</f>
        <v>314</v>
      </c>
    </row>
    <row r="1909" spans="1:14" x14ac:dyDescent="0.25">
      <c r="A1909" t="s">
        <v>1951</v>
      </c>
      <c r="B1909" s="1">
        <v>46294</v>
      </c>
      <c r="C1909">
        <f>IF(tbl_main[[#This Row],[Date]]="","",YEAR(B1909))</f>
        <v>2026</v>
      </c>
      <c r="D1909" t="str">
        <f>IF(tbl_main[[#This Row],[Date]]="","",TEXT(B1909,"mmm"))</f>
        <v>Sep</v>
      </c>
      <c r="E1909" t="str">
        <f>IF(tbl_main[[#This Row],[Date]]="","",TEXT(B1909,"DDD"))</f>
        <v>Tue</v>
      </c>
      <c r="F1909" t="s">
        <v>27</v>
      </c>
      <c r="G1909" t="s">
        <v>40</v>
      </c>
      <c r="H1909" s="3" t="s">
        <v>26</v>
      </c>
      <c r="I1909" s="3" t="s">
        <v>23</v>
      </c>
      <c r="J1909" s="3" t="s">
        <v>25</v>
      </c>
      <c r="K1909" s="3">
        <f>_xlfn.XLOOKUP(tbl_main[[#This Row],[Service]],tbl_service[Service],tbl_service[Price],"")</f>
        <v>200</v>
      </c>
      <c r="L1909" s="3">
        <v>2</v>
      </c>
      <c r="M1909" s="3">
        <f>IF(AND(tbl_main[[#This Row],[Price]]="",tbl_main[[#This Row],[Qty]]=""),"",tbl_main[[#This Row],[Price]]*tbl_main[[#This Row],[Qty]])</f>
        <v>400</v>
      </c>
      <c r="N1909" s="3">
        <f>_xlfn.LET(_xlpm.x,_xlfn.XLOOKUP(tbl_main[[#This Row],[Service]],tbl_service[Service],tbl_service[Profit],""),
               IF(tbl_main[[#This Row],[Qty]]="","",_xlpm.x*tbl_main[[#This Row],[Qty]]))</f>
        <v>180</v>
      </c>
    </row>
    <row r="1910" spans="1:14" x14ac:dyDescent="0.25">
      <c r="A1910" t="s">
        <v>1952</v>
      </c>
      <c r="B1910" s="1">
        <v>46294</v>
      </c>
      <c r="C1910">
        <f>IF(tbl_main[[#This Row],[Date]]="","",YEAR(B1910))</f>
        <v>2026</v>
      </c>
      <c r="D1910" t="str">
        <f>IF(tbl_main[[#This Row],[Date]]="","",TEXT(B1910,"mmm"))</f>
        <v>Sep</v>
      </c>
      <c r="E1910" t="str">
        <f>IF(tbl_main[[#This Row],[Date]]="","",TEXT(B1910,"DDD"))</f>
        <v>Tue</v>
      </c>
      <c r="F1910" t="s">
        <v>13</v>
      </c>
      <c r="G1910" t="s">
        <v>33</v>
      </c>
      <c r="H1910" s="3" t="s">
        <v>18</v>
      </c>
      <c r="I1910" s="3" t="s">
        <v>37</v>
      </c>
      <c r="J1910" s="3" t="s">
        <v>32</v>
      </c>
      <c r="K1910" s="3">
        <f>_xlfn.XLOOKUP(tbl_main[[#This Row],[Service]],tbl_service[Service],tbl_service[Price],"")</f>
        <v>500</v>
      </c>
      <c r="L1910" s="3">
        <v>2</v>
      </c>
      <c r="M1910" s="3">
        <f>IF(AND(tbl_main[[#This Row],[Price]]="",tbl_main[[#This Row],[Qty]]=""),"",tbl_main[[#This Row],[Price]]*tbl_main[[#This Row],[Qty]])</f>
        <v>1000</v>
      </c>
      <c r="N1910" s="3">
        <f>_xlfn.LET(_xlpm.x,_xlfn.XLOOKUP(tbl_main[[#This Row],[Service]],tbl_service[Service],tbl_service[Profit],""),
               IF(tbl_main[[#This Row],[Qty]]="","",_xlpm.x*tbl_main[[#This Row],[Qty]]))</f>
        <v>314</v>
      </c>
    </row>
    <row r="1911" spans="1:14" x14ac:dyDescent="0.25">
      <c r="A1911" t="s">
        <v>1953</v>
      </c>
      <c r="B1911" s="1">
        <v>46294</v>
      </c>
      <c r="C1911">
        <f>IF(tbl_main[[#This Row],[Date]]="","",YEAR(B1911))</f>
        <v>2026</v>
      </c>
      <c r="D1911" t="str">
        <f>IF(tbl_main[[#This Row],[Date]]="","",TEXT(B1911,"mmm"))</f>
        <v>Sep</v>
      </c>
      <c r="E1911" t="str">
        <f>IF(tbl_main[[#This Row],[Date]]="","",TEXT(B1911,"DDD"))</f>
        <v>Tue</v>
      </c>
      <c r="F1911" t="s">
        <v>30</v>
      </c>
      <c r="G1911" t="s">
        <v>31</v>
      </c>
      <c r="H1911" s="3" t="s">
        <v>22</v>
      </c>
      <c r="I1911" s="3" t="s">
        <v>38</v>
      </c>
      <c r="J1911" s="3" t="s">
        <v>25</v>
      </c>
      <c r="K1911" s="3">
        <f>_xlfn.XLOOKUP(tbl_main[[#This Row],[Service]],tbl_service[Service],tbl_service[Price],"")</f>
        <v>150</v>
      </c>
      <c r="L1911" s="3">
        <v>2</v>
      </c>
      <c r="M1911" s="3">
        <f>IF(AND(tbl_main[[#This Row],[Price]]="",tbl_main[[#This Row],[Qty]]=""),"",tbl_main[[#This Row],[Price]]*tbl_main[[#This Row],[Qty]])</f>
        <v>300</v>
      </c>
      <c r="N1911" s="3">
        <f>_xlfn.LET(_xlpm.x,_xlfn.XLOOKUP(tbl_main[[#This Row],[Service]],tbl_service[Service],tbl_service[Profit],""),
               IF(tbl_main[[#This Row],[Qty]]="","",_xlpm.x*tbl_main[[#This Row],[Qty]]))</f>
        <v>134</v>
      </c>
    </row>
    <row r="1912" spans="1:14" x14ac:dyDescent="0.25">
      <c r="A1912" t="s">
        <v>1954</v>
      </c>
      <c r="B1912" s="1">
        <v>46295</v>
      </c>
      <c r="C1912">
        <f>IF(tbl_main[[#This Row],[Date]]="","",YEAR(B1912))</f>
        <v>2026</v>
      </c>
      <c r="D1912" t="str">
        <f>IF(tbl_main[[#This Row],[Date]]="","",TEXT(B1912,"mmm"))</f>
        <v>Sep</v>
      </c>
      <c r="E1912" t="str">
        <f>IF(tbl_main[[#This Row],[Date]]="","",TEXT(B1912,"DDD"))</f>
        <v>Wed</v>
      </c>
      <c r="F1912" t="s">
        <v>27</v>
      </c>
      <c r="G1912" t="s">
        <v>40</v>
      </c>
      <c r="H1912" s="3" t="s">
        <v>34</v>
      </c>
      <c r="I1912" s="3" t="s">
        <v>16</v>
      </c>
      <c r="J1912" s="3" t="s">
        <v>17</v>
      </c>
      <c r="K1912" s="3">
        <f>_xlfn.XLOOKUP(tbl_main[[#This Row],[Service]],tbl_service[Service],tbl_service[Price],"")</f>
        <v>100</v>
      </c>
      <c r="L1912" s="3">
        <v>2</v>
      </c>
      <c r="M1912" s="3">
        <f>IF(AND(tbl_main[[#This Row],[Price]]="",tbl_main[[#This Row],[Qty]]=""),"",tbl_main[[#This Row],[Price]]*tbl_main[[#This Row],[Qty]])</f>
        <v>200</v>
      </c>
      <c r="N1912" s="3">
        <f>_xlfn.LET(_xlpm.x,_xlfn.XLOOKUP(tbl_main[[#This Row],[Service]],tbl_service[Service],tbl_service[Profit],""),
               IF(tbl_main[[#This Row],[Qty]]="","",_xlpm.x*tbl_main[[#This Row],[Qty]]))</f>
        <v>90</v>
      </c>
    </row>
    <row r="1913" spans="1:14" x14ac:dyDescent="0.25">
      <c r="A1913" t="s">
        <v>1955</v>
      </c>
      <c r="B1913" s="1">
        <v>46295</v>
      </c>
      <c r="C1913">
        <f>IF(tbl_main[[#This Row],[Date]]="","",YEAR(B1913))</f>
        <v>2026</v>
      </c>
      <c r="D1913" t="str">
        <f>IF(tbl_main[[#This Row],[Date]]="","",TEXT(B1913,"mmm"))</f>
        <v>Sep</v>
      </c>
      <c r="E1913" t="str">
        <f>IF(tbl_main[[#This Row],[Date]]="","",TEXT(B1913,"DDD"))</f>
        <v>Wed</v>
      </c>
      <c r="F1913" t="s">
        <v>20</v>
      </c>
      <c r="G1913" t="s">
        <v>29</v>
      </c>
      <c r="H1913" s="3" t="s">
        <v>18</v>
      </c>
      <c r="I1913" s="3" t="s">
        <v>19</v>
      </c>
      <c r="J1913" s="3" t="s">
        <v>32</v>
      </c>
      <c r="K1913" s="3">
        <f>_xlfn.XLOOKUP(tbl_main[[#This Row],[Service]],tbl_service[Service],tbl_service[Price],"")</f>
        <v>500</v>
      </c>
      <c r="L1913" s="3">
        <v>1</v>
      </c>
      <c r="M1913" s="3">
        <f>IF(AND(tbl_main[[#This Row],[Price]]="",tbl_main[[#This Row],[Qty]]=""),"",tbl_main[[#This Row],[Price]]*tbl_main[[#This Row],[Qty]])</f>
        <v>500</v>
      </c>
      <c r="N1913" s="3">
        <f>_xlfn.LET(_xlpm.x,_xlfn.XLOOKUP(tbl_main[[#This Row],[Service]],tbl_service[Service],tbl_service[Profit],""),
               IF(tbl_main[[#This Row],[Qty]]="","",_xlpm.x*tbl_main[[#This Row],[Qty]]))</f>
        <v>157</v>
      </c>
    </row>
    <row r="1914" spans="1:14" x14ac:dyDescent="0.25">
      <c r="A1914" t="s">
        <v>1956</v>
      </c>
      <c r="B1914" s="1">
        <v>46296</v>
      </c>
      <c r="C1914">
        <f>IF(tbl_main[[#This Row],[Date]]="","",YEAR(B1914))</f>
        <v>2026</v>
      </c>
      <c r="D1914" t="str">
        <f>IF(tbl_main[[#This Row],[Date]]="","",TEXT(B1914,"mmm"))</f>
        <v>Oct</v>
      </c>
      <c r="E1914" t="str">
        <f>IF(tbl_main[[#This Row],[Date]]="","",TEXT(B1914,"DDD"))</f>
        <v>Thu</v>
      </c>
      <c r="F1914" t="s">
        <v>13</v>
      </c>
      <c r="G1914" t="s">
        <v>14</v>
      </c>
      <c r="H1914" s="3" t="s">
        <v>22</v>
      </c>
      <c r="I1914" s="3" t="s">
        <v>43</v>
      </c>
      <c r="J1914" s="3" t="s">
        <v>25</v>
      </c>
      <c r="K1914" s="3">
        <f>_xlfn.XLOOKUP(tbl_main[[#This Row],[Service]],tbl_service[Service],tbl_service[Price],"")</f>
        <v>150</v>
      </c>
      <c r="L1914" s="3">
        <v>2</v>
      </c>
      <c r="M1914" s="3">
        <f>IF(AND(tbl_main[[#This Row],[Price]]="",tbl_main[[#This Row],[Qty]]=""),"",tbl_main[[#This Row],[Price]]*tbl_main[[#This Row],[Qty]])</f>
        <v>300</v>
      </c>
      <c r="N1914" s="3">
        <f>_xlfn.LET(_xlpm.x,_xlfn.XLOOKUP(tbl_main[[#This Row],[Service]],tbl_service[Service],tbl_service[Profit],""),
               IF(tbl_main[[#This Row],[Qty]]="","",_xlpm.x*tbl_main[[#This Row],[Qty]]))</f>
        <v>134</v>
      </c>
    </row>
    <row r="1915" spans="1:14" x14ac:dyDescent="0.25">
      <c r="A1915" t="s">
        <v>1957</v>
      </c>
      <c r="B1915" s="1">
        <v>46296</v>
      </c>
      <c r="C1915">
        <f>IF(tbl_main[[#This Row],[Date]]="","",YEAR(B1915))</f>
        <v>2026</v>
      </c>
      <c r="D1915" t="str">
        <f>IF(tbl_main[[#This Row],[Date]]="","",TEXT(B1915,"mmm"))</f>
        <v>Oct</v>
      </c>
      <c r="E1915" t="str">
        <f>IF(tbl_main[[#This Row],[Date]]="","",TEXT(B1915,"DDD"))</f>
        <v>Thu</v>
      </c>
      <c r="F1915" t="s">
        <v>20</v>
      </c>
      <c r="G1915" t="s">
        <v>21</v>
      </c>
      <c r="H1915" s="3" t="s">
        <v>24</v>
      </c>
      <c r="I1915" s="3" t="s">
        <v>42</v>
      </c>
      <c r="J1915" s="3" t="s">
        <v>32</v>
      </c>
      <c r="K1915" s="3">
        <f>_xlfn.XLOOKUP(tbl_main[[#This Row],[Service]],tbl_service[Service],tbl_service[Price],"")</f>
        <v>80</v>
      </c>
      <c r="L1915" s="3">
        <v>2</v>
      </c>
      <c r="M1915" s="3">
        <f>IF(AND(tbl_main[[#This Row],[Price]]="",tbl_main[[#This Row],[Qty]]=""),"",tbl_main[[#This Row],[Price]]*tbl_main[[#This Row],[Qty]])</f>
        <v>160</v>
      </c>
      <c r="N1915" s="3">
        <f>_xlfn.LET(_xlpm.x,_xlfn.XLOOKUP(tbl_main[[#This Row],[Service]],tbl_service[Service],tbl_service[Profit],""),
               IF(tbl_main[[#This Row],[Qty]]="","",_xlpm.x*tbl_main[[#This Row],[Qty]]))</f>
        <v>72</v>
      </c>
    </row>
    <row r="1916" spans="1:14" x14ac:dyDescent="0.25">
      <c r="A1916" t="s">
        <v>1958</v>
      </c>
      <c r="B1916" s="1">
        <v>46296</v>
      </c>
      <c r="C1916">
        <f>IF(tbl_main[[#This Row],[Date]]="","",YEAR(B1916))</f>
        <v>2026</v>
      </c>
      <c r="D1916" t="str">
        <f>IF(tbl_main[[#This Row],[Date]]="","",TEXT(B1916,"mmm"))</f>
        <v>Oct</v>
      </c>
      <c r="E1916" t="str">
        <f>IF(tbl_main[[#This Row],[Date]]="","",TEXT(B1916,"DDD"))</f>
        <v>Thu</v>
      </c>
      <c r="F1916" t="s">
        <v>30</v>
      </c>
      <c r="G1916" t="s">
        <v>31</v>
      </c>
      <c r="H1916" s="3" t="s">
        <v>15</v>
      </c>
      <c r="I1916" s="3" t="s">
        <v>41</v>
      </c>
      <c r="J1916" s="3" t="s">
        <v>17</v>
      </c>
      <c r="K1916" s="3">
        <f>_xlfn.XLOOKUP(tbl_main[[#This Row],[Service]],tbl_service[Service],tbl_service[Price],"")</f>
        <v>500</v>
      </c>
      <c r="L1916" s="3">
        <v>1</v>
      </c>
      <c r="M1916" s="3">
        <f>IF(AND(tbl_main[[#This Row],[Price]]="",tbl_main[[#This Row],[Qty]]=""),"",tbl_main[[#This Row],[Price]]*tbl_main[[#This Row],[Qty]])</f>
        <v>500</v>
      </c>
      <c r="N1916" s="3">
        <f>_xlfn.LET(_xlpm.x,_xlfn.XLOOKUP(tbl_main[[#This Row],[Service]],tbl_service[Service],tbl_service[Profit],""),
               IF(tbl_main[[#This Row],[Qty]]="","",_xlpm.x*tbl_main[[#This Row],[Qty]]))</f>
        <v>225</v>
      </c>
    </row>
    <row r="1917" spans="1:14" x14ac:dyDescent="0.25">
      <c r="A1917" t="s">
        <v>1959</v>
      </c>
      <c r="B1917" s="1">
        <v>46296</v>
      </c>
      <c r="C1917">
        <f>IF(tbl_main[[#This Row],[Date]]="","",YEAR(B1917))</f>
        <v>2026</v>
      </c>
      <c r="D1917" t="str">
        <f>IF(tbl_main[[#This Row],[Date]]="","",TEXT(B1917,"mmm"))</f>
        <v>Oct</v>
      </c>
      <c r="E1917" t="str">
        <f>IF(tbl_main[[#This Row],[Date]]="","",TEXT(B1917,"DDD"))</f>
        <v>Thu</v>
      </c>
      <c r="F1917" t="s">
        <v>20</v>
      </c>
      <c r="G1917" t="s">
        <v>21</v>
      </c>
      <c r="H1917" s="3" t="s">
        <v>26</v>
      </c>
      <c r="I1917" s="3" t="s">
        <v>35</v>
      </c>
      <c r="J1917" s="3" t="s">
        <v>32</v>
      </c>
      <c r="K1917" s="3">
        <f>_xlfn.XLOOKUP(tbl_main[[#This Row],[Service]],tbl_service[Service],tbl_service[Price],"")</f>
        <v>200</v>
      </c>
      <c r="L1917" s="3">
        <v>2</v>
      </c>
      <c r="M1917" s="3">
        <f>IF(AND(tbl_main[[#This Row],[Price]]="",tbl_main[[#This Row],[Qty]]=""),"",tbl_main[[#This Row],[Price]]*tbl_main[[#This Row],[Qty]])</f>
        <v>400</v>
      </c>
      <c r="N1917" s="3">
        <f>_xlfn.LET(_xlpm.x,_xlfn.XLOOKUP(tbl_main[[#This Row],[Service]],tbl_service[Service],tbl_service[Profit],""),
               IF(tbl_main[[#This Row],[Qty]]="","",_xlpm.x*tbl_main[[#This Row],[Qty]]))</f>
        <v>180</v>
      </c>
    </row>
    <row r="1918" spans="1:14" x14ac:dyDescent="0.25">
      <c r="A1918" t="s">
        <v>1960</v>
      </c>
      <c r="B1918" s="1">
        <v>46297</v>
      </c>
      <c r="C1918">
        <f>IF(tbl_main[[#This Row],[Date]]="","",YEAR(B1918))</f>
        <v>2026</v>
      </c>
      <c r="D1918" t="str">
        <f>IF(tbl_main[[#This Row],[Date]]="","",TEXT(B1918,"mmm"))</f>
        <v>Oct</v>
      </c>
      <c r="E1918" t="str">
        <f>IF(tbl_main[[#This Row],[Date]]="","",TEXT(B1918,"DDD"))</f>
        <v>Fri</v>
      </c>
      <c r="F1918" t="s">
        <v>27</v>
      </c>
      <c r="G1918" t="s">
        <v>28</v>
      </c>
      <c r="H1918" s="3" t="s">
        <v>34</v>
      </c>
      <c r="I1918" s="3" t="s">
        <v>35</v>
      </c>
      <c r="J1918" s="3" t="s">
        <v>32</v>
      </c>
      <c r="K1918" s="3">
        <f>_xlfn.XLOOKUP(tbl_main[[#This Row],[Service]],tbl_service[Service],tbl_service[Price],"")</f>
        <v>100</v>
      </c>
      <c r="L1918" s="3">
        <v>1</v>
      </c>
      <c r="M1918" s="3">
        <f>IF(AND(tbl_main[[#This Row],[Price]]="",tbl_main[[#This Row],[Qty]]=""),"",tbl_main[[#This Row],[Price]]*tbl_main[[#This Row],[Qty]])</f>
        <v>100</v>
      </c>
      <c r="N1918" s="3">
        <f>_xlfn.LET(_xlpm.x,_xlfn.XLOOKUP(tbl_main[[#This Row],[Service]],tbl_service[Service],tbl_service[Profit],""),
               IF(tbl_main[[#This Row],[Qty]]="","",_xlpm.x*tbl_main[[#This Row],[Qty]]))</f>
        <v>45</v>
      </c>
    </row>
    <row r="1919" spans="1:14" x14ac:dyDescent="0.25">
      <c r="A1919" t="s">
        <v>1961</v>
      </c>
      <c r="B1919" s="1">
        <v>46297</v>
      </c>
      <c r="C1919">
        <f>IF(tbl_main[[#This Row],[Date]]="","",YEAR(B1919))</f>
        <v>2026</v>
      </c>
      <c r="D1919" t="str">
        <f>IF(tbl_main[[#This Row],[Date]]="","",TEXT(B1919,"mmm"))</f>
        <v>Oct</v>
      </c>
      <c r="E1919" t="str">
        <f>IF(tbl_main[[#This Row],[Date]]="","",TEXT(B1919,"DDD"))</f>
        <v>Fri</v>
      </c>
      <c r="F1919" t="s">
        <v>20</v>
      </c>
      <c r="G1919" t="s">
        <v>39</v>
      </c>
      <c r="H1919" s="3" t="s">
        <v>24</v>
      </c>
      <c r="I1919" s="3" t="s">
        <v>23</v>
      </c>
      <c r="J1919" s="3" t="s">
        <v>32</v>
      </c>
      <c r="K1919" s="3">
        <f>_xlfn.XLOOKUP(tbl_main[[#This Row],[Service]],tbl_service[Service],tbl_service[Price],"")</f>
        <v>80</v>
      </c>
      <c r="L1919" s="3">
        <v>1</v>
      </c>
      <c r="M1919" s="3">
        <f>IF(AND(tbl_main[[#This Row],[Price]]="",tbl_main[[#This Row],[Qty]]=""),"",tbl_main[[#This Row],[Price]]*tbl_main[[#This Row],[Qty]])</f>
        <v>80</v>
      </c>
      <c r="N1919" s="3">
        <f>_xlfn.LET(_xlpm.x,_xlfn.XLOOKUP(tbl_main[[#This Row],[Service]],tbl_service[Service],tbl_service[Profit],""),
               IF(tbl_main[[#This Row],[Qty]]="","",_xlpm.x*tbl_main[[#This Row],[Qty]]))</f>
        <v>36</v>
      </c>
    </row>
    <row r="1920" spans="1:14" x14ac:dyDescent="0.25">
      <c r="A1920" t="s">
        <v>1962</v>
      </c>
      <c r="B1920" s="1">
        <v>46297</v>
      </c>
      <c r="C1920">
        <f>IF(tbl_main[[#This Row],[Date]]="","",YEAR(B1920))</f>
        <v>2026</v>
      </c>
      <c r="D1920" t="str">
        <f>IF(tbl_main[[#This Row],[Date]]="","",TEXT(B1920,"mmm"))</f>
        <v>Oct</v>
      </c>
      <c r="E1920" t="str">
        <f>IF(tbl_main[[#This Row],[Date]]="","",TEXT(B1920,"DDD"))</f>
        <v>Fri</v>
      </c>
      <c r="F1920" t="s">
        <v>27</v>
      </c>
      <c r="G1920" t="s">
        <v>28</v>
      </c>
      <c r="H1920" s="3" t="s">
        <v>15</v>
      </c>
      <c r="I1920" s="3" t="s">
        <v>37</v>
      </c>
      <c r="J1920" s="3" t="s">
        <v>17</v>
      </c>
      <c r="K1920" s="3">
        <f>_xlfn.XLOOKUP(tbl_main[[#This Row],[Service]],tbl_service[Service],tbl_service[Price],"")</f>
        <v>500</v>
      </c>
      <c r="L1920" s="3">
        <v>2</v>
      </c>
      <c r="M1920" s="3">
        <f>IF(AND(tbl_main[[#This Row],[Price]]="",tbl_main[[#This Row],[Qty]]=""),"",tbl_main[[#This Row],[Price]]*tbl_main[[#This Row],[Qty]])</f>
        <v>1000</v>
      </c>
      <c r="N1920" s="3">
        <f>_xlfn.LET(_xlpm.x,_xlfn.XLOOKUP(tbl_main[[#This Row],[Service]],tbl_service[Service],tbl_service[Profit],""),
               IF(tbl_main[[#This Row],[Qty]]="","",_xlpm.x*tbl_main[[#This Row],[Qty]]))</f>
        <v>450</v>
      </c>
    </row>
    <row r="1921" spans="1:14" x14ac:dyDescent="0.25">
      <c r="A1921" t="s">
        <v>1963</v>
      </c>
      <c r="B1921" s="1">
        <v>46297</v>
      </c>
      <c r="C1921">
        <f>IF(tbl_main[[#This Row],[Date]]="","",YEAR(B1921))</f>
        <v>2026</v>
      </c>
      <c r="D1921" t="str">
        <f>IF(tbl_main[[#This Row],[Date]]="","",TEXT(B1921,"mmm"))</f>
        <v>Oct</v>
      </c>
      <c r="E1921" t="str">
        <f>IF(tbl_main[[#This Row],[Date]]="","",TEXT(B1921,"DDD"))</f>
        <v>Fri</v>
      </c>
      <c r="F1921" t="s">
        <v>20</v>
      </c>
      <c r="G1921" t="s">
        <v>21</v>
      </c>
      <c r="H1921" s="3" t="s">
        <v>24</v>
      </c>
      <c r="I1921" s="3" t="s">
        <v>38</v>
      </c>
      <c r="J1921" s="3" t="s">
        <v>17</v>
      </c>
      <c r="K1921" s="3">
        <f>_xlfn.XLOOKUP(tbl_main[[#This Row],[Service]],tbl_service[Service],tbl_service[Price],"")</f>
        <v>80</v>
      </c>
      <c r="L1921" s="3">
        <v>2</v>
      </c>
      <c r="M1921" s="3">
        <f>IF(AND(tbl_main[[#This Row],[Price]]="",tbl_main[[#This Row],[Qty]]=""),"",tbl_main[[#This Row],[Price]]*tbl_main[[#This Row],[Qty]])</f>
        <v>160</v>
      </c>
      <c r="N1921" s="3">
        <f>_xlfn.LET(_xlpm.x,_xlfn.XLOOKUP(tbl_main[[#This Row],[Service]],tbl_service[Service],tbl_service[Profit],""),
               IF(tbl_main[[#This Row],[Qty]]="","",_xlpm.x*tbl_main[[#This Row],[Qty]]))</f>
        <v>72</v>
      </c>
    </row>
    <row r="1922" spans="1:14" x14ac:dyDescent="0.25">
      <c r="A1922" t="s">
        <v>1964</v>
      </c>
      <c r="B1922" s="1">
        <v>46298</v>
      </c>
      <c r="C1922">
        <f>IF(tbl_main[[#This Row],[Date]]="","",YEAR(B1922))</f>
        <v>2026</v>
      </c>
      <c r="D1922" t="str">
        <f>IF(tbl_main[[#This Row],[Date]]="","",TEXT(B1922,"mmm"))</f>
        <v>Oct</v>
      </c>
      <c r="E1922" t="str">
        <f>IF(tbl_main[[#This Row],[Date]]="","",TEXT(B1922,"DDD"))</f>
        <v>Sat</v>
      </c>
      <c r="F1922" t="s">
        <v>13</v>
      </c>
      <c r="G1922" t="s">
        <v>14</v>
      </c>
      <c r="H1922" s="3" t="s">
        <v>26</v>
      </c>
      <c r="I1922" s="3" t="s">
        <v>16</v>
      </c>
      <c r="J1922" s="3" t="s">
        <v>17</v>
      </c>
      <c r="K1922" s="3">
        <f>_xlfn.XLOOKUP(tbl_main[[#This Row],[Service]],tbl_service[Service],tbl_service[Price],"")</f>
        <v>200</v>
      </c>
      <c r="L1922" s="3">
        <v>2</v>
      </c>
      <c r="M1922" s="3">
        <f>IF(AND(tbl_main[[#This Row],[Price]]="",tbl_main[[#This Row],[Qty]]=""),"",tbl_main[[#This Row],[Price]]*tbl_main[[#This Row],[Qty]])</f>
        <v>400</v>
      </c>
      <c r="N1922" s="3">
        <f>_xlfn.LET(_xlpm.x,_xlfn.XLOOKUP(tbl_main[[#This Row],[Service]],tbl_service[Service],tbl_service[Profit],""),
               IF(tbl_main[[#This Row],[Qty]]="","",_xlpm.x*tbl_main[[#This Row],[Qty]]))</f>
        <v>180</v>
      </c>
    </row>
    <row r="1923" spans="1:14" x14ac:dyDescent="0.25">
      <c r="A1923" t="s">
        <v>1965</v>
      </c>
      <c r="B1923" s="1">
        <v>46298</v>
      </c>
      <c r="C1923">
        <f>IF(tbl_main[[#This Row],[Date]]="","",YEAR(B1923))</f>
        <v>2026</v>
      </c>
      <c r="D1923" t="str">
        <f>IF(tbl_main[[#This Row],[Date]]="","",TEXT(B1923,"mmm"))</f>
        <v>Oct</v>
      </c>
      <c r="E1923" t="str">
        <f>IF(tbl_main[[#This Row],[Date]]="","",TEXT(B1923,"DDD"))</f>
        <v>Sat</v>
      </c>
      <c r="F1923" t="s">
        <v>20</v>
      </c>
      <c r="G1923" t="s">
        <v>39</v>
      </c>
      <c r="H1923" s="3" t="s">
        <v>18</v>
      </c>
      <c r="I1923" s="3" t="s">
        <v>19</v>
      </c>
      <c r="J1923" s="3" t="s">
        <v>25</v>
      </c>
      <c r="K1923" s="3">
        <f>_xlfn.XLOOKUP(tbl_main[[#This Row],[Service]],tbl_service[Service],tbl_service[Price],"")</f>
        <v>500</v>
      </c>
      <c r="L1923" s="3">
        <v>2</v>
      </c>
      <c r="M1923" s="3">
        <f>IF(AND(tbl_main[[#This Row],[Price]]="",tbl_main[[#This Row],[Qty]]=""),"",tbl_main[[#This Row],[Price]]*tbl_main[[#This Row],[Qty]])</f>
        <v>1000</v>
      </c>
      <c r="N1923" s="3">
        <f>_xlfn.LET(_xlpm.x,_xlfn.XLOOKUP(tbl_main[[#This Row],[Service]],tbl_service[Service],tbl_service[Profit],""),
               IF(tbl_main[[#This Row],[Qty]]="","",_xlpm.x*tbl_main[[#This Row],[Qty]]))</f>
        <v>314</v>
      </c>
    </row>
    <row r="1924" spans="1:14" x14ac:dyDescent="0.25">
      <c r="A1924" t="s">
        <v>1966</v>
      </c>
      <c r="B1924" s="1">
        <v>46298</v>
      </c>
      <c r="C1924">
        <f>IF(tbl_main[[#This Row],[Date]]="","",YEAR(B1924))</f>
        <v>2026</v>
      </c>
      <c r="D1924" t="str">
        <f>IF(tbl_main[[#This Row],[Date]]="","",TEXT(B1924,"mmm"))</f>
        <v>Oct</v>
      </c>
      <c r="E1924" t="str">
        <f>IF(tbl_main[[#This Row],[Date]]="","",TEXT(B1924,"DDD"))</f>
        <v>Sat</v>
      </c>
      <c r="F1924" t="s">
        <v>30</v>
      </c>
      <c r="G1924" t="s">
        <v>31</v>
      </c>
      <c r="H1924" s="3" t="s">
        <v>15</v>
      </c>
      <c r="I1924" s="3" t="s">
        <v>43</v>
      </c>
      <c r="J1924" s="3" t="s">
        <v>32</v>
      </c>
      <c r="K1924" s="3">
        <f>_xlfn.XLOOKUP(tbl_main[[#This Row],[Service]],tbl_service[Service],tbl_service[Price],"")</f>
        <v>500</v>
      </c>
      <c r="L1924" s="3">
        <v>2</v>
      </c>
      <c r="M1924" s="3">
        <f>IF(AND(tbl_main[[#This Row],[Price]]="",tbl_main[[#This Row],[Qty]]=""),"",tbl_main[[#This Row],[Price]]*tbl_main[[#This Row],[Qty]])</f>
        <v>1000</v>
      </c>
      <c r="N1924" s="3">
        <f>_xlfn.LET(_xlpm.x,_xlfn.XLOOKUP(tbl_main[[#This Row],[Service]],tbl_service[Service],tbl_service[Profit],""),
               IF(tbl_main[[#This Row],[Qty]]="","",_xlpm.x*tbl_main[[#This Row],[Qty]]))</f>
        <v>450</v>
      </c>
    </row>
    <row r="1925" spans="1:14" x14ac:dyDescent="0.25">
      <c r="A1925" t="s">
        <v>1967</v>
      </c>
      <c r="B1925" s="1">
        <v>46298</v>
      </c>
      <c r="C1925">
        <f>IF(tbl_main[[#This Row],[Date]]="","",YEAR(B1925))</f>
        <v>2026</v>
      </c>
      <c r="D1925" t="str">
        <f>IF(tbl_main[[#This Row],[Date]]="","",TEXT(B1925,"mmm"))</f>
        <v>Oct</v>
      </c>
      <c r="E1925" t="str">
        <f>IF(tbl_main[[#This Row],[Date]]="","",TEXT(B1925,"DDD"))</f>
        <v>Sat</v>
      </c>
      <c r="F1925" t="s">
        <v>27</v>
      </c>
      <c r="G1925" t="s">
        <v>28</v>
      </c>
      <c r="H1925" s="3" t="s">
        <v>22</v>
      </c>
      <c r="I1925" s="3" t="s">
        <v>42</v>
      </c>
      <c r="J1925" s="3" t="s">
        <v>32</v>
      </c>
      <c r="K1925" s="3">
        <f>_xlfn.XLOOKUP(tbl_main[[#This Row],[Service]],tbl_service[Service],tbl_service[Price],"")</f>
        <v>150</v>
      </c>
      <c r="L1925" s="3">
        <v>2</v>
      </c>
      <c r="M1925" s="3">
        <f>IF(AND(tbl_main[[#This Row],[Price]]="",tbl_main[[#This Row],[Qty]]=""),"",tbl_main[[#This Row],[Price]]*tbl_main[[#This Row],[Qty]])</f>
        <v>300</v>
      </c>
      <c r="N1925" s="3">
        <f>_xlfn.LET(_xlpm.x,_xlfn.XLOOKUP(tbl_main[[#This Row],[Service]],tbl_service[Service],tbl_service[Profit],""),
               IF(tbl_main[[#This Row],[Qty]]="","",_xlpm.x*tbl_main[[#This Row],[Qty]]))</f>
        <v>134</v>
      </c>
    </row>
    <row r="1926" spans="1:14" x14ac:dyDescent="0.25">
      <c r="A1926" t="s">
        <v>1968</v>
      </c>
      <c r="B1926" s="1">
        <v>46299</v>
      </c>
      <c r="C1926">
        <f>IF(tbl_main[[#This Row],[Date]]="","",YEAR(B1926))</f>
        <v>2026</v>
      </c>
      <c r="D1926" t="str">
        <f>IF(tbl_main[[#This Row],[Date]]="","",TEXT(B1926,"mmm"))</f>
        <v>Oct</v>
      </c>
      <c r="E1926" t="str">
        <f>IF(tbl_main[[#This Row],[Date]]="","",TEXT(B1926,"DDD"))</f>
        <v>Sun</v>
      </c>
      <c r="F1926" t="s">
        <v>20</v>
      </c>
      <c r="G1926" t="s">
        <v>29</v>
      </c>
      <c r="H1926" s="3" t="s">
        <v>26</v>
      </c>
      <c r="I1926" s="3" t="s">
        <v>41</v>
      </c>
      <c r="J1926" s="3" t="s">
        <v>17</v>
      </c>
      <c r="K1926" s="3">
        <f>_xlfn.XLOOKUP(tbl_main[[#This Row],[Service]],tbl_service[Service],tbl_service[Price],"")</f>
        <v>200</v>
      </c>
      <c r="L1926" s="3">
        <v>2</v>
      </c>
      <c r="M1926" s="3">
        <f>IF(AND(tbl_main[[#This Row],[Price]]="",tbl_main[[#This Row],[Qty]]=""),"",tbl_main[[#This Row],[Price]]*tbl_main[[#This Row],[Qty]])</f>
        <v>400</v>
      </c>
      <c r="N1926" s="3">
        <f>_xlfn.LET(_xlpm.x,_xlfn.XLOOKUP(tbl_main[[#This Row],[Service]],tbl_service[Service],tbl_service[Profit],""),
               IF(tbl_main[[#This Row],[Qty]]="","",_xlpm.x*tbl_main[[#This Row],[Qty]]))</f>
        <v>180</v>
      </c>
    </row>
    <row r="1927" spans="1:14" x14ac:dyDescent="0.25">
      <c r="A1927" t="s">
        <v>1969</v>
      </c>
      <c r="B1927" s="1">
        <v>46299</v>
      </c>
      <c r="C1927">
        <f>IF(tbl_main[[#This Row],[Date]]="","",YEAR(B1927))</f>
        <v>2026</v>
      </c>
      <c r="D1927" t="str">
        <f>IF(tbl_main[[#This Row],[Date]]="","",TEXT(B1927,"mmm"))</f>
        <v>Oct</v>
      </c>
      <c r="E1927" t="str">
        <f>IF(tbl_main[[#This Row],[Date]]="","",TEXT(B1927,"DDD"))</f>
        <v>Sun</v>
      </c>
      <c r="F1927" t="s">
        <v>13</v>
      </c>
      <c r="G1927" t="s">
        <v>33</v>
      </c>
      <c r="H1927" s="3" t="s">
        <v>24</v>
      </c>
      <c r="I1927" s="3" t="s">
        <v>35</v>
      </c>
      <c r="J1927" s="3" t="s">
        <v>32</v>
      </c>
      <c r="K1927" s="3">
        <f>_xlfn.XLOOKUP(tbl_main[[#This Row],[Service]],tbl_service[Service],tbl_service[Price],"")</f>
        <v>80</v>
      </c>
      <c r="L1927" s="3">
        <v>1</v>
      </c>
      <c r="M1927" s="3">
        <f>IF(AND(tbl_main[[#This Row],[Price]]="",tbl_main[[#This Row],[Qty]]=""),"",tbl_main[[#This Row],[Price]]*tbl_main[[#This Row],[Qty]])</f>
        <v>80</v>
      </c>
      <c r="N1927" s="3">
        <f>_xlfn.LET(_xlpm.x,_xlfn.XLOOKUP(tbl_main[[#This Row],[Service]],tbl_service[Service],tbl_service[Profit],""),
               IF(tbl_main[[#This Row],[Qty]]="","",_xlpm.x*tbl_main[[#This Row],[Qty]]))</f>
        <v>36</v>
      </c>
    </row>
    <row r="1928" spans="1:14" x14ac:dyDescent="0.25">
      <c r="A1928" t="s">
        <v>1970</v>
      </c>
      <c r="B1928" s="1">
        <v>46300</v>
      </c>
      <c r="C1928">
        <f>IF(tbl_main[[#This Row],[Date]]="","",YEAR(B1928))</f>
        <v>2026</v>
      </c>
      <c r="D1928" t="str">
        <f>IF(tbl_main[[#This Row],[Date]]="","",TEXT(B1928,"mmm"))</f>
        <v>Oct</v>
      </c>
      <c r="E1928" t="str">
        <f>IF(tbl_main[[#This Row],[Date]]="","",TEXT(B1928,"DDD"))</f>
        <v>Mon</v>
      </c>
      <c r="F1928" t="s">
        <v>30</v>
      </c>
      <c r="G1928" t="s">
        <v>31</v>
      </c>
      <c r="H1928" s="3" t="s">
        <v>26</v>
      </c>
      <c r="I1928" s="3" t="s">
        <v>35</v>
      </c>
      <c r="J1928" s="3" t="s">
        <v>17</v>
      </c>
      <c r="K1928" s="3">
        <f>_xlfn.XLOOKUP(tbl_main[[#This Row],[Service]],tbl_service[Service],tbl_service[Price],"")</f>
        <v>200</v>
      </c>
      <c r="L1928" s="3">
        <v>2</v>
      </c>
      <c r="M1928" s="3">
        <f>IF(AND(tbl_main[[#This Row],[Price]]="",tbl_main[[#This Row],[Qty]]=""),"",tbl_main[[#This Row],[Price]]*tbl_main[[#This Row],[Qty]])</f>
        <v>400</v>
      </c>
      <c r="N1928" s="3">
        <f>_xlfn.LET(_xlpm.x,_xlfn.XLOOKUP(tbl_main[[#This Row],[Service]],tbl_service[Service],tbl_service[Profit],""),
               IF(tbl_main[[#This Row],[Qty]]="","",_xlpm.x*tbl_main[[#This Row],[Qty]]))</f>
        <v>180</v>
      </c>
    </row>
    <row r="1929" spans="1:14" x14ac:dyDescent="0.25">
      <c r="A1929" t="s">
        <v>1971</v>
      </c>
      <c r="B1929" s="1">
        <v>46300</v>
      </c>
      <c r="C1929">
        <f>IF(tbl_main[[#This Row],[Date]]="","",YEAR(B1929))</f>
        <v>2026</v>
      </c>
      <c r="D1929" t="str">
        <f>IF(tbl_main[[#This Row],[Date]]="","",TEXT(B1929,"mmm"))</f>
        <v>Oct</v>
      </c>
      <c r="E1929" t="str">
        <f>IF(tbl_main[[#This Row],[Date]]="","",TEXT(B1929,"DDD"))</f>
        <v>Mon</v>
      </c>
      <c r="F1929" t="s">
        <v>13</v>
      </c>
      <c r="G1929" t="s">
        <v>14</v>
      </c>
      <c r="H1929" s="3" t="s">
        <v>22</v>
      </c>
      <c r="I1929" s="3" t="s">
        <v>23</v>
      </c>
      <c r="J1929" s="3" t="s">
        <v>32</v>
      </c>
      <c r="K1929" s="3">
        <f>_xlfn.XLOOKUP(tbl_main[[#This Row],[Service]],tbl_service[Service],tbl_service[Price],"")</f>
        <v>150</v>
      </c>
      <c r="L1929" s="3">
        <v>1</v>
      </c>
      <c r="M1929" s="3">
        <f>IF(AND(tbl_main[[#This Row],[Price]]="",tbl_main[[#This Row],[Qty]]=""),"",tbl_main[[#This Row],[Price]]*tbl_main[[#This Row],[Qty]])</f>
        <v>150</v>
      </c>
      <c r="N1929" s="3">
        <f>_xlfn.LET(_xlpm.x,_xlfn.XLOOKUP(tbl_main[[#This Row],[Service]],tbl_service[Service],tbl_service[Profit],""),
               IF(tbl_main[[#This Row],[Qty]]="","",_xlpm.x*tbl_main[[#This Row],[Qty]]))</f>
        <v>67</v>
      </c>
    </row>
    <row r="1930" spans="1:14" x14ac:dyDescent="0.25">
      <c r="A1930" t="s">
        <v>1972</v>
      </c>
      <c r="B1930" s="1">
        <v>46300</v>
      </c>
      <c r="C1930">
        <f>IF(tbl_main[[#This Row],[Date]]="","",YEAR(B1930))</f>
        <v>2026</v>
      </c>
      <c r="D1930" t="str">
        <f>IF(tbl_main[[#This Row],[Date]]="","",TEXT(B1930,"mmm"))</f>
        <v>Oct</v>
      </c>
      <c r="E1930" t="str">
        <f>IF(tbl_main[[#This Row],[Date]]="","",TEXT(B1930,"DDD"))</f>
        <v>Mon</v>
      </c>
      <c r="F1930" t="s">
        <v>20</v>
      </c>
      <c r="G1930" t="s">
        <v>29</v>
      </c>
      <c r="H1930" s="3" t="s">
        <v>18</v>
      </c>
      <c r="I1930" s="3" t="s">
        <v>37</v>
      </c>
      <c r="J1930" s="3" t="s">
        <v>32</v>
      </c>
      <c r="K1930" s="3">
        <f>_xlfn.XLOOKUP(tbl_main[[#This Row],[Service]],tbl_service[Service],tbl_service[Price],"")</f>
        <v>500</v>
      </c>
      <c r="L1930" s="3">
        <v>1</v>
      </c>
      <c r="M1930" s="3">
        <f>IF(AND(tbl_main[[#This Row],[Price]]="",tbl_main[[#This Row],[Qty]]=""),"",tbl_main[[#This Row],[Price]]*tbl_main[[#This Row],[Qty]])</f>
        <v>500</v>
      </c>
      <c r="N1930" s="3">
        <f>_xlfn.LET(_xlpm.x,_xlfn.XLOOKUP(tbl_main[[#This Row],[Service]],tbl_service[Service],tbl_service[Profit],""),
               IF(tbl_main[[#This Row],[Qty]]="","",_xlpm.x*tbl_main[[#This Row],[Qty]]))</f>
        <v>157</v>
      </c>
    </row>
    <row r="1931" spans="1:14" x14ac:dyDescent="0.25">
      <c r="A1931" t="s">
        <v>1973</v>
      </c>
      <c r="B1931" s="1">
        <v>46300</v>
      </c>
      <c r="C1931">
        <f>IF(tbl_main[[#This Row],[Date]]="","",YEAR(B1931))</f>
        <v>2026</v>
      </c>
      <c r="D1931" t="str">
        <f>IF(tbl_main[[#This Row],[Date]]="","",TEXT(B1931,"mmm"))</f>
        <v>Oct</v>
      </c>
      <c r="E1931" t="str">
        <f>IF(tbl_main[[#This Row],[Date]]="","",TEXT(B1931,"DDD"))</f>
        <v>Mon</v>
      </c>
      <c r="F1931" t="s">
        <v>20</v>
      </c>
      <c r="G1931" t="s">
        <v>39</v>
      </c>
      <c r="H1931" s="3" t="s">
        <v>22</v>
      </c>
      <c r="I1931" s="3" t="s">
        <v>38</v>
      </c>
      <c r="J1931" s="3" t="s">
        <v>17</v>
      </c>
      <c r="K1931" s="3">
        <f>_xlfn.XLOOKUP(tbl_main[[#This Row],[Service]],tbl_service[Service],tbl_service[Price],"")</f>
        <v>150</v>
      </c>
      <c r="L1931" s="3">
        <v>1</v>
      </c>
      <c r="M1931" s="3">
        <f>IF(AND(tbl_main[[#This Row],[Price]]="",tbl_main[[#This Row],[Qty]]=""),"",tbl_main[[#This Row],[Price]]*tbl_main[[#This Row],[Qty]])</f>
        <v>150</v>
      </c>
      <c r="N1931" s="3">
        <f>_xlfn.LET(_xlpm.x,_xlfn.XLOOKUP(tbl_main[[#This Row],[Service]],tbl_service[Service],tbl_service[Profit],""),
               IF(tbl_main[[#This Row],[Qty]]="","",_xlpm.x*tbl_main[[#This Row],[Qty]]))</f>
        <v>67</v>
      </c>
    </row>
    <row r="1932" spans="1:14" x14ac:dyDescent="0.25">
      <c r="A1932" t="s">
        <v>1974</v>
      </c>
      <c r="B1932" s="1">
        <v>46301</v>
      </c>
      <c r="C1932">
        <f>IF(tbl_main[[#This Row],[Date]]="","",YEAR(B1932))</f>
        <v>2026</v>
      </c>
      <c r="D1932" t="str">
        <f>IF(tbl_main[[#This Row],[Date]]="","",TEXT(B1932,"mmm"))</f>
        <v>Oct</v>
      </c>
      <c r="E1932" t="str">
        <f>IF(tbl_main[[#This Row],[Date]]="","",TEXT(B1932,"DDD"))</f>
        <v>Tue</v>
      </c>
      <c r="F1932" t="s">
        <v>30</v>
      </c>
      <c r="G1932" t="s">
        <v>36</v>
      </c>
      <c r="H1932" s="3" t="s">
        <v>24</v>
      </c>
      <c r="I1932" s="3" t="s">
        <v>16</v>
      </c>
      <c r="J1932" s="3" t="s">
        <v>17</v>
      </c>
      <c r="K1932" s="3">
        <f>_xlfn.XLOOKUP(tbl_main[[#This Row],[Service]],tbl_service[Service],tbl_service[Price],"")</f>
        <v>80</v>
      </c>
      <c r="L1932" s="3">
        <v>2</v>
      </c>
      <c r="M1932" s="3">
        <f>IF(AND(tbl_main[[#This Row],[Price]]="",tbl_main[[#This Row],[Qty]]=""),"",tbl_main[[#This Row],[Price]]*tbl_main[[#This Row],[Qty]])</f>
        <v>160</v>
      </c>
      <c r="N1932" s="3">
        <f>_xlfn.LET(_xlpm.x,_xlfn.XLOOKUP(tbl_main[[#This Row],[Service]],tbl_service[Service],tbl_service[Profit],""),
               IF(tbl_main[[#This Row],[Qty]]="","",_xlpm.x*tbl_main[[#This Row],[Qty]]))</f>
        <v>72</v>
      </c>
    </row>
    <row r="1933" spans="1:14" x14ac:dyDescent="0.25">
      <c r="A1933" t="s">
        <v>1975</v>
      </c>
      <c r="B1933" s="1">
        <v>46301</v>
      </c>
      <c r="C1933">
        <f>IF(tbl_main[[#This Row],[Date]]="","",YEAR(B1933))</f>
        <v>2026</v>
      </c>
      <c r="D1933" t="str">
        <f>IF(tbl_main[[#This Row],[Date]]="","",TEXT(B1933,"mmm"))</f>
        <v>Oct</v>
      </c>
      <c r="E1933" t="str">
        <f>IF(tbl_main[[#This Row],[Date]]="","",TEXT(B1933,"DDD"))</f>
        <v>Tue</v>
      </c>
      <c r="F1933" t="s">
        <v>13</v>
      </c>
      <c r="G1933" t="s">
        <v>14</v>
      </c>
      <c r="H1933" s="3" t="s">
        <v>22</v>
      </c>
      <c r="I1933" s="3" t="s">
        <v>19</v>
      </c>
      <c r="J1933" s="3" t="s">
        <v>17</v>
      </c>
      <c r="K1933" s="3">
        <f>_xlfn.XLOOKUP(tbl_main[[#This Row],[Service]],tbl_service[Service],tbl_service[Price],"")</f>
        <v>150</v>
      </c>
      <c r="L1933" s="3">
        <v>1</v>
      </c>
      <c r="M1933" s="3">
        <f>IF(AND(tbl_main[[#This Row],[Price]]="",tbl_main[[#This Row],[Qty]]=""),"",tbl_main[[#This Row],[Price]]*tbl_main[[#This Row],[Qty]])</f>
        <v>150</v>
      </c>
      <c r="N1933" s="3">
        <f>_xlfn.LET(_xlpm.x,_xlfn.XLOOKUP(tbl_main[[#This Row],[Service]],tbl_service[Service],tbl_service[Profit],""),
               IF(tbl_main[[#This Row],[Qty]]="","",_xlpm.x*tbl_main[[#This Row],[Qty]]))</f>
        <v>67</v>
      </c>
    </row>
    <row r="1934" spans="1:14" x14ac:dyDescent="0.25">
      <c r="A1934" t="s">
        <v>1976</v>
      </c>
      <c r="B1934" s="1">
        <v>46301</v>
      </c>
      <c r="C1934">
        <f>IF(tbl_main[[#This Row],[Date]]="","",YEAR(B1934))</f>
        <v>2026</v>
      </c>
      <c r="D1934" t="str">
        <f>IF(tbl_main[[#This Row],[Date]]="","",TEXT(B1934,"mmm"))</f>
        <v>Oct</v>
      </c>
      <c r="E1934" t="str">
        <f>IF(tbl_main[[#This Row],[Date]]="","",TEXT(B1934,"DDD"))</f>
        <v>Tue</v>
      </c>
      <c r="F1934" t="s">
        <v>30</v>
      </c>
      <c r="G1934" t="s">
        <v>31</v>
      </c>
      <c r="H1934" s="3" t="s">
        <v>26</v>
      </c>
      <c r="I1934" s="3" t="s">
        <v>43</v>
      </c>
      <c r="J1934" s="3" t="s">
        <v>17</v>
      </c>
      <c r="K1934" s="3">
        <f>_xlfn.XLOOKUP(tbl_main[[#This Row],[Service]],tbl_service[Service],tbl_service[Price],"")</f>
        <v>200</v>
      </c>
      <c r="L1934" s="3">
        <v>1</v>
      </c>
      <c r="M1934" s="3">
        <f>IF(AND(tbl_main[[#This Row],[Price]]="",tbl_main[[#This Row],[Qty]]=""),"",tbl_main[[#This Row],[Price]]*tbl_main[[#This Row],[Qty]])</f>
        <v>200</v>
      </c>
      <c r="N1934" s="3">
        <f>_xlfn.LET(_xlpm.x,_xlfn.XLOOKUP(tbl_main[[#This Row],[Service]],tbl_service[Service],tbl_service[Profit],""),
               IF(tbl_main[[#This Row],[Qty]]="","",_xlpm.x*tbl_main[[#This Row],[Qty]]))</f>
        <v>90</v>
      </c>
    </row>
    <row r="1935" spans="1:14" x14ac:dyDescent="0.25">
      <c r="A1935" t="s">
        <v>1977</v>
      </c>
      <c r="B1935" s="1">
        <v>46302</v>
      </c>
      <c r="C1935">
        <f>IF(tbl_main[[#This Row],[Date]]="","",YEAR(B1935))</f>
        <v>2026</v>
      </c>
      <c r="D1935" t="str">
        <f>IF(tbl_main[[#This Row],[Date]]="","",TEXT(B1935,"mmm"))</f>
        <v>Oct</v>
      </c>
      <c r="E1935" t="str">
        <f>IF(tbl_main[[#This Row],[Date]]="","",TEXT(B1935,"DDD"))</f>
        <v>Wed</v>
      </c>
      <c r="F1935" t="s">
        <v>27</v>
      </c>
      <c r="G1935" t="s">
        <v>40</v>
      </c>
      <c r="H1935" s="3" t="s">
        <v>22</v>
      </c>
      <c r="I1935" s="3" t="s">
        <v>42</v>
      </c>
      <c r="J1935" s="3" t="s">
        <v>25</v>
      </c>
      <c r="K1935" s="3">
        <f>_xlfn.XLOOKUP(tbl_main[[#This Row],[Service]],tbl_service[Service],tbl_service[Price],"")</f>
        <v>150</v>
      </c>
      <c r="L1935" s="3">
        <v>2</v>
      </c>
      <c r="M1935" s="3">
        <f>IF(AND(tbl_main[[#This Row],[Price]]="",tbl_main[[#This Row],[Qty]]=""),"",tbl_main[[#This Row],[Price]]*tbl_main[[#This Row],[Qty]])</f>
        <v>300</v>
      </c>
      <c r="N1935" s="3">
        <f>_xlfn.LET(_xlpm.x,_xlfn.XLOOKUP(tbl_main[[#This Row],[Service]],tbl_service[Service],tbl_service[Profit],""),
               IF(tbl_main[[#This Row],[Qty]]="","",_xlpm.x*tbl_main[[#This Row],[Qty]]))</f>
        <v>134</v>
      </c>
    </row>
    <row r="1936" spans="1:14" x14ac:dyDescent="0.25">
      <c r="A1936" t="s">
        <v>1978</v>
      </c>
      <c r="B1936" s="1">
        <v>46302</v>
      </c>
      <c r="C1936">
        <f>IF(tbl_main[[#This Row],[Date]]="","",YEAR(B1936))</f>
        <v>2026</v>
      </c>
      <c r="D1936" t="str">
        <f>IF(tbl_main[[#This Row],[Date]]="","",TEXT(B1936,"mmm"))</f>
        <v>Oct</v>
      </c>
      <c r="E1936" t="str">
        <f>IF(tbl_main[[#This Row],[Date]]="","",TEXT(B1936,"DDD"))</f>
        <v>Wed</v>
      </c>
      <c r="F1936" t="s">
        <v>30</v>
      </c>
      <c r="G1936" t="s">
        <v>31</v>
      </c>
      <c r="H1936" s="3" t="s">
        <v>24</v>
      </c>
      <c r="I1936" s="3" t="s">
        <v>41</v>
      </c>
      <c r="J1936" s="3" t="s">
        <v>32</v>
      </c>
      <c r="K1936" s="3">
        <f>_xlfn.XLOOKUP(tbl_main[[#This Row],[Service]],tbl_service[Service],tbl_service[Price],"")</f>
        <v>80</v>
      </c>
      <c r="L1936" s="3">
        <v>2</v>
      </c>
      <c r="M1936" s="3">
        <f>IF(AND(tbl_main[[#This Row],[Price]]="",tbl_main[[#This Row],[Qty]]=""),"",tbl_main[[#This Row],[Price]]*tbl_main[[#This Row],[Qty]])</f>
        <v>160</v>
      </c>
      <c r="N1936" s="3">
        <f>_xlfn.LET(_xlpm.x,_xlfn.XLOOKUP(tbl_main[[#This Row],[Service]],tbl_service[Service],tbl_service[Profit],""),
               IF(tbl_main[[#This Row],[Qty]]="","",_xlpm.x*tbl_main[[#This Row],[Qty]]))</f>
        <v>72</v>
      </c>
    </row>
    <row r="1937" spans="1:14" x14ac:dyDescent="0.25">
      <c r="A1937" t="s">
        <v>1979</v>
      </c>
      <c r="B1937" s="1">
        <v>46302</v>
      </c>
      <c r="C1937">
        <f>IF(tbl_main[[#This Row],[Date]]="","",YEAR(B1937))</f>
        <v>2026</v>
      </c>
      <c r="D1937" t="str">
        <f>IF(tbl_main[[#This Row],[Date]]="","",TEXT(B1937,"mmm"))</f>
        <v>Oct</v>
      </c>
      <c r="E1937" t="str">
        <f>IF(tbl_main[[#This Row],[Date]]="","",TEXT(B1937,"DDD"))</f>
        <v>Wed</v>
      </c>
      <c r="F1937" t="s">
        <v>30</v>
      </c>
      <c r="G1937" t="s">
        <v>31</v>
      </c>
      <c r="H1937" s="3" t="s">
        <v>22</v>
      </c>
      <c r="I1937" s="3" t="s">
        <v>35</v>
      </c>
      <c r="J1937" s="3" t="s">
        <v>17</v>
      </c>
      <c r="K1937" s="3">
        <f>_xlfn.XLOOKUP(tbl_main[[#This Row],[Service]],tbl_service[Service],tbl_service[Price],"")</f>
        <v>150</v>
      </c>
      <c r="L1937" s="3">
        <v>2</v>
      </c>
      <c r="M1937" s="3">
        <f>IF(AND(tbl_main[[#This Row],[Price]]="",tbl_main[[#This Row],[Qty]]=""),"",tbl_main[[#This Row],[Price]]*tbl_main[[#This Row],[Qty]])</f>
        <v>300</v>
      </c>
      <c r="N1937" s="3">
        <f>_xlfn.LET(_xlpm.x,_xlfn.XLOOKUP(tbl_main[[#This Row],[Service]],tbl_service[Service],tbl_service[Profit],""),
               IF(tbl_main[[#This Row],[Qty]]="","",_xlpm.x*tbl_main[[#This Row],[Qty]]))</f>
        <v>134</v>
      </c>
    </row>
    <row r="1938" spans="1:14" x14ac:dyDescent="0.25">
      <c r="A1938" t="s">
        <v>1980</v>
      </c>
      <c r="B1938" s="1">
        <v>46303</v>
      </c>
      <c r="C1938">
        <f>IF(tbl_main[[#This Row],[Date]]="","",YEAR(B1938))</f>
        <v>2026</v>
      </c>
      <c r="D1938" t="str">
        <f>IF(tbl_main[[#This Row],[Date]]="","",TEXT(B1938,"mmm"))</f>
        <v>Oct</v>
      </c>
      <c r="E1938" t="str">
        <f>IF(tbl_main[[#This Row],[Date]]="","",TEXT(B1938,"DDD"))</f>
        <v>Thu</v>
      </c>
      <c r="F1938" t="s">
        <v>13</v>
      </c>
      <c r="G1938" t="s">
        <v>33</v>
      </c>
      <c r="H1938" s="3" t="s">
        <v>18</v>
      </c>
      <c r="I1938" s="3" t="s">
        <v>35</v>
      </c>
      <c r="J1938" s="3" t="s">
        <v>32</v>
      </c>
      <c r="K1938" s="3">
        <f>_xlfn.XLOOKUP(tbl_main[[#This Row],[Service]],tbl_service[Service],tbl_service[Price],"")</f>
        <v>500</v>
      </c>
      <c r="L1938" s="3">
        <v>2</v>
      </c>
      <c r="M1938" s="3">
        <f>IF(AND(tbl_main[[#This Row],[Price]]="",tbl_main[[#This Row],[Qty]]=""),"",tbl_main[[#This Row],[Price]]*tbl_main[[#This Row],[Qty]])</f>
        <v>1000</v>
      </c>
      <c r="N1938" s="3">
        <f>_xlfn.LET(_xlpm.x,_xlfn.XLOOKUP(tbl_main[[#This Row],[Service]],tbl_service[Service],tbl_service[Profit],""),
               IF(tbl_main[[#This Row],[Qty]]="","",_xlpm.x*tbl_main[[#This Row],[Qty]]))</f>
        <v>314</v>
      </c>
    </row>
    <row r="1939" spans="1:14" x14ac:dyDescent="0.25">
      <c r="A1939" t="s">
        <v>1981</v>
      </c>
      <c r="B1939" s="1">
        <v>46303</v>
      </c>
      <c r="C1939">
        <f>IF(tbl_main[[#This Row],[Date]]="","",YEAR(B1939))</f>
        <v>2026</v>
      </c>
      <c r="D1939" t="str">
        <f>IF(tbl_main[[#This Row],[Date]]="","",TEXT(B1939,"mmm"))</f>
        <v>Oct</v>
      </c>
      <c r="E1939" t="str">
        <f>IF(tbl_main[[#This Row],[Date]]="","",TEXT(B1939,"DDD"))</f>
        <v>Thu</v>
      </c>
      <c r="F1939" t="s">
        <v>13</v>
      </c>
      <c r="G1939" t="s">
        <v>33</v>
      </c>
      <c r="H1939" s="3" t="s">
        <v>24</v>
      </c>
      <c r="I1939" s="3" t="s">
        <v>23</v>
      </c>
      <c r="J1939" s="3" t="s">
        <v>25</v>
      </c>
      <c r="K1939" s="3">
        <f>_xlfn.XLOOKUP(tbl_main[[#This Row],[Service]],tbl_service[Service],tbl_service[Price],"")</f>
        <v>80</v>
      </c>
      <c r="L1939" s="3">
        <v>2</v>
      </c>
      <c r="M1939" s="3">
        <f>IF(AND(tbl_main[[#This Row],[Price]]="",tbl_main[[#This Row],[Qty]]=""),"",tbl_main[[#This Row],[Price]]*tbl_main[[#This Row],[Qty]])</f>
        <v>160</v>
      </c>
      <c r="N1939" s="3">
        <f>_xlfn.LET(_xlpm.x,_xlfn.XLOOKUP(tbl_main[[#This Row],[Service]],tbl_service[Service],tbl_service[Profit],""),
               IF(tbl_main[[#This Row],[Qty]]="","",_xlpm.x*tbl_main[[#This Row],[Qty]]))</f>
        <v>72</v>
      </c>
    </row>
    <row r="1940" spans="1:14" x14ac:dyDescent="0.25">
      <c r="A1940" t="s">
        <v>1982</v>
      </c>
      <c r="B1940" s="1">
        <v>46304</v>
      </c>
      <c r="C1940">
        <f>IF(tbl_main[[#This Row],[Date]]="","",YEAR(B1940))</f>
        <v>2026</v>
      </c>
      <c r="D1940" t="str">
        <f>IF(tbl_main[[#This Row],[Date]]="","",TEXT(B1940,"mmm"))</f>
        <v>Oct</v>
      </c>
      <c r="E1940" t="str">
        <f>IF(tbl_main[[#This Row],[Date]]="","",TEXT(B1940,"DDD"))</f>
        <v>Fri</v>
      </c>
      <c r="F1940" t="s">
        <v>27</v>
      </c>
      <c r="G1940" t="s">
        <v>40</v>
      </c>
      <c r="H1940" s="3" t="s">
        <v>34</v>
      </c>
      <c r="I1940" s="3" t="s">
        <v>37</v>
      </c>
      <c r="J1940" s="3" t="s">
        <v>25</v>
      </c>
      <c r="K1940" s="3">
        <f>_xlfn.XLOOKUP(tbl_main[[#This Row],[Service]],tbl_service[Service],tbl_service[Price],"")</f>
        <v>100</v>
      </c>
      <c r="L1940" s="3">
        <v>1</v>
      </c>
      <c r="M1940" s="3">
        <f>IF(AND(tbl_main[[#This Row],[Price]]="",tbl_main[[#This Row],[Qty]]=""),"",tbl_main[[#This Row],[Price]]*tbl_main[[#This Row],[Qty]])</f>
        <v>100</v>
      </c>
      <c r="N1940" s="3">
        <f>_xlfn.LET(_xlpm.x,_xlfn.XLOOKUP(tbl_main[[#This Row],[Service]],tbl_service[Service],tbl_service[Profit],""),
               IF(tbl_main[[#This Row],[Qty]]="","",_xlpm.x*tbl_main[[#This Row],[Qty]]))</f>
        <v>45</v>
      </c>
    </row>
    <row r="1941" spans="1:14" x14ac:dyDescent="0.25">
      <c r="A1941" t="s">
        <v>1983</v>
      </c>
      <c r="B1941" s="1">
        <v>46304</v>
      </c>
      <c r="C1941">
        <f>IF(tbl_main[[#This Row],[Date]]="","",YEAR(B1941))</f>
        <v>2026</v>
      </c>
      <c r="D1941" t="str">
        <f>IF(tbl_main[[#This Row],[Date]]="","",TEXT(B1941,"mmm"))</f>
        <v>Oct</v>
      </c>
      <c r="E1941" t="str">
        <f>IF(tbl_main[[#This Row],[Date]]="","",TEXT(B1941,"DDD"))</f>
        <v>Fri</v>
      </c>
      <c r="F1941" t="s">
        <v>13</v>
      </c>
      <c r="G1941" t="s">
        <v>33</v>
      </c>
      <c r="H1941" s="3" t="s">
        <v>34</v>
      </c>
      <c r="I1941" s="3" t="s">
        <v>38</v>
      </c>
      <c r="J1941" s="3" t="s">
        <v>25</v>
      </c>
      <c r="K1941" s="3">
        <f>_xlfn.XLOOKUP(tbl_main[[#This Row],[Service]],tbl_service[Service],tbl_service[Price],"")</f>
        <v>100</v>
      </c>
      <c r="L1941" s="3">
        <v>1</v>
      </c>
      <c r="M1941" s="3">
        <f>IF(AND(tbl_main[[#This Row],[Price]]="",tbl_main[[#This Row],[Qty]]=""),"",tbl_main[[#This Row],[Price]]*tbl_main[[#This Row],[Qty]])</f>
        <v>100</v>
      </c>
      <c r="N1941" s="3">
        <f>_xlfn.LET(_xlpm.x,_xlfn.XLOOKUP(tbl_main[[#This Row],[Service]],tbl_service[Service],tbl_service[Profit],""),
               IF(tbl_main[[#This Row],[Qty]]="","",_xlpm.x*tbl_main[[#This Row],[Qty]]))</f>
        <v>45</v>
      </c>
    </row>
    <row r="1942" spans="1:14" x14ac:dyDescent="0.25">
      <c r="A1942" t="s">
        <v>1984</v>
      </c>
      <c r="B1942" s="1">
        <v>46304</v>
      </c>
      <c r="C1942">
        <f>IF(tbl_main[[#This Row],[Date]]="","",YEAR(B1942))</f>
        <v>2026</v>
      </c>
      <c r="D1942" t="str">
        <f>IF(tbl_main[[#This Row],[Date]]="","",TEXT(B1942,"mmm"))</f>
        <v>Oct</v>
      </c>
      <c r="E1942" t="str">
        <f>IF(tbl_main[[#This Row],[Date]]="","",TEXT(B1942,"DDD"))</f>
        <v>Fri</v>
      </c>
      <c r="F1942" t="s">
        <v>27</v>
      </c>
      <c r="G1942" t="s">
        <v>40</v>
      </c>
      <c r="H1942" s="3" t="s">
        <v>18</v>
      </c>
      <c r="I1942" s="3" t="s">
        <v>16</v>
      </c>
      <c r="J1942" s="3" t="s">
        <v>17</v>
      </c>
      <c r="K1942" s="3">
        <f>_xlfn.XLOOKUP(tbl_main[[#This Row],[Service]],tbl_service[Service],tbl_service[Price],"")</f>
        <v>500</v>
      </c>
      <c r="L1942" s="3">
        <v>2</v>
      </c>
      <c r="M1942" s="3">
        <f>IF(AND(tbl_main[[#This Row],[Price]]="",tbl_main[[#This Row],[Qty]]=""),"",tbl_main[[#This Row],[Price]]*tbl_main[[#This Row],[Qty]])</f>
        <v>1000</v>
      </c>
      <c r="N1942" s="3">
        <f>_xlfn.LET(_xlpm.x,_xlfn.XLOOKUP(tbl_main[[#This Row],[Service]],tbl_service[Service],tbl_service[Profit],""),
               IF(tbl_main[[#This Row],[Qty]]="","",_xlpm.x*tbl_main[[#This Row],[Qty]]))</f>
        <v>314</v>
      </c>
    </row>
    <row r="1943" spans="1:14" x14ac:dyDescent="0.25">
      <c r="A1943" t="s">
        <v>1985</v>
      </c>
      <c r="B1943" s="1">
        <v>46304</v>
      </c>
      <c r="C1943">
        <f>IF(tbl_main[[#This Row],[Date]]="","",YEAR(B1943))</f>
        <v>2026</v>
      </c>
      <c r="D1943" t="str">
        <f>IF(tbl_main[[#This Row],[Date]]="","",TEXT(B1943,"mmm"))</f>
        <v>Oct</v>
      </c>
      <c r="E1943" t="str">
        <f>IF(tbl_main[[#This Row],[Date]]="","",TEXT(B1943,"DDD"))</f>
        <v>Fri</v>
      </c>
      <c r="F1943" t="s">
        <v>30</v>
      </c>
      <c r="G1943" t="s">
        <v>36</v>
      </c>
      <c r="H1943" s="3" t="s">
        <v>26</v>
      </c>
      <c r="I1943" s="3" t="s">
        <v>19</v>
      </c>
      <c r="J1943" s="3" t="s">
        <v>25</v>
      </c>
      <c r="K1943" s="3">
        <f>_xlfn.XLOOKUP(tbl_main[[#This Row],[Service]],tbl_service[Service],tbl_service[Price],"")</f>
        <v>200</v>
      </c>
      <c r="L1943" s="3">
        <v>1</v>
      </c>
      <c r="M1943" s="3">
        <f>IF(AND(tbl_main[[#This Row],[Price]]="",tbl_main[[#This Row],[Qty]]=""),"",tbl_main[[#This Row],[Price]]*tbl_main[[#This Row],[Qty]])</f>
        <v>200</v>
      </c>
      <c r="N1943" s="3">
        <f>_xlfn.LET(_xlpm.x,_xlfn.XLOOKUP(tbl_main[[#This Row],[Service]],tbl_service[Service],tbl_service[Profit],""),
               IF(tbl_main[[#This Row],[Qty]]="","",_xlpm.x*tbl_main[[#This Row],[Qty]]))</f>
        <v>90</v>
      </c>
    </row>
    <row r="1944" spans="1:14" x14ac:dyDescent="0.25">
      <c r="A1944" t="s">
        <v>1986</v>
      </c>
      <c r="B1944" s="1">
        <v>46305</v>
      </c>
      <c r="C1944">
        <f>IF(tbl_main[[#This Row],[Date]]="","",YEAR(B1944))</f>
        <v>2026</v>
      </c>
      <c r="D1944" t="str">
        <f>IF(tbl_main[[#This Row],[Date]]="","",TEXT(B1944,"mmm"))</f>
        <v>Oct</v>
      </c>
      <c r="E1944" t="str">
        <f>IF(tbl_main[[#This Row],[Date]]="","",TEXT(B1944,"DDD"))</f>
        <v>Sat</v>
      </c>
      <c r="F1944" t="s">
        <v>30</v>
      </c>
      <c r="G1944" t="s">
        <v>31</v>
      </c>
      <c r="H1944" s="3" t="s">
        <v>26</v>
      </c>
      <c r="I1944" s="3" t="s">
        <v>43</v>
      </c>
      <c r="J1944" s="3" t="s">
        <v>32</v>
      </c>
      <c r="K1944" s="3">
        <f>_xlfn.XLOOKUP(tbl_main[[#This Row],[Service]],tbl_service[Service],tbl_service[Price],"")</f>
        <v>200</v>
      </c>
      <c r="L1944" s="3">
        <v>1</v>
      </c>
      <c r="M1944" s="3">
        <f>IF(AND(tbl_main[[#This Row],[Price]]="",tbl_main[[#This Row],[Qty]]=""),"",tbl_main[[#This Row],[Price]]*tbl_main[[#This Row],[Qty]])</f>
        <v>200</v>
      </c>
      <c r="N1944" s="3">
        <f>_xlfn.LET(_xlpm.x,_xlfn.XLOOKUP(tbl_main[[#This Row],[Service]],tbl_service[Service],tbl_service[Profit],""),
               IF(tbl_main[[#This Row],[Qty]]="","",_xlpm.x*tbl_main[[#This Row],[Qty]]))</f>
        <v>90</v>
      </c>
    </row>
    <row r="1945" spans="1:14" x14ac:dyDescent="0.25">
      <c r="A1945" t="s">
        <v>1987</v>
      </c>
      <c r="B1945" s="1">
        <v>46305</v>
      </c>
      <c r="C1945">
        <f>IF(tbl_main[[#This Row],[Date]]="","",YEAR(B1945))</f>
        <v>2026</v>
      </c>
      <c r="D1945" t="str">
        <f>IF(tbl_main[[#This Row],[Date]]="","",TEXT(B1945,"mmm"))</f>
        <v>Oct</v>
      </c>
      <c r="E1945" t="str">
        <f>IF(tbl_main[[#This Row],[Date]]="","",TEXT(B1945,"DDD"))</f>
        <v>Sat</v>
      </c>
      <c r="F1945" t="s">
        <v>27</v>
      </c>
      <c r="G1945" t="s">
        <v>28</v>
      </c>
      <c r="H1945" s="3" t="s">
        <v>24</v>
      </c>
      <c r="I1945" s="3" t="s">
        <v>42</v>
      </c>
      <c r="J1945" s="3" t="s">
        <v>32</v>
      </c>
      <c r="K1945" s="3">
        <f>_xlfn.XLOOKUP(tbl_main[[#This Row],[Service]],tbl_service[Service],tbl_service[Price],"")</f>
        <v>80</v>
      </c>
      <c r="L1945" s="3">
        <v>2</v>
      </c>
      <c r="M1945" s="3">
        <f>IF(AND(tbl_main[[#This Row],[Price]]="",tbl_main[[#This Row],[Qty]]=""),"",tbl_main[[#This Row],[Price]]*tbl_main[[#This Row],[Qty]])</f>
        <v>160</v>
      </c>
      <c r="N1945" s="3">
        <f>_xlfn.LET(_xlpm.x,_xlfn.XLOOKUP(tbl_main[[#This Row],[Service]],tbl_service[Service],tbl_service[Profit],""),
               IF(tbl_main[[#This Row],[Qty]]="","",_xlpm.x*tbl_main[[#This Row],[Qty]]))</f>
        <v>72</v>
      </c>
    </row>
    <row r="1946" spans="1:14" x14ac:dyDescent="0.25">
      <c r="A1946" t="s">
        <v>1988</v>
      </c>
      <c r="B1946" s="1">
        <v>46306</v>
      </c>
      <c r="C1946">
        <f>IF(tbl_main[[#This Row],[Date]]="","",YEAR(B1946))</f>
        <v>2026</v>
      </c>
      <c r="D1946" t="str">
        <f>IF(tbl_main[[#This Row],[Date]]="","",TEXT(B1946,"mmm"))</f>
        <v>Oct</v>
      </c>
      <c r="E1946" t="str">
        <f>IF(tbl_main[[#This Row],[Date]]="","",TEXT(B1946,"DDD"))</f>
        <v>Sun</v>
      </c>
      <c r="F1946" t="s">
        <v>30</v>
      </c>
      <c r="G1946" t="s">
        <v>31</v>
      </c>
      <c r="H1946" s="3" t="s">
        <v>15</v>
      </c>
      <c r="I1946" s="3" t="s">
        <v>41</v>
      </c>
      <c r="J1946" s="3" t="s">
        <v>25</v>
      </c>
      <c r="K1946" s="3">
        <f>_xlfn.XLOOKUP(tbl_main[[#This Row],[Service]],tbl_service[Service],tbl_service[Price],"")</f>
        <v>500</v>
      </c>
      <c r="L1946" s="3">
        <v>1</v>
      </c>
      <c r="M1946" s="3">
        <f>IF(AND(tbl_main[[#This Row],[Price]]="",tbl_main[[#This Row],[Qty]]=""),"",tbl_main[[#This Row],[Price]]*tbl_main[[#This Row],[Qty]])</f>
        <v>500</v>
      </c>
      <c r="N1946" s="3">
        <f>_xlfn.LET(_xlpm.x,_xlfn.XLOOKUP(tbl_main[[#This Row],[Service]],tbl_service[Service],tbl_service[Profit],""),
               IF(tbl_main[[#This Row],[Qty]]="","",_xlpm.x*tbl_main[[#This Row],[Qty]]))</f>
        <v>225</v>
      </c>
    </row>
    <row r="1947" spans="1:14" x14ac:dyDescent="0.25">
      <c r="A1947" t="s">
        <v>1989</v>
      </c>
      <c r="B1947" s="1">
        <v>46306</v>
      </c>
      <c r="C1947">
        <f>IF(tbl_main[[#This Row],[Date]]="","",YEAR(B1947))</f>
        <v>2026</v>
      </c>
      <c r="D1947" t="str">
        <f>IF(tbl_main[[#This Row],[Date]]="","",TEXT(B1947,"mmm"))</f>
        <v>Oct</v>
      </c>
      <c r="E1947" t="str">
        <f>IF(tbl_main[[#This Row],[Date]]="","",TEXT(B1947,"DDD"))</f>
        <v>Sun</v>
      </c>
      <c r="F1947" t="s">
        <v>30</v>
      </c>
      <c r="G1947" t="s">
        <v>36</v>
      </c>
      <c r="H1947" s="3" t="s">
        <v>24</v>
      </c>
      <c r="I1947" s="3" t="s">
        <v>35</v>
      </c>
      <c r="J1947" s="3" t="s">
        <v>17</v>
      </c>
      <c r="K1947" s="3">
        <f>_xlfn.XLOOKUP(tbl_main[[#This Row],[Service]],tbl_service[Service],tbl_service[Price],"")</f>
        <v>80</v>
      </c>
      <c r="L1947" s="3">
        <v>2</v>
      </c>
      <c r="M1947" s="3">
        <f>IF(AND(tbl_main[[#This Row],[Price]]="",tbl_main[[#This Row],[Qty]]=""),"",tbl_main[[#This Row],[Price]]*tbl_main[[#This Row],[Qty]])</f>
        <v>160</v>
      </c>
      <c r="N1947" s="3">
        <f>_xlfn.LET(_xlpm.x,_xlfn.XLOOKUP(tbl_main[[#This Row],[Service]],tbl_service[Service],tbl_service[Profit],""),
               IF(tbl_main[[#This Row],[Qty]]="","",_xlpm.x*tbl_main[[#This Row],[Qty]]))</f>
        <v>72</v>
      </c>
    </row>
    <row r="1948" spans="1:14" x14ac:dyDescent="0.25">
      <c r="A1948" t="s">
        <v>1990</v>
      </c>
      <c r="B1948" s="1">
        <v>46307</v>
      </c>
      <c r="C1948">
        <f>IF(tbl_main[[#This Row],[Date]]="","",YEAR(B1948))</f>
        <v>2026</v>
      </c>
      <c r="D1948" t="str">
        <f>IF(tbl_main[[#This Row],[Date]]="","",TEXT(B1948,"mmm"))</f>
        <v>Oct</v>
      </c>
      <c r="E1948" t="str">
        <f>IF(tbl_main[[#This Row],[Date]]="","",TEXT(B1948,"DDD"))</f>
        <v>Mon</v>
      </c>
      <c r="F1948" t="s">
        <v>27</v>
      </c>
      <c r="G1948" t="s">
        <v>28</v>
      </c>
      <c r="H1948" s="3" t="s">
        <v>22</v>
      </c>
      <c r="I1948" s="3" t="s">
        <v>35</v>
      </c>
      <c r="J1948" s="3" t="s">
        <v>25</v>
      </c>
      <c r="K1948" s="3">
        <f>_xlfn.XLOOKUP(tbl_main[[#This Row],[Service]],tbl_service[Service],tbl_service[Price],"")</f>
        <v>150</v>
      </c>
      <c r="L1948" s="3">
        <v>1</v>
      </c>
      <c r="M1948" s="3">
        <f>IF(AND(tbl_main[[#This Row],[Price]]="",tbl_main[[#This Row],[Qty]]=""),"",tbl_main[[#This Row],[Price]]*tbl_main[[#This Row],[Qty]])</f>
        <v>150</v>
      </c>
      <c r="N1948" s="3">
        <f>_xlfn.LET(_xlpm.x,_xlfn.XLOOKUP(tbl_main[[#This Row],[Service]],tbl_service[Service],tbl_service[Profit],""),
               IF(tbl_main[[#This Row],[Qty]]="","",_xlpm.x*tbl_main[[#This Row],[Qty]]))</f>
        <v>67</v>
      </c>
    </row>
    <row r="1949" spans="1:14" x14ac:dyDescent="0.25">
      <c r="A1949" t="s">
        <v>1991</v>
      </c>
      <c r="B1949" s="1">
        <v>46307</v>
      </c>
      <c r="C1949">
        <f>IF(tbl_main[[#This Row],[Date]]="","",YEAR(B1949))</f>
        <v>2026</v>
      </c>
      <c r="D1949" t="str">
        <f>IF(tbl_main[[#This Row],[Date]]="","",TEXT(B1949,"mmm"))</f>
        <v>Oct</v>
      </c>
      <c r="E1949" t="str">
        <f>IF(tbl_main[[#This Row],[Date]]="","",TEXT(B1949,"DDD"))</f>
        <v>Mon</v>
      </c>
      <c r="F1949" t="s">
        <v>30</v>
      </c>
      <c r="G1949" t="s">
        <v>36</v>
      </c>
      <c r="H1949" s="3" t="s">
        <v>26</v>
      </c>
      <c r="I1949" s="3" t="s">
        <v>23</v>
      </c>
      <c r="J1949" s="3" t="s">
        <v>25</v>
      </c>
      <c r="K1949" s="3">
        <f>_xlfn.XLOOKUP(tbl_main[[#This Row],[Service]],tbl_service[Service],tbl_service[Price],"")</f>
        <v>200</v>
      </c>
      <c r="L1949" s="3">
        <v>1</v>
      </c>
      <c r="M1949" s="3">
        <f>IF(AND(tbl_main[[#This Row],[Price]]="",tbl_main[[#This Row],[Qty]]=""),"",tbl_main[[#This Row],[Price]]*tbl_main[[#This Row],[Qty]])</f>
        <v>200</v>
      </c>
      <c r="N1949" s="3">
        <f>_xlfn.LET(_xlpm.x,_xlfn.XLOOKUP(tbl_main[[#This Row],[Service]],tbl_service[Service],tbl_service[Profit],""),
               IF(tbl_main[[#This Row],[Qty]]="","",_xlpm.x*tbl_main[[#This Row],[Qty]]))</f>
        <v>90</v>
      </c>
    </row>
    <row r="1950" spans="1:14" x14ac:dyDescent="0.25">
      <c r="A1950" t="s">
        <v>1992</v>
      </c>
      <c r="B1950" s="1">
        <v>46308</v>
      </c>
      <c r="C1950">
        <f>IF(tbl_main[[#This Row],[Date]]="","",YEAR(B1950))</f>
        <v>2026</v>
      </c>
      <c r="D1950" t="str">
        <f>IF(tbl_main[[#This Row],[Date]]="","",TEXT(B1950,"mmm"))</f>
        <v>Oct</v>
      </c>
      <c r="E1950" t="str">
        <f>IF(tbl_main[[#This Row],[Date]]="","",TEXT(B1950,"DDD"))</f>
        <v>Tue</v>
      </c>
      <c r="F1950" t="s">
        <v>20</v>
      </c>
      <c r="G1950" t="s">
        <v>29</v>
      </c>
      <c r="H1950" s="3" t="s">
        <v>34</v>
      </c>
      <c r="I1950" s="3" t="s">
        <v>37</v>
      </c>
      <c r="J1950" s="3" t="s">
        <v>32</v>
      </c>
      <c r="K1950" s="3">
        <f>_xlfn.XLOOKUP(tbl_main[[#This Row],[Service]],tbl_service[Service],tbl_service[Price],"")</f>
        <v>100</v>
      </c>
      <c r="L1950" s="3">
        <v>2</v>
      </c>
      <c r="M1950" s="3">
        <f>IF(AND(tbl_main[[#This Row],[Price]]="",tbl_main[[#This Row],[Qty]]=""),"",tbl_main[[#This Row],[Price]]*tbl_main[[#This Row],[Qty]])</f>
        <v>200</v>
      </c>
      <c r="N1950" s="3">
        <f>_xlfn.LET(_xlpm.x,_xlfn.XLOOKUP(tbl_main[[#This Row],[Service]],tbl_service[Service],tbl_service[Profit],""),
               IF(tbl_main[[#This Row],[Qty]]="","",_xlpm.x*tbl_main[[#This Row],[Qty]]))</f>
        <v>90</v>
      </c>
    </row>
    <row r="1951" spans="1:14" x14ac:dyDescent="0.25">
      <c r="A1951" t="s">
        <v>1993</v>
      </c>
      <c r="B1951" s="1">
        <v>46308</v>
      </c>
      <c r="C1951">
        <f>IF(tbl_main[[#This Row],[Date]]="","",YEAR(B1951))</f>
        <v>2026</v>
      </c>
      <c r="D1951" t="str">
        <f>IF(tbl_main[[#This Row],[Date]]="","",TEXT(B1951,"mmm"))</f>
        <v>Oct</v>
      </c>
      <c r="E1951" t="str">
        <f>IF(tbl_main[[#This Row],[Date]]="","",TEXT(B1951,"DDD"))</f>
        <v>Tue</v>
      </c>
      <c r="F1951" t="s">
        <v>30</v>
      </c>
      <c r="G1951" t="s">
        <v>36</v>
      </c>
      <c r="H1951" s="3" t="s">
        <v>15</v>
      </c>
      <c r="I1951" s="3" t="s">
        <v>38</v>
      </c>
      <c r="J1951" s="3" t="s">
        <v>32</v>
      </c>
      <c r="K1951" s="3">
        <f>_xlfn.XLOOKUP(tbl_main[[#This Row],[Service]],tbl_service[Service],tbl_service[Price],"")</f>
        <v>500</v>
      </c>
      <c r="L1951" s="3">
        <v>2</v>
      </c>
      <c r="M1951" s="3">
        <f>IF(AND(tbl_main[[#This Row],[Price]]="",tbl_main[[#This Row],[Qty]]=""),"",tbl_main[[#This Row],[Price]]*tbl_main[[#This Row],[Qty]])</f>
        <v>1000</v>
      </c>
      <c r="N1951" s="3">
        <f>_xlfn.LET(_xlpm.x,_xlfn.XLOOKUP(tbl_main[[#This Row],[Service]],tbl_service[Service],tbl_service[Profit],""),
               IF(tbl_main[[#This Row],[Qty]]="","",_xlpm.x*tbl_main[[#This Row],[Qty]]))</f>
        <v>450</v>
      </c>
    </row>
    <row r="1952" spans="1:14" x14ac:dyDescent="0.25">
      <c r="A1952" t="s">
        <v>1994</v>
      </c>
      <c r="B1952" s="1">
        <v>46308</v>
      </c>
      <c r="C1952">
        <f>IF(tbl_main[[#This Row],[Date]]="","",YEAR(B1952))</f>
        <v>2026</v>
      </c>
      <c r="D1952" t="str">
        <f>IF(tbl_main[[#This Row],[Date]]="","",TEXT(B1952,"mmm"))</f>
        <v>Oct</v>
      </c>
      <c r="E1952" t="str">
        <f>IF(tbl_main[[#This Row],[Date]]="","",TEXT(B1952,"DDD"))</f>
        <v>Tue</v>
      </c>
      <c r="F1952" t="s">
        <v>20</v>
      </c>
      <c r="G1952" t="s">
        <v>21</v>
      </c>
      <c r="H1952" s="3" t="s">
        <v>18</v>
      </c>
      <c r="I1952" s="3" t="s">
        <v>16</v>
      </c>
      <c r="J1952" s="3" t="s">
        <v>17</v>
      </c>
      <c r="K1952" s="3">
        <f>_xlfn.XLOOKUP(tbl_main[[#This Row],[Service]],tbl_service[Service],tbl_service[Price],"")</f>
        <v>500</v>
      </c>
      <c r="L1952" s="3">
        <v>1</v>
      </c>
      <c r="M1952" s="3">
        <f>IF(AND(tbl_main[[#This Row],[Price]]="",tbl_main[[#This Row],[Qty]]=""),"",tbl_main[[#This Row],[Price]]*tbl_main[[#This Row],[Qty]])</f>
        <v>500</v>
      </c>
      <c r="N1952" s="3">
        <f>_xlfn.LET(_xlpm.x,_xlfn.XLOOKUP(tbl_main[[#This Row],[Service]],tbl_service[Service],tbl_service[Profit],""),
               IF(tbl_main[[#This Row],[Qty]]="","",_xlpm.x*tbl_main[[#This Row],[Qty]]))</f>
        <v>157</v>
      </c>
    </row>
    <row r="1953" spans="1:14" x14ac:dyDescent="0.25">
      <c r="A1953" t="s">
        <v>1995</v>
      </c>
      <c r="B1953" s="1">
        <v>46309</v>
      </c>
      <c r="C1953">
        <f>IF(tbl_main[[#This Row],[Date]]="","",YEAR(B1953))</f>
        <v>2026</v>
      </c>
      <c r="D1953" t="str">
        <f>IF(tbl_main[[#This Row],[Date]]="","",TEXT(B1953,"mmm"))</f>
        <v>Oct</v>
      </c>
      <c r="E1953" t="str">
        <f>IF(tbl_main[[#This Row],[Date]]="","",TEXT(B1953,"DDD"))</f>
        <v>Wed</v>
      </c>
      <c r="F1953" t="s">
        <v>13</v>
      </c>
      <c r="G1953" t="s">
        <v>14</v>
      </c>
      <c r="H1953" s="3" t="s">
        <v>34</v>
      </c>
      <c r="I1953" s="3" t="s">
        <v>19</v>
      </c>
      <c r="J1953" s="3" t="s">
        <v>17</v>
      </c>
      <c r="K1953" s="3">
        <f>_xlfn.XLOOKUP(tbl_main[[#This Row],[Service]],tbl_service[Service],tbl_service[Price],"")</f>
        <v>100</v>
      </c>
      <c r="L1953" s="3">
        <v>1</v>
      </c>
      <c r="M1953" s="3">
        <f>IF(AND(tbl_main[[#This Row],[Price]]="",tbl_main[[#This Row],[Qty]]=""),"",tbl_main[[#This Row],[Price]]*tbl_main[[#This Row],[Qty]])</f>
        <v>100</v>
      </c>
      <c r="N1953" s="3">
        <f>_xlfn.LET(_xlpm.x,_xlfn.XLOOKUP(tbl_main[[#This Row],[Service]],tbl_service[Service],tbl_service[Profit],""),
               IF(tbl_main[[#This Row],[Qty]]="","",_xlpm.x*tbl_main[[#This Row],[Qty]]))</f>
        <v>45</v>
      </c>
    </row>
    <row r="1954" spans="1:14" x14ac:dyDescent="0.25">
      <c r="A1954" t="s">
        <v>1996</v>
      </c>
      <c r="B1954" s="1">
        <v>46309</v>
      </c>
      <c r="C1954">
        <f>IF(tbl_main[[#This Row],[Date]]="","",YEAR(B1954))</f>
        <v>2026</v>
      </c>
      <c r="D1954" t="str">
        <f>IF(tbl_main[[#This Row],[Date]]="","",TEXT(B1954,"mmm"))</f>
        <v>Oct</v>
      </c>
      <c r="E1954" t="str">
        <f>IF(tbl_main[[#This Row],[Date]]="","",TEXT(B1954,"DDD"))</f>
        <v>Wed</v>
      </c>
      <c r="F1954" t="s">
        <v>27</v>
      </c>
      <c r="G1954" t="s">
        <v>40</v>
      </c>
      <c r="H1954" s="3" t="s">
        <v>18</v>
      </c>
      <c r="I1954" s="3" t="s">
        <v>43</v>
      </c>
      <c r="J1954" s="3" t="s">
        <v>17</v>
      </c>
      <c r="K1954" s="3">
        <f>_xlfn.XLOOKUP(tbl_main[[#This Row],[Service]],tbl_service[Service],tbl_service[Price],"")</f>
        <v>500</v>
      </c>
      <c r="L1954" s="3">
        <v>1</v>
      </c>
      <c r="M1954" s="3">
        <f>IF(AND(tbl_main[[#This Row],[Price]]="",tbl_main[[#This Row],[Qty]]=""),"",tbl_main[[#This Row],[Price]]*tbl_main[[#This Row],[Qty]])</f>
        <v>500</v>
      </c>
      <c r="N1954" s="3">
        <f>_xlfn.LET(_xlpm.x,_xlfn.XLOOKUP(tbl_main[[#This Row],[Service]],tbl_service[Service],tbl_service[Profit],""),
               IF(tbl_main[[#This Row],[Qty]]="","",_xlpm.x*tbl_main[[#This Row],[Qty]]))</f>
        <v>157</v>
      </c>
    </row>
    <row r="1955" spans="1:14" x14ac:dyDescent="0.25">
      <c r="A1955" t="s">
        <v>1997</v>
      </c>
      <c r="B1955" s="1">
        <v>46309</v>
      </c>
      <c r="C1955">
        <f>IF(tbl_main[[#This Row],[Date]]="","",YEAR(B1955))</f>
        <v>2026</v>
      </c>
      <c r="D1955" t="str">
        <f>IF(tbl_main[[#This Row],[Date]]="","",TEXT(B1955,"mmm"))</f>
        <v>Oct</v>
      </c>
      <c r="E1955" t="str">
        <f>IF(tbl_main[[#This Row],[Date]]="","",TEXT(B1955,"DDD"))</f>
        <v>Wed</v>
      </c>
      <c r="F1955" t="s">
        <v>20</v>
      </c>
      <c r="G1955" t="s">
        <v>29</v>
      </c>
      <c r="H1955" s="3" t="s">
        <v>34</v>
      </c>
      <c r="I1955" s="3" t="s">
        <v>42</v>
      </c>
      <c r="J1955" s="3" t="s">
        <v>25</v>
      </c>
      <c r="K1955" s="3">
        <f>_xlfn.XLOOKUP(tbl_main[[#This Row],[Service]],tbl_service[Service],tbl_service[Price],"")</f>
        <v>100</v>
      </c>
      <c r="L1955" s="3">
        <v>1</v>
      </c>
      <c r="M1955" s="3">
        <f>IF(AND(tbl_main[[#This Row],[Price]]="",tbl_main[[#This Row],[Qty]]=""),"",tbl_main[[#This Row],[Price]]*tbl_main[[#This Row],[Qty]])</f>
        <v>100</v>
      </c>
      <c r="N1955" s="3">
        <f>_xlfn.LET(_xlpm.x,_xlfn.XLOOKUP(tbl_main[[#This Row],[Service]],tbl_service[Service],tbl_service[Profit],""),
               IF(tbl_main[[#This Row],[Qty]]="","",_xlpm.x*tbl_main[[#This Row],[Qty]]))</f>
        <v>45</v>
      </c>
    </row>
    <row r="1956" spans="1:14" x14ac:dyDescent="0.25">
      <c r="A1956" t="s">
        <v>1998</v>
      </c>
      <c r="B1956" s="1">
        <v>46310</v>
      </c>
      <c r="C1956">
        <f>IF(tbl_main[[#This Row],[Date]]="","",YEAR(B1956))</f>
        <v>2026</v>
      </c>
      <c r="D1956" t="str">
        <f>IF(tbl_main[[#This Row],[Date]]="","",TEXT(B1956,"mmm"))</f>
        <v>Oct</v>
      </c>
      <c r="E1956" t="str">
        <f>IF(tbl_main[[#This Row],[Date]]="","",TEXT(B1956,"DDD"))</f>
        <v>Thu</v>
      </c>
      <c r="F1956" t="s">
        <v>27</v>
      </c>
      <c r="G1956" t="s">
        <v>28</v>
      </c>
      <c r="H1956" s="3" t="s">
        <v>24</v>
      </c>
      <c r="I1956" s="3" t="s">
        <v>41</v>
      </c>
      <c r="J1956" s="3" t="s">
        <v>17</v>
      </c>
      <c r="K1956" s="3">
        <f>_xlfn.XLOOKUP(tbl_main[[#This Row],[Service]],tbl_service[Service],tbl_service[Price],"")</f>
        <v>80</v>
      </c>
      <c r="L1956" s="3">
        <v>1</v>
      </c>
      <c r="M1956" s="3">
        <f>IF(AND(tbl_main[[#This Row],[Price]]="",tbl_main[[#This Row],[Qty]]=""),"",tbl_main[[#This Row],[Price]]*tbl_main[[#This Row],[Qty]])</f>
        <v>80</v>
      </c>
      <c r="N1956" s="3">
        <f>_xlfn.LET(_xlpm.x,_xlfn.XLOOKUP(tbl_main[[#This Row],[Service]],tbl_service[Service],tbl_service[Profit],""),
               IF(tbl_main[[#This Row],[Qty]]="","",_xlpm.x*tbl_main[[#This Row],[Qty]]))</f>
        <v>36</v>
      </c>
    </row>
    <row r="1957" spans="1:14" x14ac:dyDescent="0.25">
      <c r="A1957" t="s">
        <v>1999</v>
      </c>
      <c r="B1957" s="1">
        <v>46310</v>
      </c>
      <c r="C1957">
        <f>IF(tbl_main[[#This Row],[Date]]="","",YEAR(B1957))</f>
        <v>2026</v>
      </c>
      <c r="D1957" t="str">
        <f>IF(tbl_main[[#This Row],[Date]]="","",TEXT(B1957,"mmm"))</f>
        <v>Oct</v>
      </c>
      <c r="E1957" t="str">
        <f>IF(tbl_main[[#This Row],[Date]]="","",TEXT(B1957,"DDD"))</f>
        <v>Thu</v>
      </c>
      <c r="F1957" t="s">
        <v>13</v>
      </c>
      <c r="G1957" t="s">
        <v>14</v>
      </c>
      <c r="H1957" s="3" t="s">
        <v>22</v>
      </c>
      <c r="I1957" s="3" t="s">
        <v>35</v>
      </c>
      <c r="J1957" s="3" t="s">
        <v>25</v>
      </c>
      <c r="K1957" s="3">
        <f>_xlfn.XLOOKUP(tbl_main[[#This Row],[Service]],tbl_service[Service],tbl_service[Price],"")</f>
        <v>150</v>
      </c>
      <c r="L1957" s="3">
        <v>1</v>
      </c>
      <c r="M1957" s="3">
        <f>IF(AND(tbl_main[[#This Row],[Price]]="",tbl_main[[#This Row],[Qty]]=""),"",tbl_main[[#This Row],[Price]]*tbl_main[[#This Row],[Qty]])</f>
        <v>150</v>
      </c>
      <c r="N1957" s="3">
        <f>_xlfn.LET(_xlpm.x,_xlfn.XLOOKUP(tbl_main[[#This Row],[Service]],tbl_service[Service],tbl_service[Profit],""),
               IF(tbl_main[[#This Row],[Qty]]="","",_xlpm.x*tbl_main[[#This Row],[Qty]]))</f>
        <v>67</v>
      </c>
    </row>
    <row r="1958" spans="1:14" x14ac:dyDescent="0.25">
      <c r="A1958" t="s">
        <v>2000</v>
      </c>
      <c r="B1958" s="1">
        <v>46310</v>
      </c>
      <c r="C1958">
        <f>IF(tbl_main[[#This Row],[Date]]="","",YEAR(B1958))</f>
        <v>2026</v>
      </c>
      <c r="D1958" t="str">
        <f>IF(tbl_main[[#This Row],[Date]]="","",TEXT(B1958,"mmm"))</f>
        <v>Oct</v>
      </c>
      <c r="E1958" t="str">
        <f>IF(tbl_main[[#This Row],[Date]]="","",TEXT(B1958,"DDD"))</f>
        <v>Thu</v>
      </c>
      <c r="F1958" t="s">
        <v>13</v>
      </c>
      <c r="G1958" t="s">
        <v>14</v>
      </c>
      <c r="H1958" s="3" t="s">
        <v>22</v>
      </c>
      <c r="I1958" s="3" t="s">
        <v>35</v>
      </c>
      <c r="J1958" s="3" t="s">
        <v>25</v>
      </c>
      <c r="K1958" s="3">
        <f>_xlfn.XLOOKUP(tbl_main[[#This Row],[Service]],tbl_service[Service],tbl_service[Price],"")</f>
        <v>150</v>
      </c>
      <c r="L1958" s="3">
        <v>2</v>
      </c>
      <c r="M1958" s="3">
        <f>IF(AND(tbl_main[[#This Row],[Price]]="",tbl_main[[#This Row],[Qty]]=""),"",tbl_main[[#This Row],[Price]]*tbl_main[[#This Row],[Qty]])</f>
        <v>300</v>
      </c>
      <c r="N1958" s="3">
        <f>_xlfn.LET(_xlpm.x,_xlfn.XLOOKUP(tbl_main[[#This Row],[Service]],tbl_service[Service],tbl_service[Profit],""),
               IF(tbl_main[[#This Row],[Qty]]="","",_xlpm.x*tbl_main[[#This Row],[Qty]]))</f>
        <v>134</v>
      </c>
    </row>
    <row r="1959" spans="1:14" x14ac:dyDescent="0.25">
      <c r="A1959" t="s">
        <v>2001</v>
      </c>
      <c r="B1959" s="1">
        <v>46311</v>
      </c>
      <c r="C1959">
        <f>IF(tbl_main[[#This Row],[Date]]="","",YEAR(B1959))</f>
        <v>2026</v>
      </c>
      <c r="D1959" t="str">
        <f>IF(tbl_main[[#This Row],[Date]]="","",TEXT(B1959,"mmm"))</f>
        <v>Oct</v>
      </c>
      <c r="E1959" t="str">
        <f>IF(tbl_main[[#This Row],[Date]]="","",TEXT(B1959,"DDD"))</f>
        <v>Fri</v>
      </c>
      <c r="F1959" t="s">
        <v>20</v>
      </c>
      <c r="G1959" t="s">
        <v>39</v>
      </c>
      <c r="H1959" s="3" t="s">
        <v>22</v>
      </c>
      <c r="I1959" s="3" t="s">
        <v>23</v>
      </c>
      <c r="J1959" s="3" t="s">
        <v>17</v>
      </c>
      <c r="K1959" s="3">
        <f>_xlfn.XLOOKUP(tbl_main[[#This Row],[Service]],tbl_service[Service],tbl_service[Price],"")</f>
        <v>150</v>
      </c>
      <c r="L1959" s="3">
        <v>1</v>
      </c>
      <c r="M1959" s="3">
        <f>IF(AND(tbl_main[[#This Row],[Price]]="",tbl_main[[#This Row],[Qty]]=""),"",tbl_main[[#This Row],[Price]]*tbl_main[[#This Row],[Qty]])</f>
        <v>150</v>
      </c>
      <c r="N1959" s="3">
        <f>_xlfn.LET(_xlpm.x,_xlfn.XLOOKUP(tbl_main[[#This Row],[Service]],tbl_service[Service],tbl_service[Profit],""),
               IF(tbl_main[[#This Row],[Qty]]="","",_xlpm.x*tbl_main[[#This Row],[Qty]]))</f>
        <v>67</v>
      </c>
    </row>
    <row r="1960" spans="1:14" x14ac:dyDescent="0.25">
      <c r="A1960" t="s">
        <v>2002</v>
      </c>
      <c r="B1960" s="1">
        <v>46311</v>
      </c>
      <c r="C1960">
        <f>IF(tbl_main[[#This Row],[Date]]="","",YEAR(B1960))</f>
        <v>2026</v>
      </c>
      <c r="D1960" t="str">
        <f>IF(tbl_main[[#This Row],[Date]]="","",TEXT(B1960,"mmm"))</f>
        <v>Oct</v>
      </c>
      <c r="E1960" t="str">
        <f>IF(tbl_main[[#This Row],[Date]]="","",TEXT(B1960,"DDD"))</f>
        <v>Fri</v>
      </c>
      <c r="F1960" t="s">
        <v>27</v>
      </c>
      <c r="G1960" t="s">
        <v>28</v>
      </c>
      <c r="H1960" s="3" t="s">
        <v>18</v>
      </c>
      <c r="I1960" s="3" t="s">
        <v>37</v>
      </c>
      <c r="J1960" s="3" t="s">
        <v>17</v>
      </c>
      <c r="K1960" s="3">
        <f>_xlfn.XLOOKUP(tbl_main[[#This Row],[Service]],tbl_service[Service],tbl_service[Price],"")</f>
        <v>500</v>
      </c>
      <c r="L1960" s="3">
        <v>1</v>
      </c>
      <c r="M1960" s="3">
        <f>IF(AND(tbl_main[[#This Row],[Price]]="",tbl_main[[#This Row],[Qty]]=""),"",tbl_main[[#This Row],[Price]]*tbl_main[[#This Row],[Qty]])</f>
        <v>500</v>
      </c>
      <c r="N1960" s="3">
        <f>_xlfn.LET(_xlpm.x,_xlfn.XLOOKUP(tbl_main[[#This Row],[Service]],tbl_service[Service],tbl_service[Profit],""),
               IF(tbl_main[[#This Row],[Qty]]="","",_xlpm.x*tbl_main[[#This Row],[Qty]]))</f>
        <v>157</v>
      </c>
    </row>
    <row r="1961" spans="1:14" x14ac:dyDescent="0.25">
      <c r="A1961" t="s">
        <v>2003</v>
      </c>
      <c r="B1961" s="1">
        <v>46312</v>
      </c>
      <c r="C1961">
        <f>IF(tbl_main[[#This Row],[Date]]="","",YEAR(B1961))</f>
        <v>2026</v>
      </c>
      <c r="D1961" t="str">
        <f>IF(tbl_main[[#This Row],[Date]]="","",TEXT(B1961,"mmm"))</f>
        <v>Oct</v>
      </c>
      <c r="E1961" t="str">
        <f>IF(tbl_main[[#This Row],[Date]]="","",TEXT(B1961,"DDD"))</f>
        <v>Sat</v>
      </c>
      <c r="F1961" t="s">
        <v>27</v>
      </c>
      <c r="G1961" t="s">
        <v>40</v>
      </c>
      <c r="H1961" s="3" t="s">
        <v>34</v>
      </c>
      <c r="I1961" s="3" t="s">
        <v>38</v>
      </c>
      <c r="J1961" s="3" t="s">
        <v>25</v>
      </c>
      <c r="K1961" s="3">
        <f>_xlfn.XLOOKUP(tbl_main[[#This Row],[Service]],tbl_service[Service],tbl_service[Price],"")</f>
        <v>100</v>
      </c>
      <c r="L1961" s="3">
        <v>1</v>
      </c>
      <c r="M1961" s="3">
        <f>IF(AND(tbl_main[[#This Row],[Price]]="",tbl_main[[#This Row],[Qty]]=""),"",tbl_main[[#This Row],[Price]]*tbl_main[[#This Row],[Qty]])</f>
        <v>100</v>
      </c>
      <c r="N1961" s="3">
        <f>_xlfn.LET(_xlpm.x,_xlfn.XLOOKUP(tbl_main[[#This Row],[Service]],tbl_service[Service],tbl_service[Profit],""),
               IF(tbl_main[[#This Row],[Qty]]="","",_xlpm.x*tbl_main[[#This Row],[Qty]]))</f>
        <v>45</v>
      </c>
    </row>
    <row r="1962" spans="1:14" x14ac:dyDescent="0.25">
      <c r="A1962" t="s">
        <v>2004</v>
      </c>
      <c r="B1962" s="1">
        <v>46312</v>
      </c>
      <c r="C1962">
        <f>IF(tbl_main[[#This Row],[Date]]="","",YEAR(B1962))</f>
        <v>2026</v>
      </c>
      <c r="D1962" t="str">
        <f>IF(tbl_main[[#This Row],[Date]]="","",TEXT(B1962,"mmm"))</f>
        <v>Oct</v>
      </c>
      <c r="E1962" t="str">
        <f>IF(tbl_main[[#This Row],[Date]]="","",TEXT(B1962,"DDD"))</f>
        <v>Sat</v>
      </c>
      <c r="F1962" t="s">
        <v>13</v>
      </c>
      <c r="G1962" t="s">
        <v>33</v>
      </c>
      <c r="H1962" s="3" t="s">
        <v>26</v>
      </c>
      <c r="I1962" s="3" t="s">
        <v>16</v>
      </c>
      <c r="J1962" s="3" t="s">
        <v>17</v>
      </c>
      <c r="K1962" s="3">
        <f>_xlfn.XLOOKUP(tbl_main[[#This Row],[Service]],tbl_service[Service],tbl_service[Price],"")</f>
        <v>200</v>
      </c>
      <c r="L1962" s="3">
        <v>1</v>
      </c>
      <c r="M1962" s="3">
        <f>IF(AND(tbl_main[[#This Row],[Price]]="",tbl_main[[#This Row],[Qty]]=""),"",tbl_main[[#This Row],[Price]]*tbl_main[[#This Row],[Qty]])</f>
        <v>200</v>
      </c>
      <c r="N1962" s="3">
        <f>_xlfn.LET(_xlpm.x,_xlfn.XLOOKUP(tbl_main[[#This Row],[Service]],tbl_service[Service],tbl_service[Profit],""),
               IF(tbl_main[[#This Row],[Qty]]="","",_xlpm.x*tbl_main[[#This Row],[Qty]]))</f>
        <v>90</v>
      </c>
    </row>
    <row r="1963" spans="1:14" x14ac:dyDescent="0.25">
      <c r="A1963" t="s">
        <v>2005</v>
      </c>
      <c r="B1963" s="1">
        <v>46313</v>
      </c>
      <c r="C1963">
        <f>IF(tbl_main[[#This Row],[Date]]="","",YEAR(B1963))</f>
        <v>2026</v>
      </c>
      <c r="D1963" t="str">
        <f>IF(tbl_main[[#This Row],[Date]]="","",TEXT(B1963,"mmm"))</f>
        <v>Oct</v>
      </c>
      <c r="E1963" t="str">
        <f>IF(tbl_main[[#This Row],[Date]]="","",TEXT(B1963,"DDD"))</f>
        <v>Sun</v>
      </c>
      <c r="F1963" t="s">
        <v>13</v>
      </c>
      <c r="G1963" t="s">
        <v>33</v>
      </c>
      <c r="H1963" s="3" t="s">
        <v>26</v>
      </c>
      <c r="I1963" s="3" t="s">
        <v>19</v>
      </c>
      <c r="J1963" s="3" t="s">
        <v>17</v>
      </c>
      <c r="K1963" s="3">
        <f>_xlfn.XLOOKUP(tbl_main[[#This Row],[Service]],tbl_service[Service],tbl_service[Price],"")</f>
        <v>200</v>
      </c>
      <c r="L1963" s="3">
        <v>2</v>
      </c>
      <c r="M1963" s="3">
        <f>IF(AND(tbl_main[[#This Row],[Price]]="",tbl_main[[#This Row],[Qty]]=""),"",tbl_main[[#This Row],[Price]]*tbl_main[[#This Row],[Qty]])</f>
        <v>400</v>
      </c>
      <c r="N1963" s="3">
        <f>_xlfn.LET(_xlpm.x,_xlfn.XLOOKUP(tbl_main[[#This Row],[Service]],tbl_service[Service],tbl_service[Profit],""),
               IF(tbl_main[[#This Row],[Qty]]="","",_xlpm.x*tbl_main[[#This Row],[Qty]]))</f>
        <v>180</v>
      </c>
    </row>
    <row r="1964" spans="1:14" x14ac:dyDescent="0.25">
      <c r="A1964" t="s">
        <v>2006</v>
      </c>
      <c r="B1964" s="1">
        <v>46313</v>
      </c>
      <c r="C1964">
        <f>IF(tbl_main[[#This Row],[Date]]="","",YEAR(B1964))</f>
        <v>2026</v>
      </c>
      <c r="D1964" t="str">
        <f>IF(tbl_main[[#This Row],[Date]]="","",TEXT(B1964,"mmm"))</f>
        <v>Oct</v>
      </c>
      <c r="E1964" t="str">
        <f>IF(tbl_main[[#This Row],[Date]]="","",TEXT(B1964,"DDD"))</f>
        <v>Sun</v>
      </c>
      <c r="F1964" t="s">
        <v>13</v>
      </c>
      <c r="G1964" t="s">
        <v>33</v>
      </c>
      <c r="H1964" s="3" t="s">
        <v>24</v>
      </c>
      <c r="I1964" s="3" t="s">
        <v>43</v>
      </c>
      <c r="J1964" s="3" t="s">
        <v>17</v>
      </c>
      <c r="K1964" s="3">
        <f>_xlfn.XLOOKUP(tbl_main[[#This Row],[Service]],tbl_service[Service],tbl_service[Price],"")</f>
        <v>80</v>
      </c>
      <c r="L1964" s="3">
        <v>2</v>
      </c>
      <c r="M1964" s="3">
        <f>IF(AND(tbl_main[[#This Row],[Price]]="",tbl_main[[#This Row],[Qty]]=""),"",tbl_main[[#This Row],[Price]]*tbl_main[[#This Row],[Qty]])</f>
        <v>160</v>
      </c>
      <c r="N1964" s="3">
        <f>_xlfn.LET(_xlpm.x,_xlfn.XLOOKUP(tbl_main[[#This Row],[Service]],tbl_service[Service],tbl_service[Profit],""),
               IF(tbl_main[[#This Row],[Qty]]="","",_xlpm.x*tbl_main[[#This Row],[Qty]]))</f>
        <v>72</v>
      </c>
    </row>
    <row r="1965" spans="1:14" x14ac:dyDescent="0.25">
      <c r="A1965" t="s">
        <v>2007</v>
      </c>
      <c r="B1965" s="1">
        <v>46314</v>
      </c>
      <c r="C1965">
        <f>IF(tbl_main[[#This Row],[Date]]="","",YEAR(B1965))</f>
        <v>2026</v>
      </c>
      <c r="D1965" t="str">
        <f>IF(tbl_main[[#This Row],[Date]]="","",TEXT(B1965,"mmm"))</f>
        <v>Oct</v>
      </c>
      <c r="E1965" t="str">
        <f>IF(tbl_main[[#This Row],[Date]]="","",TEXT(B1965,"DDD"))</f>
        <v>Mon</v>
      </c>
      <c r="F1965" t="s">
        <v>13</v>
      </c>
      <c r="G1965" t="s">
        <v>14</v>
      </c>
      <c r="H1965" s="3" t="s">
        <v>18</v>
      </c>
      <c r="I1965" s="3" t="s">
        <v>42</v>
      </c>
      <c r="J1965" s="3" t="s">
        <v>25</v>
      </c>
      <c r="K1965" s="3">
        <f>_xlfn.XLOOKUP(tbl_main[[#This Row],[Service]],tbl_service[Service],tbl_service[Price],"")</f>
        <v>500</v>
      </c>
      <c r="L1965" s="3">
        <v>2</v>
      </c>
      <c r="M1965" s="3">
        <f>IF(AND(tbl_main[[#This Row],[Price]]="",tbl_main[[#This Row],[Qty]]=""),"",tbl_main[[#This Row],[Price]]*tbl_main[[#This Row],[Qty]])</f>
        <v>1000</v>
      </c>
      <c r="N1965" s="3">
        <f>_xlfn.LET(_xlpm.x,_xlfn.XLOOKUP(tbl_main[[#This Row],[Service]],tbl_service[Service],tbl_service[Profit],""),
               IF(tbl_main[[#This Row],[Qty]]="","",_xlpm.x*tbl_main[[#This Row],[Qty]]))</f>
        <v>314</v>
      </c>
    </row>
    <row r="1966" spans="1:14" x14ac:dyDescent="0.25">
      <c r="A1966" t="s">
        <v>2008</v>
      </c>
      <c r="B1966" s="1">
        <v>46314</v>
      </c>
      <c r="C1966">
        <f>IF(tbl_main[[#This Row],[Date]]="","",YEAR(B1966))</f>
        <v>2026</v>
      </c>
      <c r="D1966" t="str">
        <f>IF(tbl_main[[#This Row],[Date]]="","",TEXT(B1966,"mmm"))</f>
        <v>Oct</v>
      </c>
      <c r="E1966" t="str">
        <f>IF(tbl_main[[#This Row],[Date]]="","",TEXT(B1966,"DDD"))</f>
        <v>Mon</v>
      </c>
      <c r="F1966" t="s">
        <v>13</v>
      </c>
      <c r="G1966" t="s">
        <v>14</v>
      </c>
      <c r="H1966" s="3" t="s">
        <v>24</v>
      </c>
      <c r="I1966" s="3" t="s">
        <v>41</v>
      </c>
      <c r="J1966" s="3" t="s">
        <v>25</v>
      </c>
      <c r="K1966" s="3">
        <f>_xlfn.XLOOKUP(tbl_main[[#This Row],[Service]],tbl_service[Service],tbl_service[Price],"")</f>
        <v>80</v>
      </c>
      <c r="L1966" s="3">
        <v>1</v>
      </c>
      <c r="M1966" s="3">
        <f>IF(AND(tbl_main[[#This Row],[Price]]="",tbl_main[[#This Row],[Qty]]=""),"",tbl_main[[#This Row],[Price]]*tbl_main[[#This Row],[Qty]])</f>
        <v>80</v>
      </c>
      <c r="N1966" s="3">
        <f>_xlfn.LET(_xlpm.x,_xlfn.XLOOKUP(tbl_main[[#This Row],[Service]],tbl_service[Service],tbl_service[Profit],""),
               IF(tbl_main[[#This Row],[Qty]]="","",_xlpm.x*tbl_main[[#This Row],[Qty]]))</f>
        <v>36</v>
      </c>
    </row>
    <row r="1967" spans="1:14" x14ac:dyDescent="0.25">
      <c r="A1967" t="s">
        <v>2009</v>
      </c>
      <c r="B1967" s="1">
        <v>46315</v>
      </c>
      <c r="C1967">
        <f>IF(tbl_main[[#This Row],[Date]]="","",YEAR(B1967))</f>
        <v>2026</v>
      </c>
      <c r="D1967" t="str">
        <f>IF(tbl_main[[#This Row],[Date]]="","",TEXT(B1967,"mmm"))</f>
        <v>Oct</v>
      </c>
      <c r="E1967" t="str">
        <f>IF(tbl_main[[#This Row],[Date]]="","",TEXT(B1967,"DDD"))</f>
        <v>Tue</v>
      </c>
      <c r="F1967" t="s">
        <v>20</v>
      </c>
      <c r="G1967" t="s">
        <v>39</v>
      </c>
      <c r="H1967" s="3" t="s">
        <v>22</v>
      </c>
      <c r="I1967" s="3" t="s">
        <v>35</v>
      </c>
      <c r="J1967" s="3" t="s">
        <v>17</v>
      </c>
      <c r="K1967" s="3">
        <f>_xlfn.XLOOKUP(tbl_main[[#This Row],[Service]],tbl_service[Service],tbl_service[Price],"")</f>
        <v>150</v>
      </c>
      <c r="L1967" s="3">
        <v>1</v>
      </c>
      <c r="M1967" s="3">
        <f>IF(AND(tbl_main[[#This Row],[Price]]="",tbl_main[[#This Row],[Qty]]=""),"",tbl_main[[#This Row],[Price]]*tbl_main[[#This Row],[Qty]])</f>
        <v>150</v>
      </c>
      <c r="N1967" s="3">
        <f>_xlfn.LET(_xlpm.x,_xlfn.XLOOKUP(tbl_main[[#This Row],[Service]],tbl_service[Service],tbl_service[Profit],""),
               IF(tbl_main[[#This Row],[Qty]]="","",_xlpm.x*tbl_main[[#This Row],[Qty]]))</f>
        <v>67</v>
      </c>
    </row>
    <row r="1968" spans="1:14" x14ac:dyDescent="0.25">
      <c r="A1968" t="s">
        <v>2010</v>
      </c>
      <c r="B1968" s="1">
        <v>46315</v>
      </c>
      <c r="C1968">
        <f>IF(tbl_main[[#This Row],[Date]]="","",YEAR(B1968))</f>
        <v>2026</v>
      </c>
      <c r="D1968" t="str">
        <f>IF(tbl_main[[#This Row],[Date]]="","",TEXT(B1968,"mmm"))</f>
        <v>Oct</v>
      </c>
      <c r="E1968" t="str">
        <f>IF(tbl_main[[#This Row],[Date]]="","",TEXT(B1968,"DDD"))</f>
        <v>Tue</v>
      </c>
      <c r="F1968" t="s">
        <v>27</v>
      </c>
      <c r="G1968" t="s">
        <v>28</v>
      </c>
      <c r="H1968" s="3" t="s">
        <v>26</v>
      </c>
      <c r="I1968" s="3" t="s">
        <v>35</v>
      </c>
      <c r="J1968" s="3" t="s">
        <v>25</v>
      </c>
      <c r="K1968" s="3">
        <f>_xlfn.XLOOKUP(tbl_main[[#This Row],[Service]],tbl_service[Service],tbl_service[Price],"")</f>
        <v>200</v>
      </c>
      <c r="L1968" s="3">
        <v>1</v>
      </c>
      <c r="M1968" s="3">
        <f>IF(AND(tbl_main[[#This Row],[Price]]="",tbl_main[[#This Row],[Qty]]=""),"",tbl_main[[#This Row],[Price]]*tbl_main[[#This Row],[Qty]])</f>
        <v>200</v>
      </c>
      <c r="N1968" s="3">
        <f>_xlfn.LET(_xlpm.x,_xlfn.XLOOKUP(tbl_main[[#This Row],[Service]],tbl_service[Service],tbl_service[Profit],""),
               IF(tbl_main[[#This Row],[Qty]]="","",_xlpm.x*tbl_main[[#This Row],[Qty]]))</f>
        <v>90</v>
      </c>
    </row>
    <row r="1969" spans="1:14" x14ac:dyDescent="0.25">
      <c r="A1969" t="s">
        <v>2011</v>
      </c>
      <c r="B1969" s="1">
        <v>46315</v>
      </c>
      <c r="C1969">
        <f>IF(tbl_main[[#This Row],[Date]]="","",YEAR(B1969))</f>
        <v>2026</v>
      </c>
      <c r="D1969" t="str">
        <f>IF(tbl_main[[#This Row],[Date]]="","",TEXT(B1969,"mmm"))</f>
        <v>Oct</v>
      </c>
      <c r="E1969" t="str">
        <f>IF(tbl_main[[#This Row],[Date]]="","",TEXT(B1969,"DDD"))</f>
        <v>Tue</v>
      </c>
      <c r="F1969" t="s">
        <v>13</v>
      </c>
      <c r="G1969" t="s">
        <v>33</v>
      </c>
      <c r="H1969" s="3" t="s">
        <v>15</v>
      </c>
      <c r="I1969" s="3" t="s">
        <v>23</v>
      </c>
      <c r="J1969" s="3" t="s">
        <v>17</v>
      </c>
      <c r="K1969" s="3">
        <f>_xlfn.XLOOKUP(tbl_main[[#This Row],[Service]],tbl_service[Service],tbl_service[Price],"")</f>
        <v>500</v>
      </c>
      <c r="L1969" s="3">
        <v>2</v>
      </c>
      <c r="M1969" s="3">
        <f>IF(AND(tbl_main[[#This Row],[Price]]="",tbl_main[[#This Row],[Qty]]=""),"",tbl_main[[#This Row],[Price]]*tbl_main[[#This Row],[Qty]])</f>
        <v>1000</v>
      </c>
      <c r="N1969" s="3">
        <f>_xlfn.LET(_xlpm.x,_xlfn.XLOOKUP(tbl_main[[#This Row],[Service]],tbl_service[Service],tbl_service[Profit],""),
               IF(tbl_main[[#This Row],[Qty]]="","",_xlpm.x*tbl_main[[#This Row],[Qty]]))</f>
        <v>450</v>
      </c>
    </row>
    <row r="1970" spans="1:14" x14ac:dyDescent="0.25">
      <c r="A1970" t="s">
        <v>2012</v>
      </c>
      <c r="B1970" s="1">
        <v>46315</v>
      </c>
      <c r="C1970">
        <f>IF(tbl_main[[#This Row],[Date]]="","",YEAR(B1970))</f>
        <v>2026</v>
      </c>
      <c r="D1970" t="str">
        <f>IF(tbl_main[[#This Row],[Date]]="","",TEXT(B1970,"mmm"))</f>
        <v>Oct</v>
      </c>
      <c r="E1970" t="str">
        <f>IF(tbl_main[[#This Row],[Date]]="","",TEXT(B1970,"DDD"))</f>
        <v>Tue</v>
      </c>
      <c r="F1970" t="s">
        <v>27</v>
      </c>
      <c r="G1970" t="s">
        <v>28</v>
      </c>
      <c r="H1970" s="3" t="s">
        <v>24</v>
      </c>
      <c r="I1970" s="3" t="s">
        <v>37</v>
      </c>
      <c r="J1970" s="3" t="s">
        <v>32</v>
      </c>
      <c r="K1970" s="3">
        <f>_xlfn.XLOOKUP(tbl_main[[#This Row],[Service]],tbl_service[Service],tbl_service[Price],"")</f>
        <v>80</v>
      </c>
      <c r="L1970" s="3">
        <v>2</v>
      </c>
      <c r="M1970" s="3">
        <f>IF(AND(tbl_main[[#This Row],[Price]]="",tbl_main[[#This Row],[Qty]]=""),"",tbl_main[[#This Row],[Price]]*tbl_main[[#This Row],[Qty]])</f>
        <v>160</v>
      </c>
      <c r="N1970" s="3">
        <f>_xlfn.LET(_xlpm.x,_xlfn.XLOOKUP(tbl_main[[#This Row],[Service]],tbl_service[Service],tbl_service[Profit],""),
               IF(tbl_main[[#This Row],[Qty]]="","",_xlpm.x*tbl_main[[#This Row],[Qty]]))</f>
        <v>72</v>
      </c>
    </row>
    <row r="1971" spans="1:14" x14ac:dyDescent="0.25">
      <c r="A1971" t="s">
        <v>2013</v>
      </c>
      <c r="B1971" s="1">
        <v>46316</v>
      </c>
      <c r="C1971">
        <f>IF(tbl_main[[#This Row],[Date]]="","",YEAR(B1971))</f>
        <v>2026</v>
      </c>
      <c r="D1971" t="str">
        <f>IF(tbl_main[[#This Row],[Date]]="","",TEXT(B1971,"mmm"))</f>
        <v>Oct</v>
      </c>
      <c r="E1971" t="str">
        <f>IF(tbl_main[[#This Row],[Date]]="","",TEXT(B1971,"DDD"))</f>
        <v>Wed</v>
      </c>
      <c r="F1971" t="s">
        <v>27</v>
      </c>
      <c r="G1971" t="s">
        <v>28</v>
      </c>
      <c r="H1971" s="3" t="s">
        <v>22</v>
      </c>
      <c r="I1971" s="3" t="s">
        <v>38</v>
      </c>
      <c r="J1971" s="3" t="s">
        <v>25</v>
      </c>
      <c r="K1971" s="3">
        <f>_xlfn.XLOOKUP(tbl_main[[#This Row],[Service]],tbl_service[Service],tbl_service[Price],"")</f>
        <v>150</v>
      </c>
      <c r="L1971" s="3">
        <v>1</v>
      </c>
      <c r="M1971" s="3">
        <f>IF(AND(tbl_main[[#This Row],[Price]]="",tbl_main[[#This Row],[Qty]]=""),"",tbl_main[[#This Row],[Price]]*tbl_main[[#This Row],[Qty]])</f>
        <v>150</v>
      </c>
      <c r="N1971" s="3">
        <f>_xlfn.LET(_xlpm.x,_xlfn.XLOOKUP(tbl_main[[#This Row],[Service]],tbl_service[Service],tbl_service[Profit],""),
               IF(tbl_main[[#This Row],[Qty]]="","",_xlpm.x*tbl_main[[#This Row],[Qty]]))</f>
        <v>67</v>
      </c>
    </row>
    <row r="1972" spans="1:14" x14ac:dyDescent="0.25">
      <c r="A1972" t="s">
        <v>2014</v>
      </c>
      <c r="B1972" s="1">
        <v>46316</v>
      </c>
      <c r="C1972">
        <f>IF(tbl_main[[#This Row],[Date]]="","",YEAR(B1972))</f>
        <v>2026</v>
      </c>
      <c r="D1972" t="str">
        <f>IF(tbl_main[[#This Row],[Date]]="","",TEXT(B1972,"mmm"))</f>
        <v>Oct</v>
      </c>
      <c r="E1972" t="str">
        <f>IF(tbl_main[[#This Row],[Date]]="","",TEXT(B1972,"DDD"))</f>
        <v>Wed</v>
      </c>
      <c r="F1972" t="s">
        <v>30</v>
      </c>
      <c r="G1972" t="s">
        <v>36</v>
      </c>
      <c r="H1972" s="3" t="s">
        <v>22</v>
      </c>
      <c r="I1972" s="3" t="s">
        <v>16</v>
      </c>
      <c r="J1972" s="3" t="s">
        <v>25</v>
      </c>
      <c r="K1972" s="3">
        <f>_xlfn.XLOOKUP(tbl_main[[#This Row],[Service]],tbl_service[Service],tbl_service[Price],"")</f>
        <v>150</v>
      </c>
      <c r="L1972" s="3">
        <v>2</v>
      </c>
      <c r="M1972" s="3">
        <f>IF(AND(tbl_main[[#This Row],[Price]]="",tbl_main[[#This Row],[Qty]]=""),"",tbl_main[[#This Row],[Price]]*tbl_main[[#This Row],[Qty]])</f>
        <v>300</v>
      </c>
      <c r="N1972" s="3">
        <f>_xlfn.LET(_xlpm.x,_xlfn.XLOOKUP(tbl_main[[#This Row],[Service]],tbl_service[Service],tbl_service[Profit],""),
               IF(tbl_main[[#This Row],[Qty]]="","",_xlpm.x*tbl_main[[#This Row],[Qty]]))</f>
        <v>134</v>
      </c>
    </row>
    <row r="1973" spans="1:14" x14ac:dyDescent="0.25">
      <c r="A1973" t="s">
        <v>2015</v>
      </c>
      <c r="B1973" s="1">
        <v>46316</v>
      </c>
      <c r="C1973">
        <f>IF(tbl_main[[#This Row],[Date]]="","",YEAR(B1973))</f>
        <v>2026</v>
      </c>
      <c r="D1973" t="str">
        <f>IF(tbl_main[[#This Row],[Date]]="","",TEXT(B1973,"mmm"))</f>
        <v>Oct</v>
      </c>
      <c r="E1973" t="str">
        <f>IF(tbl_main[[#This Row],[Date]]="","",TEXT(B1973,"DDD"))</f>
        <v>Wed</v>
      </c>
      <c r="F1973" t="s">
        <v>20</v>
      </c>
      <c r="G1973" t="s">
        <v>29</v>
      </c>
      <c r="H1973" s="3" t="s">
        <v>24</v>
      </c>
      <c r="I1973" s="3" t="s">
        <v>19</v>
      </c>
      <c r="J1973" s="3" t="s">
        <v>32</v>
      </c>
      <c r="K1973" s="3">
        <f>_xlfn.XLOOKUP(tbl_main[[#This Row],[Service]],tbl_service[Service],tbl_service[Price],"")</f>
        <v>80</v>
      </c>
      <c r="L1973" s="3">
        <v>2</v>
      </c>
      <c r="M1973" s="3">
        <f>IF(AND(tbl_main[[#This Row],[Price]]="",tbl_main[[#This Row],[Qty]]=""),"",tbl_main[[#This Row],[Price]]*tbl_main[[#This Row],[Qty]])</f>
        <v>160</v>
      </c>
      <c r="N1973" s="3">
        <f>_xlfn.LET(_xlpm.x,_xlfn.XLOOKUP(tbl_main[[#This Row],[Service]],tbl_service[Service],tbl_service[Profit],""),
               IF(tbl_main[[#This Row],[Qty]]="","",_xlpm.x*tbl_main[[#This Row],[Qty]]))</f>
        <v>72</v>
      </c>
    </row>
    <row r="1974" spans="1:14" x14ac:dyDescent="0.25">
      <c r="A1974" t="s">
        <v>2016</v>
      </c>
      <c r="B1974" s="1">
        <v>46317</v>
      </c>
      <c r="C1974">
        <f>IF(tbl_main[[#This Row],[Date]]="","",YEAR(B1974))</f>
        <v>2026</v>
      </c>
      <c r="D1974" t="str">
        <f>IF(tbl_main[[#This Row],[Date]]="","",TEXT(B1974,"mmm"))</f>
        <v>Oct</v>
      </c>
      <c r="E1974" t="str">
        <f>IF(tbl_main[[#This Row],[Date]]="","",TEXT(B1974,"DDD"))</f>
        <v>Thu</v>
      </c>
      <c r="F1974" t="s">
        <v>20</v>
      </c>
      <c r="G1974" t="s">
        <v>21</v>
      </c>
      <c r="H1974" s="3" t="s">
        <v>34</v>
      </c>
      <c r="I1974" s="3" t="s">
        <v>43</v>
      </c>
      <c r="J1974" s="3" t="s">
        <v>17</v>
      </c>
      <c r="K1974" s="3">
        <f>_xlfn.XLOOKUP(tbl_main[[#This Row],[Service]],tbl_service[Service],tbl_service[Price],"")</f>
        <v>100</v>
      </c>
      <c r="L1974" s="3">
        <v>2</v>
      </c>
      <c r="M1974" s="3">
        <f>IF(AND(tbl_main[[#This Row],[Price]]="",tbl_main[[#This Row],[Qty]]=""),"",tbl_main[[#This Row],[Price]]*tbl_main[[#This Row],[Qty]])</f>
        <v>200</v>
      </c>
      <c r="N1974" s="3">
        <f>_xlfn.LET(_xlpm.x,_xlfn.XLOOKUP(tbl_main[[#This Row],[Service]],tbl_service[Service],tbl_service[Profit],""),
               IF(tbl_main[[#This Row],[Qty]]="","",_xlpm.x*tbl_main[[#This Row],[Qty]]))</f>
        <v>90</v>
      </c>
    </row>
    <row r="1975" spans="1:14" x14ac:dyDescent="0.25">
      <c r="A1975" t="s">
        <v>2017</v>
      </c>
      <c r="B1975" s="1">
        <v>46317</v>
      </c>
      <c r="C1975">
        <f>IF(tbl_main[[#This Row],[Date]]="","",YEAR(B1975))</f>
        <v>2026</v>
      </c>
      <c r="D1975" t="str">
        <f>IF(tbl_main[[#This Row],[Date]]="","",TEXT(B1975,"mmm"))</f>
        <v>Oct</v>
      </c>
      <c r="E1975" t="str">
        <f>IF(tbl_main[[#This Row],[Date]]="","",TEXT(B1975,"DDD"))</f>
        <v>Thu</v>
      </c>
      <c r="F1975" t="s">
        <v>13</v>
      </c>
      <c r="G1975" t="s">
        <v>33</v>
      </c>
      <c r="H1975" s="3" t="s">
        <v>26</v>
      </c>
      <c r="I1975" s="3" t="s">
        <v>42</v>
      </c>
      <c r="J1975" s="3" t="s">
        <v>32</v>
      </c>
      <c r="K1975" s="3">
        <f>_xlfn.XLOOKUP(tbl_main[[#This Row],[Service]],tbl_service[Service],tbl_service[Price],"")</f>
        <v>200</v>
      </c>
      <c r="L1975" s="3">
        <v>2</v>
      </c>
      <c r="M1975" s="3">
        <f>IF(AND(tbl_main[[#This Row],[Price]]="",tbl_main[[#This Row],[Qty]]=""),"",tbl_main[[#This Row],[Price]]*tbl_main[[#This Row],[Qty]])</f>
        <v>400</v>
      </c>
      <c r="N1975" s="3">
        <f>_xlfn.LET(_xlpm.x,_xlfn.XLOOKUP(tbl_main[[#This Row],[Service]],tbl_service[Service],tbl_service[Profit],""),
               IF(tbl_main[[#This Row],[Qty]]="","",_xlpm.x*tbl_main[[#This Row],[Qty]]))</f>
        <v>180</v>
      </c>
    </row>
    <row r="1976" spans="1:14" x14ac:dyDescent="0.25">
      <c r="A1976" t="s">
        <v>2018</v>
      </c>
      <c r="B1976" s="1">
        <v>46317</v>
      </c>
      <c r="C1976">
        <f>IF(tbl_main[[#This Row],[Date]]="","",YEAR(B1976))</f>
        <v>2026</v>
      </c>
      <c r="D1976" t="str">
        <f>IF(tbl_main[[#This Row],[Date]]="","",TEXT(B1976,"mmm"))</f>
        <v>Oct</v>
      </c>
      <c r="E1976" t="str">
        <f>IF(tbl_main[[#This Row],[Date]]="","",TEXT(B1976,"DDD"))</f>
        <v>Thu</v>
      </c>
      <c r="F1976" t="s">
        <v>13</v>
      </c>
      <c r="G1976" t="s">
        <v>33</v>
      </c>
      <c r="H1976" s="3" t="s">
        <v>22</v>
      </c>
      <c r="I1976" s="3" t="s">
        <v>41</v>
      </c>
      <c r="J1976" s="3" t="s">
        <v>25</v>
      </c>
      <c r="K1976" s="3">
        <f>_xlfn.XLOOKUP(tbl_main[[#This Row],[Service]],tbl_service[Service],tbl_service[Price],"")</f>
        <v>150</v>
      </c>
      <c r="L1976" s="3">
        <v>2</v>
      </c>
      <c r="M1976" s="3">
        <f>IF(AND(tbl_main[[#This Row],[Price]]="",tbl_main[[#This Row],[Qty]]=""),"",tbl_main[[#This Row],[Price]]*tbl_main[[#This Row],[Qty]])</f>
        <v>300</v>
      </c>
      <c r="N1976" s="3">
        <f>_xlfn.LET(_xlpm.x,_xlfn.XLOOKUP(tbl_main[[#This Row],[Service]],tbl_service[Service],tbl_service[Profit],""),
               IF(tbl_main[[#This Row],[Qty]]="","",_xlpm.x*tbl_main[[#This Row],[Qty]]))</f>
        <v>134</v>
      </c>
    </row>
    <row r="1977" spans="1:14" x14ac:dyDescent="0.25">
      <c r="A1977" t="s">
        <v>2019</v>
      </c>
      <c r="B1977" s="1">
        <v>46318</v>
      </c>
      <c r="C1977">
        <f>IF(tbl_main[[#This Row],[Date]]="","",YEAR(B1977))</f>
        <v>2026</v>
      </c>
      <c r="D1977" t="str">
        <f>IF(tbl_main[[#This Row],[Date]]="","",TEXT(B1977,"mmm"))</f>
        <v>Oct</v>
      </c>
      <c r="E1977" t="str">
        <f>IF(tbl_main[[#This Row],[Date]]="","",TEXT(B1977,"DDD"))</f>
        <v>Fri</v>
      </c>
      <c r="F1977" t="s">
        <v>13</v>
      </c>
      <c r="G1977" t="s">
        <v>14</v>
      </c>
      <c r="H1977" s="3" t="s">
        <v>34</v>
      </c>
      <c r="I1977" s="3" t="s">
        <v>35</v>
      </c>
      <c r="J1977" s="3" t="s">
        <v>25</v>
      </c>
      <c r="K1977" s="3">
        <f>_xlfn.XLOOKUP(tbl_main[[#This Row],[Service]],tbl_service[Service],tbl_service[Price],"")</f>
        <v>100</v>
      </c>
      <c r="L1977" s="3">
        <v>1</v>
      </c>
      <c r="M1977" s="3">
        <f>IF(AND(tbl_main[[#This Row],[Price]]="",tbl_main[[#This Row],[Qty]]=""),"",tbl_main[[#This Row],[Price]]*tbl_main[[#This Row],[Qty]])</f>
        <v>100</v>
      </c>
      <c r="N1977" s="3">
        <f>_xlfn.LET(_xlpm.x,_xlfn.XLOOKUP(tbl_main[[#This Row],[Service]],tbl_service[Service],tbl_service[Profit],""),
               IF(tbl_main[[#This Row],[Qty]]="","",_xlpm.x*tbl_main[[#This Row],[Qty]]))</f>
        <v>45</v>
      </c>
    </row>
    <row r="1978" spans="1:14" x14ac:dyDescent="0.25">
      <c r="A1978" t="s">
        <v>2020</v>
      </c>
      <c r="B1978" s="1">
        <v>46318</v>
      </c>
      <c r="C1978">
        <f>IF(tbl_main[[#This Row],[Date]]="","",YEAR(B1978))</f>
        <v>2026</v>
      </c>
      <c r="D1978" t="str">
        <f>IF(tbl_main[[#This Row],[Date]]="","",TEXT(B1978,"mmm"))</f>
        <v>Oct</v>
      </c>
      <c r="E1978" t="str">
        <f>IF(tbl_main[[#This Row],[Date]]="","",TEXT(B1978,"DDD"))</f>
        <v>Fri</v>
      </c>
      <c r="F1978" t="s">
        <v>13</v>
      </c>
      <c r="G1978" t="s">
        <v>14</v>
      </c>
      <c r="H1978" s="3" t="s">
        <v>34</v>
      </c>
      <c r="I1978" s="3" t="s">
        <v>35</v>
      </c>
      <c r="J1978" s="3" t="s">
        <v>25</v>
      </c>
      <c r="K1978" s="3">
        <f>_xlfn.XLOOKUP(tbl_main[[#This Row],[Service]],tbl_service[Service],tbl_service[Price],"")</f>
        <v>100</v>
      </c>
      <c r="L1978" s="3">
        <v>2</v>
      </c>
      <c r="M1978" s="3">
        <f>IF(AND(tbl_main[[#This Row],[Price]]="",tbl_main[[#This Row],[Qty]]=""),"",tbl_main[[#This Row],[Price]]*tbl_main[[#This Row],[Qty]])</f>
        <v>200</v>
      </c>
      <c r="N1978" s="3">
        <f>_xlfn.LET(_xlpm.x,_xlfn.XLOOKUP(tbl_main[[#This Row],[Service]],tbl_service[Service],tbl_service[Profit],""),
               IF(tbl_main[[#This Row],[Qty]]="","",_xlpm.x*tbl_main[[#This Row],[Qty]]))</f>
        <v>90</v>
      </c>
    </row>
    <row r="1979" spans="1:14" x14ac:dyDescent="0.25">
      <c r="A1979" t="s">
        <v>2021</v>
      </c>
      <c r="B1979" s="1">
        <v>46319</v>
      </c>
      <c r="C1979">
        <f>IF(tbl_main[[#This Row],[Date]]="","",YEAR(B1979))</f>
        <v>2026</v>
      </c>
      <c r="D1979" t="str">
        <f>IF(tbl_main[[#This Row],[Date]]="","",TEXT(B1979,"mmm"))</f>
        <v>Oct</v>
      </c>
      <c r="E1979" t="str">
        <f>IF(tbl_main[[#This Row],[Date]]="","",TEXT(B1979,"DDD"))</f>
        <v>Sat</v>
      </c>
      <c r="F1979" t="s">
        <v>13</v>
      </c>
      <c r="G1979" t="s">
        <v>33</v>
      </c>
      <c r="H1979" s="3" t="s">
        <v>18</v>
      </c>
      <c r="I1979" s="3" t="s">
        <v>23</v>
      </c>
      <c r="J1979" s="3" t="s">
        <v>32</v>
      </c>
      <c r="K1979" s="3">
        <f>_xlfn.XLOOKUP(tbl_main[[#This Row],[Service]],tbl_service[Service],tbl_service[Price],"")</f>
        <v>500</v>
      </c>
      <c r="L1979" s="3">
        <v>1</v>
      </c>
      <c r="M1979" s="3">
        <f>IF(AND(tbl_main[[#This Row],[Price]]="",tbl_main[[#This Row],[Qty]]=""),"",tbl_main[[#This Row],[Price]]*tbl_main[[#This Row],[Qty]])</f>
        <v>500</v>
      </c>
      <c r="N1979" s="3">
        <f>_xlfn.LET(_xlpm.x,_xlfn.XLOOKUP(tbl_main[[#This Row],[Service]],tbl_service[Service],tbl_service[Profit],""),
               IF(tbl_main[[#This Row],[Qty]]="","",_xlpm.x*tbl_main[[#This Row],[Qty]]))</f>
        <v>157</v>
      </c>
    </row>
    <row r="1980" spans="1:14" x14ac:dyDescent="0.25">
      <c r="A1980" t="s">
        <v>2022</v>
      </c>
      <c r="B1980" s="1">
        <v>46319</v>
      </c>
      <c r="C1980">
        <f>IF(tbl_main[[#This Row],[Date]]="","",YEAR(B1980))</f>
        <v>2026</v>
      </c>
      <c r="D1980" t="str">
        <f>IF(tbl_main[[#This Row],[Date]]="","",TEXT(B1980,"mmm"))</f>
        <v>Oct</v>
      </c>
      <c r="E1980" t="str">
        <f>IF(tbl_main[[#This Row],[Date]]="","",TEXT(B1980,"DDD"))</f>
        <v>Sat</v>
      </c>
      <c r="F1980" t="s">
        <v>27</v>
      </c>
      <c r="G1980" t="s">
        <v>28</v>
      </c>
      <c r="H1980" s="3" t="s">
        <v>15</v>
      </c>
      <c r="I1980" s="3" t="s">
        <v>37</v>
      </c>
      <c r="J1980" s="3" t="s">
        <v>32</v>
      </c>
      <c r="K1980" s="3">
        <f>_xlfn.XLOOKUP(tbl_main[[#This Row],[Service]],tbl_service[Service],tbl_service[Price],"")</f>
        <v>500</v>
      </c>
      <c r="L1980" s="3">
        <v>1</v>
      </c>
      <c r="M1980" s="3">
        <f>IF(AND(tbl_main[[#This Row],[Price]]="",tbl_main[[#This Row],[Qty]]=""),"",tbl_main[[#This Row],[Price]]*tbl_main[[#This Row],[Qty]])</f>
        <v>500</v>
      </c>
      <c r="N1980" s="3">
        <f>_xlfn.LET(_xlpm.x,_xlfn.XLOOKUP(tbl_main[[#This Row],[Service]],tbl_service[Service],tbl_service[Profit],""),
               IF(tbl_main[[#This Row],[Qty]]="","",_xlpm.x*tbl_main[[#This Row],[Qty]]))</f>
        <v>225</v>
      </c>
    </row>
    <row r="1981" spans="1:14" x14ac:dyDescent="0.25">
      <c r="A1981" t="s">
        <v>2023</v>
      </c>
      <c r="B1981" s="1">
        <v>46319</v>
      </c>
      <c r="C1981">
        <f>IF(tbl_main[[#This Row],[Date]]="","",YEAR(B1981))</f>
        <v>2026</v>
      </c>
      <c r="D1981" t="str">
        <f>IF(tbl_main[[#This Row],[Date]]="","",TEXT(B1981,"mmm"))</f>
        <v>Oct</v>
      </c>
      <c r="E1981" t="str">
        <f>IF(tbl_main[[#This Row],[Date]]="","",TEXT(B1981,"DDD"))</f>
        <v>Sat</v>
      </c>
      <c r="F1981" t="s">
        <v>30</v>
      </c>
      <c r="G1981" t="s">
        <v>31</v>
      </c>
      <c r="H1981" s="3" t="s">
        <v>18</v>
      </c>
      <c r="I1981" s="3" t="s">
        <v>38</v>
      </c>
      <c r="J1981" s="3" t="s">
        <v>25</v>
      </c>
      <c r="K1981" s="3">
        <f>_xlfn.XLOOKUP(tbl_main[[#This Row],[Service]],tbl_service[Service],tbl_service[Price],"")</f>
        <v>500</v>
      </c>
      <c r="L1981" s="3">
        <v>2</v>
      </c>
      <c r="M1981" s="3">
        <f>IF(AND(tbl_main[[#This Row],[Price]]="",tbl_main[[#This Row],[Qty]]=""),"",tbl_main[[#This Row],[Price]]*tbl_main[[#This Row],[Qty]])</f>
        <v>1000</v>
      </c>
      <c r="N1981" s="3">
        <f>_xlfn.LET(_xlpm.x,_xlfn.XLOOKUP(tbl_main[[#This Row],[Service]],tbl_service[Service],tbl_service[Profit],""),
               IF(tbl_main[[#This Row],[Qty]]="","",_xlpm.x*tbl_main[[#This Row],[Qty]]))</f>
        <v>314</v>
      </c>
    </row>
    <row r="1982" spans="1:14" x14ac:dyDescent="0.25">
      <c r="A1982" t="s">
        <v>2024</v>
      </c>
      <c r="B1982" s="1">
        <v>46319</v>
      </c>
      <c r="C1982">
        <f>IF(tbl_main[[#This Row],[Date]]="","",YEAR(B1982))</f>
        <v>2026</v>
      </c>
      <c r="D1982" t="str">
        <f>IF(tbl_main[[#This Row],[Date]]="","",TEXT(B1982,"mmm"))</f>
        <v>Oct</v>
      </c>
      <c r="E1982" t="str">
        <f>IF(tbl_main[[#This Row],[Date]]="","",TEXT(B1982,"DDD"))</f>
        <v>Sat</v>
      </c>
      <c r="F1982" t="s">
        <v>30</v>
      </c>
      <c r="G1982" t="s">
        <v>31</v>
      </c>
      <c r="H1982" s="3" t="s">
        <v>15</v>
      </c>
      <c r="I1982" s="3" t="s">
        <v>16</v>
      </c>
      <c r="J1982" s="3" t="s">
        <v>25</v>
      </c>
      <c r="K1982" s="3">
        <f>_xlfn.XLOOKUP(tbl_main[[#This Row],[Service]],tbl_service[Service],tbl_service[Price],"")</f>
        <v>500</v>
      </c>
      <c r="L1982" s="3">
        <v>1</v>
      </c>
      <c r="M1982" s="3">
        <f>IF(AND(tbl_main[[#This Row],[Price]]="",tbl_main[[#This Row],[Qty]]=""),"",tbl_main[[#This Row],[Price]]*tbl_main[[#This Row],[Qty]])</f>
        <v>500</v>
      </c>
      <c r="N1982" s="3">
        <f>_xlfn.LET(_xlpm.x,_xlfn.XLOOKUP(tbl_main[[#This Row],[Service]],tbl_service[Service],tbl_service[Profit],""),
               IF(tbl_main[[#This Row],[Qty]]="","",_xlpm.x*tbl_main[[#This Row],[Qty]]))</f>
        <v>225</v>
      </c>
    </row>
    <row r="1983" spans="1:14" x14ac:dyDescent="0.25">
      <c r="A1983" t="s">
        <v>2025</v>
      </c>
      <c r="B1983" s="1">
        <v>46320</v>
      </c>
      <c r="C1983">
        <f>IF(tbl_main[[#This Row],[Date]]="","",YEAR(B1983))</f>
        <v>2026</v>
      </c>
      <c r="D1983" t="str">
        <f>IF(tbl_main[[#This Row],[Date]]="","",TEXT(B1983,"mmm"))</f>
        <v>Oct</v>
      </c>
      <c r="E1983" t="str">
        <f>IF(tbl_main[[#This Row],[Date]]="","",TEXT(B1983,"DDD"))</f>
        <v>Sun</v>
      </c>
      <c r="F1983" t="s">
        <v>20</v>
      </c>
      <c r="G1983" t="s">
        <v>39</v>
      </c>
      <c r="H1983" s="3" t="s">
        <v>34</v>
      </c>
      <c r="I1983" s="3" t="s">
        <v>19</v>
      </c>
      <c r="J1983" s="3" t="s">
        <v>25</v>
      </c>
      <c r="K1983" s="3">
        <f>_xlfn.XLOOKUP(tbl_main[[#This Row],[Service]],tbl_service[Service],tbl_service[Price],"")</f>
        <v>100</v>
      </c>
      <c r="L1983" s="3">
        <v>2</v>
      </c>
      <c r="M1983" s="3">
        <f>IF(AND(tbl_main[[#This Row],[Price]]="",tbl_main[[#This Row],[Qty]]=""),"",tbl_main[[#This Row],[Price]]*tbl_main[[#This Row],[Qty]])</f>
        <v>200</v>
      </c>
      <c r="N1983" s="3">
        <f>_xlfn.LET(_xlpm.x,_xlfn.XLOOKUP(tbl_main[[#This Row],[Service]],tbl_service[Service],tbl_service[Profit],""),
               IF(tbl_main[[#This Row],[Qty]]="","",_xlpm.x*tbl_main[[#This Row],[Qty]]))</f>
        <v>90</v>
      </c>
    </row>
    <row r="1984" spans="1:14" x14ac:dyDescent="0.25">
      <c r="A1984" t="s">
        <v>2026</v>
      </c>
      <c r="B1984" s="1">
        <v>46320</v>
      </c>
      <c r="C1984">
        <f>IF(tbl_main[[#This Row],[Date]]="","",YEAR(B1984))</f>
        <v>2026</v>
      </c>
      <c r="D1984" t="str">
        <f>IF(tbl_main[[#This Row],[Date]]="","",TEXT(B1984,"mmm"))</f>
        <v>Oct</v>
      </c>
      <c r="E1984" t="str">
        <f>IF(tbl_main[[#This Row],[Date]]="","",TEXT(B1984,"DDD"))</f>
        <v>Sun</v>
      </c>
      <c r="F1984" t="s">
        <v>13</v>
      </c>
      <c r="G1984" t="s">
        <v>14</v>
      </c>
      <c r="H1984" s="3" t="s">
        <v>24</v>
      </c>
      <c r="I1984" s="3" t="s">
        <v>43</v>
      </c>
      <c r="J1984" s="3" t="s">
        <v>17</v>
      </c>
      <c r="K1984" s="3">
        <f>_xlfn.XLOOKUP(tbl_main[[#This Row],[Service]],tbl_service[Service],tbl_service[Price],"")</f>
        <v>80</v>
      </c>
      <c r="L1984" s="3">
        <v>1</v>
      </c>
      <c r="M1984" s="3">
        <f>IF(AND(tbl_main[[#This Row],[Price]]="",tbl_main[[#This Row],[Qty]]=""),"",tbl_main[[#This Row],[Price]]*tbl_main[[#This Row],[Qty]])</f>
        <v>80</v>
      </c>
      <c r="N1984" s="3">
        <f>_xlfn.LET(_xlpm.x,_xlfn.XLOOKUP(tbl_main[[#This Row],[Service]],tbl_service[Service],tbl_service[Profit],""),
               IF(tbl_main[[#This Row],[Qty]]="","",_xlpm.x*tbl_main[[#This Row],[Qty]]))</f>
        <v>36</v>
      </c>
    </row>
    <row r="1985" spans="1:14" x14ac:dyDescent="0.25">
      <c r="A1985" t="s">
        <v>2027</v>
      </c>
      <c r="B1985" s="1">
        <v>46321</v>
      </c>
      <c r="C1985">
        <f>IF(tbl_main[[#This Row],[Date]]="","",YEAR(B1985))</f>
        <v>2026</v>
      </c>
      <c r="D1985" t="str">
        <f>IF(tbl_main[[#This Row],[Date]]="","",TEXT(B1985,"mmm"))</f>
        <v>Oct</v>
      </c>
      <c r="E1985" t="str">
        <f>IF(tbl_main[[#This Row],[Date]]="","",TEXT(B1985,"DDD"))</f>
        <v>Mon</v>
      </c>
      <c r="F1985" t="s">
        <v>30</v>
      </c>
      <c r="G1985" t="s">
        <v>36</v>
      </c>
      <c r="H1985" s="3" t="s">
        <v>22</v>
      </c>
      <c r="I1985" s="3" t="s">
        <v>42</v>
      </c>
      <c r="J1985" s="3" t="s">
        <v>25</v>
      </c>
      <c r="K1985" s="3">
        <f>_xlfn.XLOOKUP(tbl_main[[#This Row],[Service]],tbl_service[Service],tbl_service[Price],"")</f>
        <v>150</v>
      </c>
      <c r="L1985" s="3">
        <v>1</v>
      </c>
      <c r="M1985" s="3">
        <f>IF(AND(tbl_main[[#This Row],[Price]]="",tbl_main[[#This Row],[Qty]]=""),"",tbl_main[[#This Row],[Price]]*tbl_main[[#This Row],[Qty]])</f>
        <v>150</v>
      </c>
      <c r="N1985" s="3">
        <f>_xlfn.LET(_xlpm.x,_xlfn.XLOOKUP(tbl_main[[#This Row],[Service]],tbl_service[Service],tbl_service[Profit],""),
               IF(tbl_main[[#This Row],[Qty]]="","",_xlpm.x*tbl_main[[#This Row],[Qty]]))</f>
        <v>67</v>
      </c>
    </row>
    <row r="1986" spans="1:14" x14ac:dyDescent="0.25">
      <c r="A1986" t="s">
        <v>2028</v>
      </c>
      <c r="B1986" s="1">
        <v>46321</v>
      </c>
      <c r="C1986">
        <f>IF(tbl_main[[#This Row],[Date]]="","",YEAR(B1986))</f>
        <v>2026</v>
      </c>
      <c r="D1986" t="str">
        <f>IF(tbl_main[[#This Row],[Date]]="","",TEXT(B1986,"mmm"))</f>
        <v>Oct</v>
      </c>
      <c r="E1986" t="str">
        <f>IF(tbl_main[[#This Row],[Date]]="","",TEXT(B1986,"DDD"))</f>
        <v>Mon</v>
      </c>
      <c r="F1986" t="s">
        <v>27</v>
      </c>
      <c r="G1986" t="s">
        <v>28</v>
      </c>
      <c r="H1986" s="3" t="s">
        <v>22</v>
      </c>
      <c r="I1986" s="3" t="s">
        <v>41</v>
      </c>
      <c r="J1986" s="3" t="s">
        <v>25</v>
      </c>
      <c r="K1986" s="3">
        <f>_xlfn.XLOOKUP(tbl_main[[#This Row],[Service]],tbl_service[Service],tbl_service[Price],"")</f>
        <v>150</v>
      </c>
      <c r="L1986" s="3">
        <v>2</v>
      </c>
      <c r="M1986" s="3">
        <f>IF(AND(tbl_main[[#This Row],[Price]]="",tbl_main[[#This Row],[Qty]]=""),"",tbl_main[[#This Row],[Price]]*tbl_main[[#This Row],[Qty]])</f>
        <v>300</v>
      </c>
      <c r="N1986" s="3">
        <f>_xlfn.LET(_xlpm.x,_xlfn.XLOOKUP(tbl_main[[#This Row],[Service]],tbl_service[Service],tbl_service[Profit],""),
               IF(tbl_main[[#This Row],[Qty]]="","",_xlpm.x*tbl_main[[#This Row],[Qty]]))</f>
        <v>134</v>
      </c>
    </row>
    <row r="1987" spans="1:14" x14ac:dyDescent="0.25">
      <c r="A1987" t="s">
        <v>2029</v>
      </c>
      <c r="B1987" s="1">
        <v>46321</v>
      </c>
      <c r="C1987">
        <f>IF(tbl_main[[#This Row],[Date]]="","",YEAR(B1987))</f>
        <v>2026</v>
      </c>
      <c r="D1987" t="str">
        <f>IF(tbl_main[[#This Row],[Date]]="","",TEXT(B1987,"mmm"))</f>
        <v>Oct</v>
      </c>
      <c r="E1987" t="str">
        <f>IF(tbl_main[[#This Row],[Date]]="","",TEXT(B1987,"DDD"))</f>
        <v>Mon</v>
      </c>
      <c r="F1987" t="s">
        <v>27</v>
      </c>
      <c r="G1987" t="s">
        <v>40</v>
      </c>
      <c r="H1987" s="3" t="s">
        <v>22</v>
      </c>
      <c r="I1987" s="3" t="s">
        <v>35</v>
      </c>
      <c r="J1987" s="3" t="s">
        <v>17</v>
      </c>
      <c r="K1987" s="3">
        <f>_xlfn.XLOOKUP(tbl_main[[#This Row],[Service]],tbl_service[Service],tbl_service[Price],"")</f>
        <v>150</v>
      </c>
      <c r="L1987" s="3">
        <v>1</v>
      </c>
      <c r="M1987" s="3">
        <f>IF(AND(tbl_main[[#This Row],[Price]]="",tbl_main[[#This Row],[Qty]]=""),"",tbl_main[[#This Row],[Price]]*tbl_main[[#This Row],[Qty]])</f>
        <v>150</v>
      </c>
      <c r="N1987" s="3">
        <f>_xlfn.LET(_xlpm.x,_xlfn.XLOOKUP(tbl_main[[#This Row],[Service]],tbl_service[Service],tbl_service[Profit],""),
               IF(tbl_main[[#This Row],[Qty]]="","",_xlpm.x*tbl_main[[#This Row],[Qty]]))</f>
        <v>67</v>
      </c>
    </row>
    <row r="1988" spans="1:14" x14ac:dyDescent="0.25">
      <c r="A1988" t="s">
        <v>2030</v>
      </c>
      <c r="B1988" s="1">
        <v>46322</v>
      </c>
      <c r="C1988">
        <f>IF(tbl_main[[#This Row],[Date]]="","",YEAR(B1988))</f>
        <v>2026</v>
      </c>
      <c r="D1988" t="str">
        <f>IF(tbl_main[[#This Row],[Date]]="","",TEXT(B1988,"mmm"))</f>
        <v>Oct</v>
      </c>
      <c r="E1988" t="str">
        <f>IF(tbl_main[[#This Row],[Date]]="","",TEXT(B1988,"DDD"))</f>
        <v>Tue</v>
      </c>
      <c r="F1988" t="s">
        <v>13</v>
      </c>
      <c r="G1988" t="s">
        <v>14</v>
      </c>
      <c r="H1988" s="3" t="s">
        <v>24</v>
      </c>
      <c r="I1988" s="3" t="s">
        <v>35</v>
      </c>
      <c r="J1988" s="3" t="s">
        <v>25</v>
      </c>
      <c r="K1988" s="3">
        <f>_xlfn.XLOOKUP(tbl_main[[#This Row],[Service]],tbl_service[Service],tbl_service[Price],"")</f>
        <v>80</v>
      </c>
      <c r="L1988" s="3">
        <v>1</v>
      </c>
      <c r="M1988" s="3">
        <f>IF(AND(tbl_main[[#This Row],[Price]]="",tbl_main[[#This Row],[Qty]]=""),"",tbl_main[[#This Row],[Price]]*tbl_main[[#This Row],[Qty]])</f>
        <v>80</v>
      </c>
      <c r="N1988" s="3">
        <f>_xlfn.LET(_xlpm.x,_xlfn.XLOOKUP(tbl_main[[#This Row],[Service]],tbl_service[Service],tbl_service[Profit],""),
               IF(tbl_main[[#This Row],[Qty]]="","",_xlpm.x*tbl_main[[#This Row],[Qty]]))</f>
        <v>36</v>
      </c>
    </row>
    <row r="1989" spans="1:14" x14ac:dyDescent="0.25">
      <c r="A1989" t="s">
        <v>2031</v>
      </c>
      <c r="B1989" s="1">
        <v>46322</v>
      </c>
      <c r="C1989">
        <f>IF(tbl_main[[#This Row],[Date]]="","",YEAR(B1989))</f>
        <v>2026</v>
      </c>
      <c r="D1989" t="str">
        <f>IF(tbl_main[[#This Row],[Date]]="","",TEXT(B1989,"mmm"))</f>
        <v>Oct</v>
      </c>
      <c r="E1989" t="str">
        <f>IF(tbl_main[[#This Row],[Date]]="","",TEXT(B1989,"DDD"))</f>
        <v>Tue</v>
      </c>
      <c r="F1989" t="s">
        <v>27</v>
      </c>
      <c r="G1989" t="s">
        <v>28</v>
      </c>
      <c r="H1989" s="3" t="s">
        <v>24</v>
      </c>
      <c r="I1989" s="3" t="s">
        <v>23</v>
      </c>
      <c r="J1989" s="3" t="s">
        <v>32</v>
      </c>
      <c r="K1989" s="3">
        <f>_xlfn.XLOOKUP(tbl_main[[#This Row],[Service]],tbl_service[Service],tbl_service[Price],"")</f>
        <v>80</v>
      </c>
      <c r="L1989" s="3">
        <v>1</v>
      </c>
      <c r="M1989" s="3">
        <f>IF(AND(tbl_main[[#This Row],[Price]]="",tbl_main[[#This Row],[Qty]]=""),"",tbl_main[[#This Row],[Price]]*tbl_main[[#This Row],[Qty]])</f>
        <v>80</v>
      </c>
      <c r="N1989" s="3">
        <f>_xlfn.LET(_xlpm.x,_xlfn.XLOOKUP(tbl_main[[#This Row],[Service]],tbl_service[Service],tbl_service[Profit],""),
               IF(tbl_main[[#This Row],[Qty]]="","",_xlpm.x*tbl_main[[#This Row],[Qty]]))</f>
        <v>36</v>
      </c>
    </row>
    <row r="1990" spans="1:14" x14ac:dyDescent="0.25">
      <c r="A1990" t="s">
        <v>2032</v>
      </c>
      <c r="B1990" s="1">
        <v>46322</v>
      </c>
      <c r="C1990">
        <f>IF(tbl_main[[#This Row],[Date]]="","",YEAR(B1990))</f>
        <v>2026</v>
      </c>
      <c r="D1990" t="str">
        <f>IF(tbl_main[[#This Row],[Date]]="","",TEXT(B1990,"mmm"))</f>
        <v>Oct</v>
      </c>
      <c r="E1990" t="str">
        <f>IF(tbl_main[[#This Row],[Date]]="","",TEXT(B1990,"DDD"))</f>
        <v>Tue</v>
      </c>
      <c r="F1990" t="s">
        <v>13</v>
      </c>
      <c r="G1990" t="s">
        <v>14</v>
      </c>
      <c r="H1990" s="3" t="s">
        <v>34</v>
      </c>
      <c r="I1990" s="3" t="s">
        <v>37</v>
      </c>
      <c r="J1990" s="3" t="s">
        <v>25</v>
      </c>
      <c r="K1990" s="3">
        <f>_xlfn.XLOOKUP(tbl_main[[#This Row],[Service]],tbl_service[Service],tbl_service[Price],"")</f>
        <v>100</v>
      </c>
      <c r="L1990" s="3">
        <v>1</v>
      </c>
      <c r="M1990" s="3">
        <f>IF(AND(tbl_main[[#This Row],[Price]]="",tbl_main[[#This Row],[Qty]]=""),"",tbl_main[[#This Row],[Price]]*tbl_main[[#This Row],[Qty]])</f>
        <v>100</v>
      </c>
      <c r="N1990" s="3">
        <f>_xlfn.LET(_xlpm.x,_xlfn.XLOOKUP(tbl_main[[#This Row],[Service]],tbl_service[Service],tbl_service[Profit],""),
               IF(tbl_main[[#This Row],[Qty]]="","",_xlpm.x*tbl_main[[#This Row],[Qty]]))</f>
        <v>45</v>
      </c>
    </row>
    <row r="1991" spans="1:14" x14ac:dyDescent="0.25">
      <c r="A1991" t="s">
        <v>2033</v>
      </c>
      <c r="B1991" s="1">
        <v>46322</v>
      </c>
      <c r="C1991">
        <f>IF(tbl_main[[#This Row],[Date]]="","",YEAR(B1991))</f>
        <v>2026</v>
      </c>
      <c r="D1991" t="str">
        <f>IF(tbl_main[[#This Row],[Date]]="","",TEXT(B1991,"mmm"))</f>
        <v>Oct</v>
      </c>
      <c r="E1991" t="str">
        <f>IF(tbl_main[[#This Row],[Date]]="","",TEXT(B1991,"DDD"))</f>
        <v>Tue</v>
      </c>
      <c r="F1991" t="s">
        <v>27</v>
      </c>
      <c r="G1991" t="s">
        <v>40</v>
      </c>
      <c r="H1991" s="3" t="s">
        <v>22</v>
      </c>
      <c r="I1991" s="3" t="s">
        <v>38</v>
      </c>
      <c r="J1991" s="3" t="s">
        <v>25</v>
      </c>
      <c r="K1991" s="3">
        <f>_xlfn.XLOOKUP(tbl_main[[#This Row],[Service]],tbl_service[Service],tbl_service[Price],"")</f>
        <v>150</v>
      </c>
      <c r="L1991" s="3">
        <v>2</v>
      </c>
      <c r="M1991" s="3">
        <f>IF(AND(tbl_main[[#This Row],[Price]]="",tbl_main[[#This Row],[Qty]]=""),"",tbl_main[[#This Row],[Price]]*tbl_main[[#This Row],[Qty]])</f>
        <v>300</v>
      </c>
      <c r="N1991" s="3">
        <f>_xlfn.LET(_xlpm.x,_xlfn.XLOOKUP(tbl_main[[#This Row],[Service]],tbl_service[Service],tbl_service[Profit],""),
               IF(tbl_main[[#This Row],[Qty]]="","",_xlpm.x*tbl_main[[#This Row],[Qty]]))</f>
        <v>134</v>
      </c>
    </row>
    <row r="1992" spans="1:14" x14ac:dyDescent="0.25">
      <c r="A1992" t="s">
        <v>2034</v>
      </c>
      <c r="B1992" s="1">
        <v>46323</v>
      </c>
      <c r="C1992">
        <f>IF(tbl_main[[#This Row],[Date]]="","",YEAR(B1992))</f>
        <v>2026</v>
      </c>
      <c r="D1992" t="str">
        <f>IF(tbl_main[[#This Row],[Date]]="","",TEXT(B1992,"mmm"))</f>
        <v>Oct</v>
      </c>
      <c r="E1992" t="str">
        <f>IF(tbl_main[[#This Row],[Date]]="","",TEXT(B1992,"DDD"))</f>
        <v>Wed</v>
      </c>
      <c r="F1992" t="s">
        <v>27</v>
      </c>
      <c r="G1992" t="s">
        <v>40</v>
      </c>
      <c r="H1992" s="3" t="s">
        <v>22</v>
      </c>
      <c r="I1992" s="3" t="s">
        <v>16</v>
      </c>
      <c r="J1992" s="3" t="s">
        <v>17</v>
      </c>
      <c r="K1992" s="3">
        <f>_xlfn.XLOOKUP(tbl_main[[#This Row],[Service]],tbl_service[Service],tbl_service[Price],"")</f>
        <v>150</v>
      </c>
      <c r="L1992" s="3">
        <v>2</v>
      </c>
      <c r="M1992" s="3">
        <f>IF(AND(tbl_main[[#This Row],[Price]]="",tbl_main[[#This Row],[Qty]]=""),"",tbl_main[[#This Row],[Price]]*tbl_main[[#This Row],[Qty]])</f>
        <v>300</v>
      </c>
      <c r="N1992" s="3">
        <f>_xlfn.LET(_xlpm.x,_xlfn.XLOOKUP(tbl_main[[#This Row],[Service]],tbl_service[Service],tbl_service[Profit],""),
               IF(tbl_main[[#This Row],[Qty]]="","",_xlpm.x*tbl_main[[#This Row],[Qty]]))</f>
        <v>134</v>
      </c>
    </row>
    <row r="1993" spans="1:14" x14ac:dyDescent="0.25">
      <c r="A1993" t="s">
        <v>2035</v>
      </c>
      <c r="B1993" s="1">
        <v>46323</v>
      </c>
      <c r="C1993">
        <f>IF(tbl_main[[#This Row],[Date]]="","",YEAR(B1993))</f>
        <v>2026</v>
      </c>
      <c r="D1993" t="str">
        <f>IF(tbl_main[[#This Row],[Date]]="","",TEXT(B1993,"mmm"))</f>
        <v>Oct</v>
      </c>
      <c r="E1993" t="str">
        <f>IF(tbl_main[[#This Row],[Date]]="","",TEXT(B1993,"DDD"))</f>
        <v>Wed</v>
      </c>
      <c r="F1993" t="s">
        <v>20</v>
      </c>
      <c r="G1993" t="s">
        <v>39</v>
      </c>
      <c r="H1993" s="3" t="s">
        <v>24</v>
      </c>
      <c r="I1993" s="3" t="s">
        <v>19</v>
      </c>
      <c r="J1993" s="3" t="s">
        <v>17</v>
      </c>
      <c r="K1993" s="3">
        <f>_xlfn.XLOOKUP(tbl_main[[#This Row],[Service]],tbl_service[Service],tbl_service[Price],"")</f>
        <v>80</v>
      </c>
      <c r="L1993" s="3">
        <v>1</v>
      </c>
      <c r="M1993" s="3">
        <f>IF(AND(tbl_main[[#This Row],[Price]]="",tbl_main[[#This Row],[Qty]]=""),"",tbl_main[[#This Row],[Price]]*tbl_main[[#This Row],[Qty]])</f>
        <v>80</v>
      </c>
      <c r="N1993" s="3">
        <f>_xlfn.LET(_xlpm.x,_xlfn.XLOOKUP(tbl_main[[#This Row],[Service]],tbl_service[Service],tbl_service[Profit],""),
               IF(tbl_main[[#This Row],[Qty]]="","",_xlpm.x*tbl_main[[#This Row],[Qty]]))</f>
        <v>36</v>
      </c>
    </row>
    <row r="1994" spans="1:14" x14ac:dyDescent="0.25">
      <c r="A1994" t="s">
        <v>2036</v>
      </c>
      <c r="B1994" s="1">
        <v>46324</v>
      </c>
      <c r="C1994">
        <f>IF(tbl_main[[#This Row],[Date]]="","",YEAR(B1994))</f>
        <v>2026</v>
      </c>
      <c r="D1994" t="str">
        <f>IF(tbl_main[[#This Row],[Date]]="","",TEXT(B1994,"mmm"))</f>
        <v>Oct</v>
      </c>
      <c r="E1994" t="str">
        <f>IF(tbl_main[[#This Row],[Date]]="","",TEXT(B1994,"DDD"))</f>
        <v>Thu</v>
      </c>
      <c r="F1994" t="s">
        <v>27</v>
      </c>
      <c r="G1994" t="s">
        <v>40</v>
      </c>
      <c r="H1994" s="3" t="s">
        <v>24</v>
      </c>
      <c r="I1994" s="3" t="s">
        <v>43</v>
      </c>
      <c r="J1994" s="3" t="s">
        <v>17</v>
      </c>
      <c r="K1994" s="3">
        <f>_xlfn.XLOOKUP(tbl_main[[#This Row],[Service]],tbl_service[Service],tbl_service[Price],"")</f>
        <v>80</v>
      </c>
      <c r="L1994" s="3">
        <v>1</v>
      </c>
      <c r="M1994" s="3">
        <f>IF(AND(tbl_main[[#This Row],[Price]]="",tbl_main[[#This Row],[Qty]]=""),"",tbl_main[[#This Row],[Price]]*tbl_main[[#This Row],[Qty]])</f>
        <v>80</v>
      </c>
      <c r="N1994" s="3">
        <f>_xlfn.LET(_xlpm.x,_xlfn.XLOOKUP(tbl_main[[#This Row],[Service]],tbl_service[Service],tbl_service[Profit],""),
               IF(tbl_main[[#This Row],[Qty]]="","",_xlpm.x*tbl_main[[#This Row],[Qty]]))</f>
        <v>36</v>
      </c>
    </row>
    <row r="1995" spans="1:14" x14ac:dyDescent="0.25">
      <c r="A1995" t="s">
        <v>2037</v>
      </c>
      <c r="B1995" s="1">
        <v>46324</v>
      </c>
      <c r="C1995">
        <f>IF(tbl_main[[#This Row],[Date]]="","",YEAR(B1995))</f>
        <v>2026</v>
      </c>
      <c r="D1995" t="str">
        <f>IF(tbl_main[[#This Row],[Date]]="","",TEXT(B1995,"mmm"))</f>
        <v>Oct</v>
      </c>
      <c r="E1995" t="str">
        <f>IF(tbl_main[[#This Row],[Date]]="","",TEXT(B1995,"DDD"))</f>
        <v>Thu</v>
      </c>
      <c r="F1995" t="s">
        <v>27</v>
      </c>
      <c r="G1995" t="s">
        <v>40</v>
      </c>
      <c r="H1995" s="3" t="s">
        <v>15</v>
      </c>
      <c r="I1995" s="3" t="s">
        <v>43</v>
      </c>
      <c r="J1995" s="3" t="s">
        <v>17</v>
      </c>
      <c r="K1995" s="3">
        <f>_xlfn.XLOOKUP(tbl_main[[#This Row],[Service]],tbl_service[Service],tbl_service[Price],"")</f>
        <v>500</v>
      </c>
      <c r="L1995" s="3">
        <v>1</v>
      </c>
      <c r="M1995" s="3">
        <f>IF(AND(tbl_main[[#This Row],[Price]]="",tbl_main[[#This Row],[Qty]]=""),"",tbl_main[[#This Row],[Price]]*tbl_main[[#This Row],[Qty]])</f>
        <v>500</v>
      </c>
      <c r="N1995" s="3">
        <f>_xlfn.LET(_xlpm.x,_xlfn.XLOOKUP(tbl_main[[#This Row],[Service]],tbl_service[Service],tbl_service[Profit],""),
               IF(tbl_main[[#This Row],[Qty]]="","",_xlpm.x*tbl_main[[#This Row],[Qty]]))</f>
        <v>225</v>
      </c>
    </row>
    <row r="1996" spans="1:14" x14ac:dyDescent="0.25">
      <c r="A1996" t="s">
        <v>2038</v>
      </c>
      <c r="B1996" s="1">
        <v>46325</v>
      </c>
      <c r="C1996">
        <f>IF(tbl_main[[#This Row],[Date]]="","",YEAR(B1996))</f>
        <v>2026</v>
      </c>
      <c r="D1996" t="str">
        <f>IF(tbl_main[[#This Row],[Date]]="","",TEXT(B1996,"mmm"))</f>
        <v>Oct</v>
      </c>
      <c r="E1996" t="str">
        <f>IF(tbl_main[[#This Row],[Date]]="","",TEXT(B1996,"DDD"))</f>
        <v>Fri</v>
      </c>
      <c r="F1996" t="s">
        <v>13</v>
      </c>
      <c r="G1996" t="s">
        <v>33</v>
      </c>
      <c r="H1996" s="3" t="s">
        <v>34</v>
      </c>
      <c r="I1996" s="3" t="s">
        <v>43</v>
      </c>
      <c r="J1996" s="3" t="s">
        <v>17</v>
      </c>
      <c r="K1996" s="3">
        <f>_xlfn.XLOOKUP(tbl_main[[#This Row],[Service]],tbl_service[Service],tbl_service[Price],"")</f>
        <v>100</v>
      </c>
      <c r="L1996" s="3">
        <v>2</v>
      </c>
      <c r="M1996" s="3">
        <f>IF(AND(tbl_main[[#This Row],[Price]]="",tbl_main[[#This Row],[Qty]]=""),"",tbl_main[[#This Row],[Price]]*tbl_main[[#This Row],[Qty]])</f>
        <v>200</v>
      </c>
      <c r="N1996" s="3">
        <f>_xlfn.LET(_xlpm.x,_xlfn.XLOOKUP(tbl_main[[#This Row],[Service]],tbl_service[Service],tbl_service[Profit],""),
               IF(tbl_main[[#This Row],[Qty]]="","",_xlpm.x*tbl_main[[#This Row],[Qty]]))</f>
        <v>90</v>
      </c>
    </row>
    <row r="1997" spans="1:14" x14ac:dyDescent="0.25">
      <c r="A1997" t="s">
        <v>2039</v>
      </c>
      <c r="B1997" s="1">
        <v>46325</v>
      </c>
      <c r="C1997">
        <f>IF(tbl_main[[#This Row],[Date]]="","",YEAR(B1997))</f>
        <v>2026</v>
      </c>
      <c r="D1997" t="str">
        <f>IF(tbl_main[[#This Row],[Date]]="","",TEXT(B1997,"mmm"))</f>
        <v>Oct</v>
      </c>
      <c r="E1997" t="str">
        <f>IF(tbl_main[[#This Row],[Date]]="","",TEXT(B1997,"DDD"))</f>
        <v>Fri</v>
      </c>
      <c r="F1997" t="s">
        <v>20</v>
      </c>
      <c r="G1997" t="s">
        <v>39</v>
      </c>
      <c r="H1997" s="3" t="s">
        <v>24</v>
      </c>
      <c r="I1997" s="3" t="s">
        <v>43</v>
      </c>
      <c r="J1997" s="3" t="s">
        <v>25</v>
      </c>
      <c r="K1997" s="3">
        <f>_xlfn.XLOOKUP(tbl_main[[#This Row],[Service]],tbl_service[Service],tbl_service[Price],"")</f>
        <v>80</v>
      </c>
      <c r="L1997" s="3">
        <v>2</v>
      </c>
      <c r="M1997" s="3">
        <f>IF(AND(tbl_main[[#This Row],[Price]]="",tbl_main[[#This Row],[Qty]]=""),"",tbl_main[[#This Row],[Price]]*tbl_main[[#This Row],[Qty]])</f>
        <v>160</v>
      </c>
      <c r="N1997" s="3">
        <f>_xlfn.LET(_xlpm.x,_xlfn.XLOOKUP(tbl_main[[#This Row],[Service]],tbl_service[Service],tbl_service[Profit],""),
               IF(tbl_main[[#This Row],[Qty]]="","",_xlpm.x*tbl_main[[#This Row],[Qty]]))</f>
        <v>72</v>
      </c>
    </row>
    <row r="1998" spans="1:14" x14ac:dyDescent="0.25">
      <c r="A1998" t="s">
        <v>2040</v>
      </c>
      <c r="B1998" s="1">
        <v>46325</v>
      </c>
      <c r="C1998">
        <f>IF(tbl_main[[#This Row],[Date]]="","",YEAR(B1998))</f>
        <v>2026</v>
      </c>
      <c r="D1998" t="str">
        <f>IF(tbl_main[[#This Row],[Date]]="","",TEXT(B1998,"mmm"))</f>
        <v>Oct</v>
      </c>
      <c r="E1998" t="str">
        <f>IF(tbl_main[[#This Row],[Date]]="","",TEXT(B1998,"DDD"))</f>
        <v>Fri</v>
      </c>
      <c r="F1998" t="s">
        <v>20</v>
      </c>
      <c r="G1998" t="s">
        <v>39</v>
      </c>
      <c r="H1998" s="3" t="s">
        <v>24</v>
      </c>
      <c r="I1998" s="3" t="s">
        <v>43</v>
      </c>
      <c r="J1998" s="3" t="s">
        <v>25</v>
      </c>
      <c r="K1998" s="3">
        <f>_xlfn.XLOOKUP(tbl_main[[#This Row],[Service]],tbl_service[Service],tbl_service[Price],"")</f>
        <v>80</v>
      </c>
      <c r="L1998" s="3">
        <v>2</v>
      </c>
      <c r="M1998" s="3">
        <f>IF(AND(tbl_main[[#This Row],[Price]]="",tbl_main[[#This Row],[Qty]]=""),"",tbl_main[[#This Row],[Price]]*tbl_main[[#This Row],[Qty]])</f>
        <v>160</v>
      </c>
      <c r="N1998" s="3">
        <f>_xlfn.LET(_xlpm.x,_xlfn.XLOOKUP(tbl_main[[#This Row],[Service]],tbl_service[Service],tbl_service[Profit],""),
               IF(tbl_main[[#This Row],[Qty]]="","",_xlpm.x*tbl_main[[#This Row],[Qty]]))</f>
        <v>72</v>
      </c>
    </row>
    <row r="1999" spans="1:14" x14ac:dyDescent="0.25">
      <c r="A1999" t="s">
        <v>2041</v>
      </c>
      <c r="B1999" s="1">
        <v>46326</v>
      </c>
      <c r="C1999">
        <f>IF(tbl_main[[#This Row],[Date]]="","",YEAR(B1999))</f>
        <v>2026</v>
      </c>
      <c r="D1999" t="str">
        <f>IF(tbl_main[[#This Row],[Date]]="","",TEXT(B1999,"mmm"))</f>
        <v>Oct</v>
      </c>
      <c r="E1999" t="str">
        <f>IF(tbl_main[[#This Row],[Date]]="","",TEXT(B1999,"DDD"))</f>
        <v>Sat</v>
      </c>
      <c r="F1999" t="s">
        <v>13</v>
      </c>
      <c r="G1999" t="s">
        <v>33</v>
      </c>
      <c r="H1999" s="3" t="s">
        <v>15</v>
      </c>
      <c r="I1999" s="3" t="s">
        <v>43</v>
      </c>
      <c r="J1999" s="3" t="s">
        <v>17</v>
      </c>
      <c r="K1999" s="3">
        <f>_xlfn.XLOOKUP(tbl_main[[#This Row],[Service]],tbl_service[Service],tbl_service[Price],"")</f>
        <v>500</v>
      </c>
      <c r="L1999" s="3">
        <v>2</v>
      </c>
      <c r="M1999" s="3">
        <f>IF(AND(tbl_main[[#This Row],[Price]]="",tbl_main[[#This Row],[Qty]]=""),"",tbl_main[[#This Row],[Price]]*tbl_main[[#This Row],[Qty]])</f>
        <v>1000</v>
      </c>
      <c r="N1999" s="3">
        <f>_xlfn.LET(_xlpm.x,_xlfn.XLOOKUP(tbl_main[[#This Row],[Service]],tbl_service[Service],tbl_service[Profit],""),
               IF(tbl_main[[#This Row],[Qty]]="","",_xlpm.x*tbl_main[[#This Row],[Qty]]))</f>
        <v>450</v>
      </c>
    </row>
    <row r="2000" spans="1:14" x14ac:dyDescent="0.25">
      <c r="A2000" t="s">
        <v>2042</v>
      </c>
      <c r="B2000" s="1">
        <v>46326</v>
      </c>
      <c r="C2000">
        <f>IF(tbl_main[[#This Row],[Date]]="","",YEAR(B2000))</f>
        <v>2026</v>
      </c>
      <c r="D2000" t="str">
        <f>IF(tbl_main[[#This Row],[Date]]="","",TEXT(B2000,"mmm"))</f>
        <v>Oct</v>
      </c>
      <c r="E2000" t="str">
        <f>IF(tbl_main[[#This Row],[Date]]="","",TEXT(B2000,"DDD"))</f>
        <v>Sat</v>
      </c>
      <c r="F2000" t="s">
        <v>13</v>
      </c>
      <c r="G2000" t="s">
        <v>33</v>
      </c>
      <c r="H2000" s="3" t="s">
        <v>22</v>
      </c>
      <c r="I2000" s="3" t="s">
        <v>43</v>
      </c>
      <c r="J2000" s="3" t="s">
        <v>25</v>
      </c>
      <c r="K2000" s="3">
        <f>_xlfn.XLOOKUP(tbl_main[[#This Row],[Service]],tbl_service[Service],tbl_service[Price],"")</f>
        <v>150</v>
      </c>
      <c r="L2000" s="3">
        <v>1</v>
      </c>
      <c r="M2000" s="3">
        <f>IF(AND(tbl_main[[#This Row],[Price]]="",tbl_main[[#This Row],[Qty]]=""),"",tbl_main[[#This Row],[Price]]*tbl_main[[#This Row],[Qty]])</f>
        <v>150</v>
      </c>
      <c r="N2000" s="3">
        <f>_xlfn.LET(_xlpm.x,_xlfn.XLOOKUP(tbl_main[[#This Row],[Service]],tbl_service[Service],tbl_service[Profit],""),
               IF(tbl_main[[#This Row],[Qty]]="","",_xlpm.x*tbl_main[[#This Row],[Qty]]))</f>
        <v>67</v>
      </c>
    </row>
    <row r="2001" spans="1:14" x14ac:dyDescent="0.25">
      <c r="A2001" t="s">
        <v>2043</v>
      </c>
      <c r="B2001" s="1">
        <v>46326</v>
      </c>
      <c r="C2001">
        <f>IF(tbl_main[[#This Row],[Date]]="","",YEAR(B2001))</f>
        <v>2026</v>
      </c>
      <c r="D2001" t="str">
        <f>IF(tbl_main[[#This Row],[Date]]="","",TEXT(B2001,"mmm"))</f>
        <v>Oct</v>
      </c>
      <c r="E2001" t="str">
        <f>IF(tbl_main[[#This Row],[Date]]="","",TEXT(B2001,"DDD"))</f>
        <v>Sat</v>
      </c>
      <c r="F2001" t="s">
        <v>30</v>
      </c>
      <c r="G2001" t="s">
        <v>31</v>
      </c>
      <c r="H2001" s="3" t="s">
        <v>24</v>
      </c>
      <c r="I2001" s="3" t="s">
        <v>43</v>
      </c>
      <c r="J2001" s="3" t="s">
        <v>32</v>
      </c>
      <c r="K2001" s="3">
        <f>_xlfn.XLOOKUP(tbl_main[[#This Row],[Service]],tbl_service[Service],tbl_service[Price],"")</f>
        <v>80</v>
      </c>
      <c r="L2001" s="3">
        <v>1</v>
      </c>
      <c r="M2001" s="3">
        <f>IF(AND(tbl_main[[#This Row],[Price]]="",tbl_main[[#This Row],[Qty]]=""),"",tbl_main[[#This Row],[Price]]*tbl_main[[#This Row],[Qty]])</f>
        <v>80</v>
      </c>
      <c r="N2001" s="3">
        <f>_xlfn.LET(_xlpm.x,_xlfn.XLOOKUP(tbl_main[[#This Row],[Service]],tbl_service[Service],tbl_service[Profit],""),
               IF(tbl_main[[#This Row],[Qty]]="","",_xlpm.x*tbl_main[[#This Row],[Qty]]))</f>
        <v>36</v>
      </c>
    </row>
    <row r="2002" spans="1:14" x14ac:dyDescent="0.25">
      <c r="A2002" t="s">
        <v>2044</v>
      </c>
      <c r="B2002" s="1">
        <v>46327</v>
      </c>
      <c r="C2002">
        <f>IF(tbl_main[[#This Row],[Date]]="","",YEAR(B2002))</f>
        <v>2026</v>
      </c>
      <c r="D2002" t="str">
        <f>IF(tbl_main[[#This Row],[Date]]="","",TEXT(B2002,"mmm"))</f>
        <v>Nov</v>
      </c>
      <c r="E2002" t="str">
        <f>IF(tbl_main[[#This Row],[Date]]="","",TEXT(B2002,"DDD"))</f>
        <v>Sun</v>
      </c>
      <c r="F2002" t="s">
        <v>13</v>
      </c>
      <c r="G2002" t="s">
        <v>33</v>
      </c>
      <c r="H2002" s="3" t="s">
        <v>26</v>
      </c>
      <c r="I2002" s="3" t="s">
        <v>43</v>
      </c>
      <c r="J2002" s="3" t="s">
        <v>17</v>
      </c>
      <c r="K2002" s="3">
        <f>_xlfn.XLOOKUP(tbl_main[[#This Row],[Service]],tbl_service[Service],tbl_service[Price],"")</f>
        <v>200</v>
      </c>
      <c r="L2002" s="3">
        <v>1</v>
      </c>
      <c r="M2002" s="3">
        <f>IF(AND(tbl_main[[#This Row],[Price]]="",tbl_main[[#This Row],[Qty]]=""),"",tbl_main[[#This Row],[Price]]*tbl_main[[#This Row],[Qty]])</f>
        <v>200</v>
      </c>
      <c r="N2002" s="3">
        <f>_xlfn.LET(_xlpm.x,_xlfn.XLOOKUP(tbl_main[[#This Row],[Service]],tbl_service[Service],tbl_service[Profit],""),
               IF(tbl_main[[#This Row],[Qty]]="","",_xlpm.x*tbl_main[[#This Row],[Qty]]))</f>
        <v>90</v>
      </c>
    </row>
    <row r="2003" spans="1:14" x14ac:dyDescent="0.25">
      <c r="A2003" t="s">
        <v>2045</v>
      </c>
      <c r="B2003" s="1">
        <v>46327</v>
      </c>
      <c r="C2003">
        <f>IF(tbl_main[[#This Row],[Date]]="","",YEAR(B2003))</f>
        <v>2026</v>
      </c>
      <c r="D2003" t="str">
        <f>IF(tbl_main[[#This Row],[Date]]="","",TEXT(B2003,"mmm"))</f>
        <v>Nov</v>
      </c>
      <c r="E2003" t="str">
        <f>IF(tbl_main[[#This Row],[Date]]="","",TEXT(B2003,"DDD"))</f>
        <v>Sun</v>
      </c>
      <c r="F2003" t="s">
        <v>30</v>
      </c>
      <c r="G2003" t="s">
        <v>36</v>
      </c>
      <c r="H2003" s="3" t="s">
        <v>26</v>
      </c>
      <c r="I2003" s="3" t="s">
        <v>43</v>
      </c>
      <c r="J2003" s="3" t="s">
        <v>25</v>
      </c>
      <c r="K2003" s="3">
        <f>_xlfn.XLOOKUP(tbl_main[[#This Row],[Service]],tbl_service[Service],tbl_service[Price],"")</f>
        <v>200</v>
      </c>
      <c r="L2003" s="3">
        <v>1</v>
      </c>
      <c r="M2003" s="3">
        <f>IF(AND(tbl_main[[#This Row],[Price]]="",tbl_main[[#This Row],[Qty]]=""),"",tbl_main[[#This Row],[Price]]*tbl_main[[#This Row],[Qty]])</f>
        <v>200</v>
      </c>
      <c r="N2003" s="3">
        <f>_xlfn.LET(_xlpm.x,_xlfn.XLOOKUP(tbl_main[[#This Row],[Service]],tbl_service[Service],tbl_service[Profit],""),
               IF(tbl_main[[#This Row],[Qty]]="","",_xlpm.x*tbl_main[[#This Row],[Qty]]))</f>
        <v>90</v>
      </c>
    </row>
    <row r="2004" spans="1:14" x14ac:dyDescent="0.25">
      <c r="A2004" t="s">
        <v>2046</v>
      </c>
      <c r="B2004" s="1">
        <v>46328</v>
      </c>
      <c r="C2004">
        <f>IF(tbl_main[[#This Row],[Date]]="","",YEAR(B2004))</f>
        <v>2026</v>
      </c>
      <c r="D2004" t="str">
        <f>IF(tbl_main[[#This Row],[Date]]="","",TEXT(B2004,"mmm"))</f>
        <v>Nov</v>
      </c>
      <c r="E2004" t="str">
        <f>IF(tbl_main[[#This Row],[Date]]="","",TEXT(B2004,"DDD"))</f>
        <v>Mon</v>
      </c>
      <c r="F2004" t="s">
        <v>20</v>
      </c>
      <c r="G2004" t="s">
        <v>39</v>
      </c>
      <c r="H2004" s="3" t="s">
        <v>15</v>
      </c>
      <c r="I2004" s="3" t="s">
        <v>43</v>
      </c>
      <c r="J2004" s="3" t="s">
        <v>25</v>
      </c>
      <c r="K2004" s="3">
        <f>_xlfn.XLOOKUP(tbl_main[[#This Row],[Service]],tbl_service[Service],tbl_service[Price],"")</f>
        <v>500</v>
      </c>
      <c r="L2004" s="3">
        <v>2</v>
      </c>
      <c r="M2004" s="3">
        <f>IF(AND(tbl_main[[#This Row],[Price]]="",tbl_main[[#This Row],[Qty]]=""),"",tbl_main[[#This Row],[Price]]*tbl_main[[#This Row],[Qty]])</f>
        <v>1000</v>
      </c>
      <c r="N2004" s="3">
        <f>_xlfn.LET(_xlpm.x,_xlfn.XLOOKUP(tbl_main[[#This Row],[Service]],tbl_service[Service],tbl_service[Profit],""),
               IF(tbl_main[[#This Row],[Qty]]="","",_xlpm.x*tbl_main[[#This Row],[Qty]]))</f>
        <v>450</v>
      </c>
    </row>
    <row r="2005" spans="1:14" x14ac:dyDescent="0.25">
      <c r="A2005" t="s">
        <v>2047</v>
      </c>
      <c r="B2005" s="1">
        <v>46328</v>
      </c>
      <c r="C2005">
        <f>IF(tbl_main[[#This Row],[Date]]="","",YEAR(B2005))</f>
        <v>2026</v>
      </c>
      <c r="D2005" t="str">
        <f>IF(tbl_main[[#This Row],[Date]]="","",TEXT(B2005,"mmm"))</f>
        <v>Nov</v>
      </c>
      <c r="E2005" t="str">
        <f>IF(tbl_main[[#This Row],[Date]]="","",TEXT(B2005,"DDD"))</f>
        <v>Mon</v>
      </c>
      <c r="F2005" t="s">
        <v>13</v>
      </c>
      <c r="G2005" t="s">
        <v>14</v>
      </c>
      <c r="H2005" s="3" t="s">
        <v>18</v>
      </c>
      <c r="I2005" s="3" t="s">
        <v>43</v>
      </c>
      <c r="J2005" s="3" t="s">
        <v>25</v>
      </c>
      <c r="K2005" s="3">
        <f>_xlfn.XLOOKUP(tbl_main[[#This Row],[Service]],tbl_service[Service],tbl_service[Price],"")</f>
        <v>500</v>
      </c>
      <c r="L2005" s="3">
        <v>1</v>
      </c>
      <c r="M2005" s="3">
        <f>IF(AND(tbl_main[[#This Row],[Price]]="",tbl_main[[#This Row],[Qty]]=""),"",tbl_main[[#This Row],[Price]]*tbl_main[[#This Row],[Qty]])</f>
        <v>500</v>
      </c>
      <c r="N2005" s="3">
        <f>_xlfn.LET(_xlpm.x,_xlfn.XLOOKUP(tbl_main[[#This Row],[Service]],tbl_service[Service],tbl_service[Profit],""),
               IF(tbl_main[[#This Row],[Qty]]="","",_xlpm.x*tbl_main[[#This Row],[Qty]]))</f>
        <v>157</v>
      </c>
    </row>
    <row r="2006" spans="1:14" x14ac:dyDescent="0.25">
      <c r="A2006" t="s">
        <v>2048</v>
      </c>
      <c r="B2006" s="1">
        <v>46328</v>
      </c>
      <c r="C2006">
        <f>IF(tbl_main[[#This Row],[Date]]="","",YEAR(B2006))</f>
        <v>2026</v>
      </c>
      <c r="D2006" t="str">
        <f>IF(tbl_main[[#This Row],[Date]]="","",TEXT(B2006,"mmm"))</f>
        <v>Nov</v>
      </c>
      <c r="E2006" t="str">
        <f>IF(tbl_main[[#This Row],[Date]]="","",TEXT(B2006,"DDD"))</f>
        <v>Mon</v>
      </c>
      <c r="F2006" t="s">
        <v>20</v>
      </c>
      <c r="G2006" t="s">
        <v>39</v>
      </c>
      <c r="H2006" s="3" t="s">
        <v>34</v>
      </c>
      <c r="I2006" s="3" t="s">
        <v>43</v>
      </c>
      <c r="J2006" s="3" t="s">
        <v>25</v>
      </c>
      <c r="K2006" s="3">
        <f>_xlfn.XLOOKUP(tbl_main[[#This Row],[Service]],tbl_service[Service],tbl_service[Price],"")</f>
        <v>100</v>
      </c>
      <c r="L2006" s="3">
        <v>2</v>
      </c>
      <c r="M2006" s="3">
        <f>IF(AND(tbl_main[[#This Row],[Price]]="",tbl_main[[#This Row],[Qty]]=""),"",tbl_main[[#This Row],[Price]]*tbl_main[[#This Row],[Qty]])</f>
        <v>200</v>
      </c>
      <c r="N2006" s="3">
        <f>_xlfn.LET(_xlpm.x,_xlfn.XLOOKUP(tbl_main[[#This Row],[Service]],tbl_service[Service],tbl_service[Profit],""),
               IF(tbl_main[[#This Row],[Qty]]="","",_xlpm.x*tbl_main[[#This Row],[Qty]]))</f>
        <v>90</v>
      </c>
    </row>
    <row r="2007" spans="1:14" x14ac:dyDescent="0.25">
      <c r="A2007" t="s">
        <v>2049</v>
      </c>
      <c r="B2007" s="1">
        <v>46329</v>
      </c>
      <c r="C2007">
        <f>IF(tbl_main[[#This Row],[Date]]="","",YEAR(B2007))</f>
        <v>2026</v>
      </c>
      <c r="D2007" t="str">
        <f>IF(tbl_main[[#This Row],[Date]]="","",TEXT(B2007,"mmm"))</f>
        <v>Nov</v>
      </c>
      <c r="E2007" t="str">
        <f>IF(tbl_main[[#This Row],[Date]]="","",TEXT(B2007,"DDD"))</f>
        <v>Tue</v>
      </c>
      <c r="F2007" t="s">
        <v>27</v>
      </c>
      <c r="G2007" t="s">
        <v>28</v>
      </c>
      <c r="H2007" s="3" t="s">
        <v>18</v>
      </c>
      <c r="I2007" s="3" t="s">
        <v>43</v>
      </c>
      <c r="J2007" s="3" t="s">
        <v>32</v>
      </c>
      <c r="K2007" s="3">
        <f>_xlfn.XLOOKUP(tbl_main[[#This Row],[Service]],tbl_service[Service],tbl_service[Price],"")</f>
        <v>500</v>
      </c>
      <c r="L2007" s="3">
        <v>2</v>
      </c>
      <c r="M2007" s="3">
        <f>IF(AND(tbl_main[[#This Row],[Price]]="",tbl_main[[#This Row],[Qty]]=""),"",tbl_main[[#This Row],[Price]]*tbl_main[[#This Row],[Qty]])</f>
        <v>1000</v>
      </c>
      <c r="N2007" s="3">
        <f>_xlfn.LET(_xlpm.x,_xlfn.XLOOKUP(tbl_main[[#This Row],[Service]],tbl_service[Service],tbl_service[Profit],""),
               IF(tbl_main[[#This Row],[Qty]]="","",_xlpm.x*tbl_main[[#This Row],[Qty]]))</f>
        <v>314</v>
      </c>
    </row>
    <row r="2008" spans="1:14" x14ac:dyDescent="0.25">
      <c r="A2008" t="s">
        <v>2050</v>
      </c>
      <c r="B2008" s="1">
        <v>46329</v>
      </c>
      <c r="C2008">
        <f>IF(tbl_main[[#This Row],[Date]]="","",YEAR(B2008))</f>
        <v>2026</v>
      </c>
      <c r="D2008" t="str">
        <f>IF(tbl_main[[#This Row],[Date]]="","",TEXT(B2008,"mmm"))</f>
        <v>Nov</v>
      </c>
      <c r="E2008" t="str">
        <f>IF(tbl_main[[#This Row],[Date]]="","",TEXT(B2008,"DDD"))</f>
        <v>Tue</v>
      </c>
      <c r="F2008" t="s">
        <v>30</v>
      </c>
      <c r="G2008" t="s">
        <v>36</v>
      </c>
      <c r="H2008" s="3" t="s">
        <v>24</v>
      </c>
      <c r="I2008" s="3" t="s">
        <v>43</v>
      </c>
      <c r="J2008" s="3" t="s">
        <v>32</v>
      </c>
      <c r="K2008" s="3">
        <f>_xlfn.XLOOKUP(tbl_main[[#This Row],[Service]],tbl_service[Service],tbl_service[Price],"")</f>
        <v>80</v>
      </c>
      <c r="L2008" s="3">
        <v>2</v>
      </c>
      <c r="M2008" s="3">
        <f>IF(AND(tbl_main[[#This Row],[Price]]="",tbl_main[[#This Row],[Qty]]=""),"",tbl_main[[#This Row],[Price]]*tbl_main[[#This Row],[Qty]])</f>
        <v>160</v>
      </c>
      <c r="N2008" s="3">
        <f>_xlfn.LET(_xlpm.x,_xlfn.XLOOKUP(tbl_main[[#This Row],[Service]],tbl_service[Service],tbl_service[Profit],""),
               IF(tbl_main[[#This Row],[Qty]]="","",_xlpm.x*tbl_main[[#This Row],[Qty]]))</f>
        <v>72</v>
      </c>
    </row>
    <row r="2009" spans="1:14" x14ac:dyDescent="0.25">
      <c r="A2009" t="s">
        <v>2051</v>
      </c>
      <c r="B2009" s="1">
        <v>46330</v>
      </c>
      <c r="C2009">
        <f>IF(tbl_main[[#This Row],[Date]]="","",YEAR(B2009))</f>
        <v>2026</v>
      </c>
      <c r="D2009" t="str">
        <f>IF(tbl_main[[#This Row],[Date]]="","",TEXT(B2009,"mmm"))</f>
        <v>Nov</v>
      </c>
      <c r="E2009" t="str">
        <f>IF(tbl_main[[#This Row],[Date]]="","",TEXT(B2009,"DDD"))</f>
        <v>Wed</v>
      </c>
      <c r="F2009" t="s">
        <v>27</v>
      </c>
      <c r="G2009" t="s">
        <v>28</v>
      </c>
      <c r="H2009" s="3" t="s">
        <v>26</v>
      </c>
      <c r="I2009" s="3" t="s">
        <v>43</v>
      </c>
      <c r="J2009" s="3" t="s">
        <v>25</v>
      </c>
      <c r="K2009" s="3">
        <f>_xlfn.XLOOKUP(tbl_main[[#This Row],[Service]],tbl_service[Service],tbl_service[Price],"")</f>
        <v>200</v>
      </c>
      <c r="L2009" s="3">
        <v>2</v>
      </c>
      <c r="M2009" s="3">
        <f>IF(AND(tbl_main[[#This Row],[Price]]="",tbl_main[[#This Row],[Qty]]=""),"",tbl_main[[#This Row],[Price]]*tbl_main[[#This Row],[Qty]])</f>
        <v>400</v>
      </c>
      <c r="N2009" s="3">
        <f>_xlfn.LET(_xlpm.x,_xlfn.XLOOKUP(tbl_main[[#This Row],[Service]],tbl_service[Service],tbl_service[Profit],""),
               IF(tbl_main[[#This Row],[Qty]]="","",_xlpm.x*tbl_main[[#This Row],[Qty]]))</f>
        <v>180</v>
      </c>
    </row>
    <row r="2010" spans="1:14" x14ac:dyDescent="0.25">
      <c r="A2010" t="s">
        <v>2052</v>
      </c>
      <c r="B2010" s="1">
        <v>46330</v>
      </c>
      <c r="C2010">
        <f>IF(tbl_main[[#This Row],[Date]]="","",YEAR(B2010))</f>
        <v>2026</v>
      </c>
      <c r="D2010" t="str">
        <f>IF(tbl_main[[#This Row],[Date]]="","",TEXT(B2010,"mmm"))</f>
        <v>Nov</v>
      </c>
      <c r="E2010" t="str">
        <f>IF(tbl_main[[#This Row],[Date]]="","",TEXT(B2010,"DDD"))</f>
        <v>Wed</v>
      </c>
      <c r="F2010" t="s">
        <v>30</v>
      </c>
      <c r="G2010" t="s">
        <v>31</v>
      </c>
      <c r="H2010" s="3" t="s">
        <v>24</v>
      </c>
      <c r="I2010" s="3" t="s">
        <v>43</v>
      </c>
      <c r="J2010" s="3" t="s">
        <v>17</v>
      </c>
      <c r="K2010" s="3">
        <f>_xlfn.XLOOKUP(tbl_main[[#This Row],[Service]],tbl_service[Service],tbl_service[Price],"")</f>
        <v>80</v>
      </c>
      <c r="L2010" s="3">
        <v>2</v>
      </c>
      <c r="M2010" s="3">
        <f>IF(AND(tbl_main[[#This Row],[Price]]="",tbl_main[[#This Row],[Qty]]=""),"",tbl_main[[#This Row],[Price]]*tbl_main[[#This Row],[Qty]])</f>
        <v>160</v>
      </c>
      <c r="N2010" s="3">
        <f>_xlfn.LET(_xlpm.x,_xlfn.XLOOKUP(tbl_main[[#This Row],[Service]],tbl_service[Service],tbl_service[Profit],""),
               IF(tbl_main[[#This Row],[Qty]]="","",_xlpm.x*tbl_main[[#This Row],[Qty]]))</f>
        <v>72</v>
      </c>
    </row>
    <row r="2011" spans="1:14" x14ac:dyDescent="0.25">
      <c r="A2011" t="s">
        <v>2053</v>
      </c>
      <c r="B2011" s="1">
        <v>46330</v>
      </c>
      <c r="C2011">
        <f>IF(tbl_main[[#This Row],[Date]]="","",YEAR(B2011))</f>
        <v>2026</v>
      </c>
      <c r="D2011" t="str">
        <f>IF(tbl_main[[#This Row],[Date]]="","",TEXT(B2011,"mmm"))</f>
        <v>Nov</v>
      </c>
      <c r="E2011" t="str">
        <f>IF(tbl_main[[#This Row],[Date]]="","",TEXT(B2011,"DDD"))</f>
        <v>Wed</v>
      </c>
      <c r="F2011" t="s">
        <v>27</v>
      </c>
      <c r="G2011" t="s">
        <v>40</v>
      </c>
      <c r="H2011" s="3" t="s">
        <v>22</v>
      </c>
      <c r="I2011" s="3" t="s">
        <v>38</v>
      </c>
      <c r="J2011" s="3" t="s">
        <v>25</v>
      </c>
      <c r="K2011" s="3">
        <f>_xlfn.XLOOKUP(tbl_main[[#This Row],[Service]],tbl_service[Service],tbl_service[Price],"")</f>
        <v>150</v>
      </c>
      <c r="L2011" s="3">
        <v>2</v>
      </c>
      <c r="M2011" s="3">
        <f>IF(AND(tbl_main[[#This Row],[Price]]="",tbl_main[[#This Row],[Qty]]=""),"",tbl_main[[#This Row],[Price]]*tbl_main[[#This Row],[Qty]])</f>
        <v>300</v>
      </c>
      <c r="N2011" s="3">
        <f>_xlfn.LET(_xlpm.x,_xlfn.XLOOKUP(tbl_main[[#This Row],[Service]],tbl_service[Service],tbl_service[Profit],""),
               IF(tbl_main[[#This Row],[Qty]]="","",_xlpm.x*tbl_main[[#This Row],[Qty]]))</f>
        <v>134</v>
      </c>
    </row>
    <row r="2012" spans="1:14" x14ac:dyDescent="0.25">
      <c r="A2012" t="s">
        <v>2054</v>
      </c>
      <c r="B2012" s="1">
        <v>46330</v>
      </c>
      <c r="C2012">
        <f>IF(tbl_main[[#This Row],[Date]]="","",YEAR(B2012))</f>
        <v>2026</v>
      </c>
      <c r="D2012" t="str">
        <f>IF(tbl_main[[#This Row],[Date]]="","",TEXT(B2012,"mmm"))</f>
        <v>Nov</v>
      </c>
      <c r="E2012" t="str">
        <f>IF(tbl_main[[#This Row],[Date]]="","",TEXT(B2012,"DDD"))</f>
        <v>Wed</v>
      </c>
      <c r="F2012" t="s">
        <v>27</v>
      </c>
      <c r="G2012" t="s">
        <v>40</v>
      </c>
      <c r="H2012" s="3" t="s">
        <v>18</v>
      </c>
      <c r="I2012" s="3" t="s">
        <v>16</v>
      </c>
      <c r="J2012" s="3" t="s">
        <v>32</v>
      </c>
      <c r="K2012" s="3">
        <f>_xlfn.XLOOKUP(tbl_main[[#This Row],[Service]],tbl_service[Service],tbl_service[Price],"")</f>
        <v>500</v>
      </c>
      <c r="L2012" s="3">
        <v>2</v>
      </c>
      <c r="M2012" s="3">
        <f>IF(AND(tbl_main[[#This Row],[Price]]="",tbl_main[[#This Row],[Qty]]=""),"",tbl_main[[#This Row],[Price]]*tbl_main[[#This Row],[Qty]])</f>
        <v>1000</v>
      </c>
      <c r="N2012" s="3">
        <f>_xlfn.LET(_xlpm.x,_xlfn.XLOOKUP(tbl_main[[#This Row],[Service]],tbl_service[Service],tbl_service[Profit],""),
               IF(tbl_main[[#This Row],[Qty]]="","",_xlpm.x*tbl_main[[#This Row],[Qty]]))</f>
        <v>314</v>
      </c>
    </row>
    <row r="2013" spans="1:14" x14ac:dyDescent="0.25">
      <c r="A2013" t="s">
        <v>2055</v>
      </c>
      <c r="B2013" s="1">
        <v>46331</v>
      </c>
      <c r="C2013">
        <f>IF(tbl_main[[#This Row],[Date]]="","",YEAR(B2013))</f>
        <v>2026</v>
      </c>
      <c r="D2013" t="str">
        <f>IF(tbl_main[[#This Row],[Date]]="","",TEXT(B2013,"mmm"))</f>
        <v>Nov</v>
      </c>
      <c r="E2013" t="str">
        <f>IF(tbl_main[[#This Row],[Date]]="","",TEXT(B2013,"DDD"))</f>
        <v>Thu</v>
      </c>
      <c r="F2013" t="s">
        <v>27</v>
      </c>
      <c r="G2013" t="s">
        <v>40</v>
      </c>
      <c r="H2013" s="3" t="s">
        <v>24</v>
      </c>
      <c r="I2013" s="3" t="s">
        <v>19</v>
      </c>
      <c r="J2013" s="3" t="s">
        <v>25</v>
      </c>
      <c r="K2013" s="3">
        <f>_xlfn.XLOOKUP(tbl_main[[#This Row],[Service]],tbl_service[Service],tbl_service[Price],"")</f>
        <v>80</v>
      </c>
      <c r="L2013" s="3">
        <v>1</v>
      </c>
      <c r="M2013" s="3">
        <f>IF(AND(tbl_main[[#This Row],[Price]]="",tbl_main[[#This Row],[Qty]]=""),"",tbl_main[[#This Row],[Price]]*tbl_main[[#This Row],[Qty]])</f>
        <v>80</v>
      </c>
      <c r="N2013" s="3">
        <f>_xlfn.LET(_xlpm.x,_xlfn.XLOOKUP(tbl_main[[#This Row],[Service]],tbl_service[Service],tbl_service[Profit],""),
               IF(tbl_main[[#This Row],[Qty]]="","",_xlpm.x*tbl_main[[#This Row],[Qty]]))</f>
        <v>36</v>
      </c>
    </row>
    <row r="2014" spans="1:14" x14ac:dyDescent="0.25">
      <c r="A2014" t="s">
        <v>2056</v>
      </c>
      <c r="B2014" s="1">
        <v>46331</v>
      </c>
      <c r="C2014">
        <f>IF(tbl_main[[#This Row],[Date]]="","",YEAR(B2014))</f>
        <v>2026</v>
      </c>
      <c r="D2014" t="str">
        <f>IF(tbl_main[[#This Row],[Date]]="","",TEXT(B2014,"mmm"))</f>
        <v>Nov</v>
      </c>
      <c r="E2014" t="str">
        <f>IF(tbl_main[[#This Row],[Date]]="","",TEXT(B2014,"DDD"))</f>
        <v>Thu</v>
      </c>
      <c r="F2014" t="s">
        <v>20</v>
      </c>
      <c r="G2014" t="s">
        <v>29</v>
      </c>
      <c r="H2014" s="3" t="s">
        <v>26</v>
      </c>
      <c r="I2014" s="3" t="s">
        <v>43</v>
      </c>
      <c r="J2014" s="3" t="s">
        <v>25</v>
      </c>
      <c r="K2014" s="3">
        <f>_xlfn.XLOOKUP(tbl_main[[#This Row],[Service]],tbl_service[Service],tbl_service[Price],"")</f>
        <v>200</v>
      </c>
      <c r="L2014" s="3">
        <v>1</v>
      </c>
      <c r="M2014" s="3">
        <f>IF(AND(tbl_main[[#This Row],[Price]]="",tbl_main[[#This Row],[Qty]]=""),"",tbl_main[[#This Row],[Price]]*tbl_main[[#This Row],[Qty]])</f>
        <v>200</v>
      </c>
      <c r="N2014" s="3">
        <f>_xlfn.LET(_xlpm.x,_xlfn.XLOOKUP(tbl_main[[#This Row],[Service]],tbl_service[Service],tbl_service[Profit],""),
               IF(tbl_main[[#This Row],[Qty]]="","",_xlpm.x*tbl_main[[#This Row],[Qty]]))</f>
        <v>90</v>
      </c>
    </row>
    <row r="2015" spans="1:14" x14ac:dyDescent="0.25">
      <c r="A2015" t="s">
        <v>2057</v>
      </c>
      <c r="B2015" s="1">
        <v>46331</v>
      </c>
      <c r="C2015">
        <f>IF(tbl_main[[#This Row],[Date]]="","",YEAR(B2015))</f>
        <v>2026</v>
      </c>
      <c r="D2015" t="str">
        <f>IF(tbl_main[[#This Row],[Date]]="","",TEXT(B2015,"mmm"))</f>
        <v>Nov</v>
      </c>
      <c r="E2015" t="str">
        <f>IF(tbl_main[[#This Row],[Date]]="","",TEXT(B2015,"DDD"))</f>
        <v>Thu</v>
      </c>
      <c r="F2015" t="s">
        <v>27</v>
      </c>
      <c r="G2015" t="s">
        <v>28</v>
      </c>
      <c r="H2015" s="3" t="s">
        <v>22</v>
      </c>
      <c r="I2015" s="3" t="s">
        <v>42</v>
      </c>
      <c r="J2015" s="3" t="s">
        <v>17</v>
      </c>
      <c r="K2015" s="3">
        <f>_xlfn.XLOOKUP(tbl_main[[#This Row],[Service]],tbl_service[Service],tbl_service[Price],"")</f>
        <v>150</v>
      </c>
      <c r="L2015" s="3">
        <v>2</v>
      </c>
      <c r="M2015" s="3">
        <f>IF(AND(tbl_main[[#This Row],[Price]]="",tbl_main[[#This Row],[Qty]]=""),"",tbl_main[[#This Row],[Price]]*tbl_main[[#This Row],[Qty]])</f>
        <v>300</v>
      </c>
      <c r="N2015" s="3">
        <f>_xlfn.LET(_xlpm.x,_xlfn.XLOOKUP(tbl_main[[#This Row],[Service]],tbl_service[Service],tbl_service[Profit],""),
               IF(tbl_main[[#This Row],[Qty]]="","",_xlpm.x*tbl_main[[#This Row],[Qty]]))</f>
        <v>134</v>
      </c>
    </row>
    <row r="2016" spans="1:14" x14ac:dyDescent="0.25">
      <c r="A2016" t="s">
        <v>2058</v>
      </c>
      <c r="B2016" s="1">
        <v>46331</v>
      </c>
      <c r="C2016">
        <f>IF(tbl_main[[#This Row],[Date]]="","",YEAR(B2016))</f>
        <v>2026</v>
      </c>
      <c r="D2016" t="str">
        <f>IF(tbl_main[[#This Row],[Date]]="","",TEXT(B2016,"mmm"))</f>
        <v>Nov</v>
      </c>
      <c r="E2016" t="str">
        <f>IF(tbl_main[[#This Row],[Date]]="","",TEXT(B2016,"DDD"))</f>
        <v>Thu</v>
      </c>
      <c r="F2016" t="s">
        <v>20</v>
      </c>
      <c r="G2016" t="s">
        <v>29</v>
      </c>
      <c r="H2016" s="3" t="s">
        <v>22</v>
      </c>
      <c r="I2016" s="3" t="s">
        <v>41</v>
      </c>
      <c r="J2016" s="3" t="s">
        <v>32</v>
      </c>
      <c r="K2016" s="3">
        <f>_xlfn.XLOOKUP(tbl_main[[#This Row],[Service]],tbl_service[Service],tbl_service[Price],"")</f>
        <v>150</v>
      </c>
      <c r="L2016" s="3">
        <v>1</v>
      </c>
      <c r="M2016" s="3">
        <f>IF(AND(tbl_main[[#This Row],[Price]]="",tbl_main[[#This Row],[Qty]]=""),"",tbl_main[[#This Row],[Price]]*tbl_main[[#This Row],[Qty]])</f>
        <v>150</v>
      </c>
      <c r="N2016" s="3">
        <f>_xlfn.LET(_xlpm.x,_xlfn.XLOOKUP(tbl_main[[#This Row],[Service]],tbl_service[Service],tbl_service[Profit],""),
               IF(tbl_main[[#This Row],[Qty]]="","",_xlpm.x*tbl_main[[#This Row],[Qty]]))</f>
        <v>67</v>
      </c>
    </row>
    <row r="2017" spans="1:14" x14ac:dyDescent="0.25">
      <c r="A2017" t="s">
        <v>2059</v>
      </c>
      <c r="B2017" s="1">
        <v>46332</v>
      </c>
      <c r="C2017">
        <f>IF(tbl_main[[#This Row],[Date]]="","",YEAR(B2017))</f>
        <v>2026</v>
      </c>
      <c r="D2017" t="str">
        <f>IF(tbl_main[[#This Row],[Date]]="","",TEXT(B2017,"mmm"))</f>
        <v>Nov</v>
      </c>
      <c r="E2017" t="str">
        <f>IF(tbl_main[[#This Row],[Date]]="","",TEXT(B2017,"DDD"))</f>
        <v>Fri</v>
      </c>
      <c r="F2017" t="s">
        <v>13</v>
      </c>
      <c r="G2017" t="s">
        <v>33</v>
      </c>
      <c r="H2017" s="3" t="s">
        <v>24</v>
      </c>
      <c r="I2017" s="3" t="s">
        <v>35</v>
      </c>
      <c r="J2017" s="3" t="s">
        <v>25</v>
      </c>
      <c r="K2017" s="3">
        <f>_xlfn.XLOOKUP(tbl_main[[#This Row],[Service]],tbl_service[Service],tbl_service[Price],"")</f>
        <v>80</v>
      </c>
      <c r="L2017" s="3">
        <v>1</v>
      </c>
      <c r="M2017" s="3">
        <f>IF(AND(tbl_main[[#This Row],[Price]]="",tbl_main[[#This Row],[Qty]]=""),"",tbl_main[[#This Row],[Price]]*tbl_main[[#This Row],[Qty]])</f>
        <v>80</v>
      </c>
      <c r="N2017" s="3">
        <f>_xlfn.LET(_xlpm.x,_xlfn.XLOOKUP(tbl_main[[#This Row],[Service]],tbl_service[Service],tbl_service[Profit],""),
               IF(tbl_main[[#This Row],[Qty]]="","",_xlpm.x*tbl_main[[#This Row],[Qty]]))</f>
        <v>36</v>
      </c>
    </row>
    <row r="2018" spans="1:14" x14ac:dyDescent="0.25">
      <c r="A2018" t="s">
        <v>2060</v>
      </c>
      <c r="B2018" s="1">
        <v>46332</v>
      </c>
      <c r="C2018">
        <f>IF(tbl_main[[#This Row],[Date]]="","",YEAR(B2018))</f>
        <v>2026</v>
      </c>
      <c r="D2018" t="str">
        <f>IF(tbl_main[[#This Row],[Date]]="","",TEXT(B2018,"mmm"))</f>
        <v>Nov</v>
      </c>
      <c r="E2018" t="str">
        <f>IF(tbl_main[[#This Row],[Date]]="","",TEXT(B2018,"DDD"))</f>
        <v>Fri</v>
      </c>
      <c r="F2018" t="s">
        <v>30</v>
      </c>
      <c r="G2018" t="s">
        <v>36</v>
      </c>
      <c r="H2018" s="3" t="s">
        <v>15</v>
      </c>
      <c r="I2018" s="3" t="s">
        <v>35</v>
      </c>
      <c r="J2018" s="3" t="s">
        <v>32</v>
      </c>
      <c r="K2018" s="3">
        <f>_xlfn.XLOOKUP(tbl_main[[#This Row],[Service]],tbl_service[Service],tbl_service[Price],"")</f>
        <v>500</v>
      </c>
      <c r="L2018" s="3">
        <v>1</v>
      </c>
      <c r="M2018" s="3">
        <f>IF(AND(tbl_main[[#This Row],[Price]]="",tbl_main[[#This Row],[Qty]]=""),"",tbl_main[[#This Row],[Price]]*tbl_main[[#This Row],[Qty]])</f>
        <v>500</v>
      </c>
      <c r="N2018" s="3">
        <f>_xlfn.LET(_xlpm.x,_xlfn.XLOOKUP(tbl_main[[#This Row],[Service]],tbl_service[Service],tbl_service[Profit],""),
               IF(tbl_main[[#This Row],[Qty]]="","",_xlpm.x*tbl_main[[#This Row],[Qty]]))</f>
        <v>225</v>
      </c>
    </row>
    <row r="2019" spans="1:14" x14ac:dyDescent="0.25">
      <c r="A2019" t="s">
        <v>2061</v>
      </c>
      <c r="B2019" s="1">
        <v>46332</v>
      </c>
      <c r="C2019">
        <f>IF(tbl_main[[#This Row],[Date]]="","",YEAR(B2019))</f>
        <v>2026</v>
      </c>
      <c r="D2019" t="str">
        <f>IF(tbl_main[[#This Row],[Date]]="","",TEXT(B2019,"mmm"))</f>
        <v>Nov</v>
      </c>
      <c r="E2019" t="str">
        <f>IF(tbl_main[[#This Row],[Date]]="","",TEXT(B2019,"DDD"))</f>
        <v>Fri</v>
      </c>
      <c r="F2019" t="s">
        <v>20</v>
      </c>
      <c r="G2019" t="s">
        <v>21</v>
      </c>
      <c r="H2019" s="3" t="s">
        <v>22</v>
      </c>
      <c r="I2019" s="3" t="s">
        <v>23</v>
      </c>
      <c r="J2019" s="3" t="s">
        <v>32</v>
      </c>
      <c r="K2019" s="3">
        <f>_xlfn.XLOOKUP(tbl_main[[#This Row],[Service]],tbl_service[Service],tbl_service[Price],"")</f>
        <v>150</v>
      </c>
      <c r="L2019" s="3">
        <v>2</v>
      </c>
      <c r="M2019" s="3">
        <f>IF(AND(tbl_main[[#This Row],[Price]]="",tbl_main[[#This Row],[Qty]]=""),"",tbl_main[[#This Row],[Price]]*tbl_main[[#This Row],[Qty]])</f>
        <v>300</v>
      </c>
      <c r="N2019" s="3">
        <f>_xlfn.LET(_xlpm.x,_xlfn.XLOOKUP(tbl_main[[#This Row],[Service]],tbl_service[Service],tbl_service[Profit],""),
               IF(tbl_main[[#This Row],[Qty]]="","",_xlpm.x*tbl_main[[#This Row],[Qty]]))</f>
        <v>134</v>
      </c>
    </row>
    <row r="2020" spans="1:14" x14ac:dyDescent="0.25">
      <c r="A2020" t="s">
        <v>2062</v>
      </c>
      <c r="B2020" s="1">
        <v>46333</v>
      </c>
      <c r="C2020">
        <f>IF(tbl_main[[#This Row],[Date]]="","",YEAR(B2020))</f>
        <v>2026</v>
      </c>
      <c r="D2020" t="str">
        <f>IF(tbl_main[[#This Row],[Date]]="","",TEXT(B2020,"mmm"))</f>
        <v>Nov</v>
      </c>
      <c r="E2020" t="str">
        <f>IF(tbl_main[[#This Row],[Date]]="","",TEXT(B2020,"DDD"))</f>
        <v>Sat</v>
      </c>
      <c r="F2020" t="s">
        <v>20</v>
      </c>
      <c r="G2020" t="s">
        <v>21</v>
      </c>
      <c r="H2020" s="3" t="s">
        <v>24</v>
      </c>
      <c r="I2020" s="3" t="s">
        <v>37</v>
      </c>
      <c r="J2020" s="3" t="s">
        <v>32</v>
      </c>
      <c r="K2020" s="3">
        <f>_xlfn.XLOOKUP(tbl_main[[#This Row],[Service]],tbl_service[Service],tbl_service[Price],"")</f>
        <v>80</v>
      </c>
      <c r="L2020" s="3">
        <v>2</v>
      </c>
      <c r="M2020" s="3">
        <f>IF(AND(tbl_main[[#This Row],[Price]]="",tbl_main[[#This Row],[Qty]]=""),"",tbl_main[[#This Row],[Price]]*tbl_main[[#This Row],[Qty]])</f>
        <v>160</v>
      </c>
      <c r="N2020" s="3">
        <f>_xlfn.LET(_xlpm.x,_xlfn.XLOOKUP(tbl_main[[#This Row],[Service]],tbl_service[Service],tbl_service[Profit],""),
               IF(tbl_main[[#This Row],[Qty]]="","",_xlpm.x*tbl_main[[#This Row],[Qty]]))</f>
        <v>72</v>
      </c>
    </row>
    <row r="2021" spans="1:14" x14ac:dyDescent="0.25">
      <c r="A2021" t="s">
        <v>2063</v>
      </c>
      <c r="B2021" s="1">
        <v>46333</v>
      </c>
      <c r="C2021">
        <f>IF(tbl_main[[#This Row],[Date]]="","",YEAR(B2021))</f>
        <v>2026</v>
      </c>
      <c r="D2021" t="str">
        <f>IF(tbl_main[[#This Row],[Date]]="","",TEXT(B2021,"mmm"))</f>
        <v>Nov</v>
      </c>
      <c r="E2021" t="str">
        <f>IF(tbl_main[[#This Row],[Date]]="","",TEXT(B2021,"DDD"))</f>
        <v>Sat</v>
      </c>
      <c r="F2021" t="s">
        <v>27</v>
      </c>
      <c r="G2021" t="s">
        <v>40</v>
      </c>
      <c r="H2021" s="3" t="s">
        <v>22</v>
      </c>
      <c r="I2021" s="3" t="s">
        <v>38</v>
      </c>
      <c r="J2021" s="3" t="s">
        <v>32</v>
      </c>
      <c r="K2021" s="3">
        <f>_xlfn.XLOOKUP(tbl_main[[#This Row],[Service]],tbl_service[Service],tbl_service[Price],"")</f>
        <v>150</v>
      </c>
      <c r="L2021" s="3">
        <v>1</v>
      </c>
      <c r="M2021" s="3">
        <f>IF(AND(tbl_main[[#This Row],[Price]]="",tbl_main[[#This Row],[Qty]]=""),"",tbl_main[[#This Row],[Price]]*tbl_main[[#This Row],[Qty]])</f>
        <v>150</v>
      </c>
      <c r="N2021" s="3">
        <f>_xlfn.LET(_xlpm.x,_xlfn.XLOOKUP(tbl_main[[#This Row],[Service]],tbl_service[Service],tbl_service[Profit],""),
               IF(tbl_main[[#This Row],[Qty]]="","",_xlpm.x*tbl_main[[#This Row],[Qty]]))</f>
        <v>67</v>
      </c>
    </row>
    <row r="2022" spans="1:14" x14ac:dyDescent="0.25">
      <c r="A2022" t="s">
        <v>2064</v>
      </c>
      <c r="B2022" s="1">
        <v>46334</v>
      </c>
      <c r="C2022">
        <f>IF(tbl_main[[#This Row],[Date]]="","",YEAR(B2022))</f>
        <v>2026</v>
      </c>
      <c r="D2022" t="str">
        <f>IF(tbl_main[[#This Row],[Date]]="","",TEXT(B2022,"mmm"))</f>
        <v>Nov</v>
      </c>
      <c r="E2022" t="str">
        <f>IF(tbl_main[[#This Row],[Date]]="","",TEXT(B2022,"DDD"))</f>
        <v>Sun</v>
      </c>
      <c r="F2022" t="s">
        <v>30</v>
      </c>
      <c r="G2022" t="s">
        <v>31</v>
      </c>
      <c r="H2022" s="3" t="s">
        <v>34</v>
      </c>
      <c r="I2022" s="3" t="s">
        <v>16</v>
      </c>
      <c r="J2022" s="3" t="s">
        <v>25</v>
      </c>
      <c r="K2022" s="3">
        <f>_xlfn.XLOOKUP(tbl_main[[#This Row],[Service]],tbl_service[Service],tbl_service[Price],"")</f>
        <v>100</v>
      </c>
      <c r="L2022" s="3">
        <v>1</v>
      </c>
      <c r="M2022" s="3">
        <f>IF(AND(tbl_main[[#This Row],[Price]]="",tbl_main[[#This Row],[Qty]]=""),"",tbl_main[[#This Row],[Price]]*tbl_main[[#This Row],[Qty]])</f>
        <v>100</v>
      </c>
      <c r="N2022" s="3">
        <f>_xlfn.LET(_xlpm.x,_xlfn.XLOOKUP(tbl_main[[#This Row],[Service]],tbl_service[Service],tbl_service[Profit],""),
               IF(tbl_main[[#This Row],[Qty]]="","",_xlpm.x*tbl_main[[#This Row],[Qty]]))</f>
        <v>45</v>
      </c>
    </row>
    <row r="2023" spans="1:14" x14ac:dyDescent="0.25">
      <c r="A2023" t="s">
        <v>2065</v>
      </c>
      <c r="B2023" s="1">
        <v>46334</v>
      </c>
      <c r="C2023">
        <f>IF(tbl_main[[#This Row],[Date]]="","",YEAR(B2023))</f>
        <v>2026</v>
      </c>
      <c r="D2023" t="str">
        <f>IF(tbl_main[[#This Row],[Date]]="","",TEXT(B2023,"mmm"))</f>
        <v>Nov</v>
      </c>
      <c r="E2023" t="str">
        <f>IF(tbl_main[[#This Row],[Date]]="","",TEXT(B2023,"DDD"))</f>
        <v>Sun</v>
      </c>
      <c r="F2023" t="s">
        <v>13</v>
      </c>
      <c r="G2023" t="s">
        <v>14</v>
      </c>
      <c r="H2023" s="3" t="s">
        <v>34</v>
      </c>
      <c r="I2023" s="3" t="s">
        <v>19</v>
      </c>
      <c r="J2023" s="3" t="s">
        <v>32</v>
      </c>
      <c r="K2023" s="3">
        <f>_xlfn.XLOOKUP(tbl_main[[#This Row],[Service]],tbl_service[Service],tbl_service[Price],"")</f>
        <v>100</v>
      </c>
      <c r="L2023" s="3">
        <v>1</v>
      </c>
      <c r="M2023" s="3">
        <f>IF(AND(tbl_main[[#This Row],[Price]]="",tbl_main[[#This Row],[Qty]]=""),"",tbl_main[[#This Row],[Price]]*tbl_main[[#This Row],[Qty]])</f>
        <v>100</v>
      </c>
      <c r="N2023" s="3">
        <f>_xlfn.LET(_xlpm.x,_xlfn.XLOOKUP(tbl_main[[#This Row],[Service]],tbl_service[Service],tbl_service[Profit],""),
               IF(tbl_main[[#This Row],[Qty]]="","",_xlpm.x*tbl_main[[#This Row],[Qty]]))</f>
        <v>45</v>
      </c>
    </row>
    <row r="2024" spans="1:14" x14ac:dyDescent="0.25">
      <c r="A2024" t="s">
        <v>2066</v>
      </c>
      <c r="B2024" s="1">
        <v>46334</v>
      </c>
      <c r="C2024">
        <f>IF(tbl_main[[#This Row],[Date]]="","",YEAR(B2024))</f>
        <v>2026</v>
      </c>
      <c r="D2024" t="str">
        <f>IF(tbl_main[[#This Row],[Date]]="","",TEXT(B2024,"mmm"))</f>
        <v>Nov</v>
      </c>
      <c r="E2024" t="str">
        <f>IF(tbl_main[[#This Row],[Date]]="","",TEXT(B2024,"DDD"))</f>
        <v>Sun</v>
      </c>
      <c r="F2024" t="s">
        <v>13</v>
      </c>
      <c r="G2024" t="s">
        <v>33</v>
      </c>
      <c r="H2024" s="3" t="s">
        <v>34</v>
      </c>
      <c r="I2024" s="3" t="s">
        <v>43</v>
      </c>
      <c r="J2024" s="3" t="s">
        <v>32</v>
      </c>
      <c r="K2024" s="3">
        <f>_xlfn.XLOOKUP(tbl_main[[#This Row],[Service]],tbl_service[Service],tbl_service[Price],"")</f>
        <v>100</v>
      </c>
      <c r="L2024" s="3">
        <v>1</v>
      </c>
      <c r="M2024" s="3">
        <f>IF(AND(tbl_main[[#This Row],[Price]]="",tbl_main[[#This Row],[Qty]]=""),"",tbl_main[[#This Row],[Price]]*tbl_main[[#This Row],[Qty]])</f>
        <v>100</v>
      </c>
      <c r="N2024" s="3">
        <f>_xlfn.LET(_xlpm.x,_xlfn.XLOOKUP(tbl_main[[#This Row],[Service]],tbl_service[Service],tbl_service[Profit],""),
               IF(tbl_main[[#This Row],[Qty]]="","",_xlpm.x*tbl_main[[#This Row],[Qty]]))</f>
        <v>45</v>
      </c>
    </row>
    <row r="2025" spans="1:14" x14ac:dyDescent="0.25">
      <c r="A2025" t="s">
        <v>2067</v>
      </c>
      <c r="B2025" s="1">
        <v>46334</v>
      </c>
      <c r="C2025">
        <f>IF(tbl_main[[#This Row],[Date]]="","",YEAR(B2025))</f>
        <v>2026</v>
      </c>
      <c r="D2025" t="str">
        <f>IF(tbl_main[[#This Row],[Date]]="","",TEXT(B2025,"mmm"))</f>
        <v>Nov</v>
      </c>
      <c r="E2025" t="str">
        <f>IF(tbl_main[[#This Row],[Date]]="","",TEXT(B2025,"DDD"))</f>
        <v>Sun</v>
      </c>
      <c r="F2025" t="s">
        <v>13</v>
      </c>
      <c r="G2025" t="s">
        <v>14</v>
      </c>
      <c r="H2025" s="3" t="s">
        <v>15</v>
      </c>
      <c r="I2025" s="3" t="s">
        <v>42</v>
      </c>
      <c r="J2025" s="3" t="s">
        <v>25</v>
      </c>
      <c r="K2025" s="3">
        <f>_xlfn.XLOOKUP(tbl_main[[#This Row],[Service]],tbl_service[Service],tbl_service[Price],"")</f>
        <v>500</v>
      </c>
      <c r="L2025" s="3">
        <v>1</v>
      </c>
      <c r="M2025" s="3">
        <f>IF(AND(tbl_main[[#This Row],[Price]]="",tbl_main[[#This Row],[Qty]]=""),"",tbl_main[[#This Row],[Price]]*tbl_main[[#This Row],[Qty]])</f>
        <v>500</v>
      </c>
      <c r="N2025" s="3">
        <f>_xlfn.LET(_xlpm.x,_xlfn.XLOOKUP(tbl_main[[#This Row],[Service]],tbl_service[Service],tbl_service[Profit],""),
               IF(tbl_main[[#This Row],[Qty]]="","",_xlpm.x*tbl_main[[#This Row],[Qty]]))</f>
        <v>225</v>
      </c>
    </row>
    <row r="2026" spans="1:14" x14ac:dyDescent="0.25">
      <c r="A2026" t="s">
        <v>2068</v>
      </c>
      <c r="B2026" s="1">
        <v>46335</v>
      </c>
      <c r="C2026">
        <f>IF(tbl_main[[#This Row],[Date]]="","",YEAR(B2026))</f>
        <v>2026</v>
      </c>
      <c r="D2026" t="str">
        <f>IF(tbl_main[[#This Row],[Date]]="","",TEXT(B2026,"mmm"))</f>
        <v>Nov</v>
      </c>
      <c r="E2026" t="str">
        <f>IF(tbl_main[[#This Row],[Date]]="","",TEXT(B2026,"DDD"))</f>
        <v>Mon</v>
      </c>
      <c r="F2026" t="s">
        <v>13</v>
      </c>
      <c r="G2026" t="s">
        <v>33</v>
      </c>
      <c r="H2026" s="3" t="s">
        <v>24</v>
      </c>
      <c r="I2026" s="3" t="s">
        <v>41</v>
      </c>
      <c r="J2026" s="3" t="s">
        <v>25</v>
      </c>
      <c r="K2026" s="3">
        <f>_xlfn.XLOOKUP(tbl_main[[#This Row],[Service]],tbl_service[Service],tbl_service[Price],"")</f>
        <v>80</v>
      </c>
      <c r="L2026" s="3">
        <v>2</v>
      </c>
      <c r="M2026" s="3">
        <f>IF(AND(tbl_main[[#This Row],[Price]]="",tbl_main[[#This Row],[Qty]]=""),"",tbl_main[[#This Row],[Price]]*tbl_main[[#This Row],[Qty]])</f>
        <v>160</v>
      </c>
      <c r="N2026" s="3">
        <f>_xlfn.LET(_xlpm.x,_xlfn.XLOOKUP(tbl_main[[#This Row],[Service]],tbl_service[Service],tbl_service[Profit],""),
               IF(tbl_main[[#This Row],[Qty]]="","",_xlpm.x*tbl_main[[#This Row],[Qty]]))</f>
        <v>72</v>
      </c>
    </row>
    <row r="2027" spans="1:14" x14ac:dyDescent="0.25">
      <c r="A2027" t="s">
        <v>2069</v>
      </c>
      <c r="B2027" s="1">
        <v>46335</v>
      </c>
      <c r="C2027">
        <f>IF(tbl_main[[#This Row],[Date]]="","",YEAR(B2027))</f>
        <v>2026</v>
      </c>
      <c r="D2027" t="str">
        <f>IF(tbl_main[[#This Row],[Date]]="","",TEXT(B2027,"mmm"))</f>
        <v>Nov</v>
      </c>
      <c r="E2027" t="str">
        <f>IF(tbl_main[[#This Row],[Date]]="","",TEXT(B2027,"DDD"))</f>
        <v>Mon</v>
      </c>
      <c r="F2027" t="s">
        <v>20</v>
      </c>
      <c r="G2027" t="s">
        <v>29</v>
      </c>
      <c r="H2027" s="3" t="s">
        <v>34</v>
      </c>
      <c r="I2027" s="3" t="s">
        <v>35</v>
      </c>
      <c r="J2027" s="3" t="s">
        <v>17</v>
      </c>
      <c r="K2027" s="3">
        <f>_xlfn.XLOOKUP(tbl_main[[#This Row],[Service]],tbl_service[Service],tbl_service[Price],"")</f>
        <v>100</v>
      </c>
      <c r="L2027" s="3">
        <v>2</v>
      </c>
      <c r="M2027" s="3">
        <f>IF(AND(tbl_main[[#This Row],[Price]]="",tbl_main[[#This Row],[Qty]]=""),"",tbl_main[[#This Row],[Price]]*tbl_main[[#This Row],[Qty]])</f>
        <v>200</v>
      </c>
      <c r="N2027" s="3">
        <f>_xlfn.LET(_xlpm.x,_xlfn.XLOOKUP(tbl_main[[#This Row],[Service]],tbl_service[Service],tbl_service[Profit],""),
               IF(tbl_main[[#This Row],[Qty]]="","",_xlpm.x*tbl_main[[#This Row],[Qty]]))</f>
        <v>90</v>
      </c>
    </row>
    <row r="2028" spans="1:14" x14ac:dyDescent="0.25">
      <c r="A2028" t="s">
        <v>2070</v>
      </c>
      <c r="B2028" s="1">
        <v>46336</v>
      </c>
      <c r="C2028">
        <f>IF(tbl_main[[#This Row],[Date]]="","",YEAR(B2028))</f>
        <v>2026</v>
      </c>
      <c r="D2028" t="str">
        <f>IF(tbl_main[[#This Row],[Date]]="","",TEXT(B2028,"mmm"))</f>
        <v>Nov</v>
      </c>
      <c r="E2028" t="str">
        <f>IF(tbl_main[[#This Row],[Date]]="","",TEXT(B2028,"DDD"))</f>
        <v>Tue</v>
      </c>
      <c r="F2028" t="s">
        <v>20</v>
      </c>
      <c r="G2028" t="s">
        <v>21</v>
      </c>
      <c r="H2028" s="3" t="s">
        <v>15</v>
      </c>
      <c r="I2028" s="3" t="s">
        <v>35</v>
      </c>
      <c r="J2028" s="3" t="s">
        <v>17</v>
      </c>
      <c r="K2028" s="3">
        <f>_xlfn.XLOOKUP(tbl_main[[#This Row],[Service]],tbl_service[Service],tbl_service[Price],"")</f>
        <v>500</v>
      </c>
      <c r="L2028" s="3">
        <v>1</v>
      </c>
      <c r="M2028" s="3">
        <f>IF(AND(tbl_main[[#This Row],[Price]]="",tbl_main[[#This Row],[Qty]]=""),"",tbl_main[[#This Row],[Price]]*tbl_main[[#This Row],[Qty]])</f>
        <v>500</v>
      </c>
      <c r="N2028" s="3">
        <f>_xlfn.LET(_xlpm.x,_xlfn.XLOOKUP(tbl_main[[#This Row],[Service]],tbl_service[Service],tbl_service[Profit],""),
               IF(tbl_main[[#This Row],[Qty]]="","",_xlpm.x*tbl_main[[#This Row],[Qty]]))</f>
        <v>225</v>
      </c>
    </row>
    <row r="2029" spans="1:14" x14ac:dyDescent="0.25">
      <c r="A2029" t="s">
        <v>2071</v>
      </c>
      <c r="B2029" s="1">
        <v>46336</v>
      </c>
      <c r="C2029">
        <f>IF(tbl_main[[#This Row],[Date]]="","",YEAR(B2029))</f>
        <v>2026</v>
      </c>
      <c r="D2029" t="str">
        <f>IF(tbl_main[[#This Row],[Date]]="","",TEXT(B2029,"mmm"))</f>
        <v>Nov</v>
      </c>
      <c r="E2029" t="str">
        <f>IF(tbl_main[[#This Row],[Date]]="","",TEXT(B2029,"DDD"))</f>
        <v>Tue</v>
      </c>
      <c r="F2029" t="s">
        <v>20</v>
      </c>
      <c r="G2029" t="s">
        <v>21</v>
      </c>
      <c r="H2029" s="3" t="s">
        <v>22</v>
      </c>
      <c r="I2029" s="3" t="s">
        <v>23</v>
      </c>
      <c r="J2029" s="3" t="s">
        <v>32</v>
      </c>
      <c r="K2029" s="3">
        <f>_xlfn.XLOOKUP(tbl_main[[#This Row],[Service]],tbl_service[Service],tbl_service[Price],"")</f>
        <v>150</v>
      </c>
      <c r="L2029" s="3">
        <v>2</v>
      </c>
      <c r="M2029" s="3">
        <f>IF(AND(tbl_main[[#This Row],[Price]]="",tbl_main[[#This Row],[Qty]]=""),"",tbl_main[[#This Row],[Price]]*tbl_main[[#This Row],[Qty]])</f>
        <v>300</v>
      </c>
      <c r="N2029" s="3">
        <f>_xlfn.LET(_xlpm.x,_xlfn.XLOOKUP(tbl_main[[#This Row],[Service]],tbl_service[Service],tbl_service[Profit],""),
               IF(tbl_main[[#This Row],[Qty]]="","",_xlpm.x*tbl_main[[#This Row],[Qty]]))</f>
        <v>134</v>
      </c>
    </row>
    <row r="2030" spans="1:14" x14ac:dyDescent="0.25">
      <c r="A2030" t="s">
        <v>2072</v>
      </c>
      <c r="B2030" s="1">
        <v>46337</v>
      </c>
      <c r="C2030">
        <f>IF(tbl_main[[#This Row],[Date]]="","",YEAR(B2030))</f>
        <v>2026</v>
      </c>
      <c r="D2030" t="str">
        <f>IF(tbl_main[[#This Row],[Date]]="","",TEXT(B2030,"mmm"))</f>
        <v>Nov</v>
      </c>
      <c r="E2030" t="str">
        <f>IF(tbl_main[[#This Row],[Date]]="","",TEXT(B2030,"DDD"))</f>
        <v>Wed</v>
      </c>
      <c r="F2030" t="s">
        <v>27</v>
      </c>
      <c r="G2030" t="s">
        <v>40</v>
      </c>
      <c r="H2030" s="3" t="s">
        <v>34</v>
      </c>
      <c r="I2030" s="3" t="s">
        <v>23</v>
      </c>
      <c r="J2030" s="3" t="s">
        <v>25</v>
      </c>
      <c r="K2030" s="3">
        <f>_xlfn.XLOOKUP(tbl_main[[#This Row],[Service]],tbl_service[Service],tbl_service[Price],"")</f>
        <v>100</v>
      </c>
      <c r="L2030" s="3">
        <v>2</v>
      </c>
      <c r="M2030" s="3">
        <f>IF(AND(tbl_main[[#This Row],[Price]]="",tbl_main[[#This Row],[Qty]]=""),"",tbl_main[[#This Row],[Price]]*tbl_main[[#This Row],[Qty]])</f>
        <v>200</v>
      </c>
      <c r="N2030" s="3">
        <f>_xlfn.LET(_xlpm.x,_xlfn.XLOOKUP(tbl_main[[#This Row],[Service]],tbl_service[Service],tbl_service[Profit],""),
               IF(tbl_main[[#This Row],[Qty]]="","",_xlpm.x*tbl_main[[#This Row],[Qty]]))</f>
        <v>90</v>
      </c>
    </row>
    <row r="2031" spans="1:14" x14ac:dyDescent="0.25">
      <c r="A2031" t="s">
        <v>2073</v>
      </c>
      <c r="B2031" s="1">
        <v>46337</v>
      </c>
      <c r="C2031">
        <f>IF(tbl_main[[#This Row],[Date]]="","",YEAR(B2031))</f>
        <v>2026</v>
      </c>
      <c r="D2031" t="str">
        <f>IF(tbl_main[[#This Row],[Date]]="","",TEXT(B2031,"mmm"))</f>
        <v>Nov</v>
      </c>
      <c r="E2031" t="str">
        <f>IF(tbl_main[[#This Row],[Date]]="","",TEXT(B2031,"DDD"))</f>
        <v>Wed</v>
      </c>
      <c r="F2031" t="s">
        <v>27</v>
      </c>
      <c r="G2031" t="s">
        <v>28</v>
      </c>
      <c r="H2031" s="3" t="s">
        <v>15</v>
      </c>
      <c r="I2031" s="3" t="s">
        <v>23</v>
      </c>
      <c r="J2031" s="3" t="s">
        <v>25</v>
      </c>
      <c r="K2031" s="3">
        <f>_xlfn.XLOOKUP(tbl_main[[#This Row],[Service]],tbl_service[Service],tbl_service[Price],"")</f>
        <v>500</v>
      </c>
      <c r="L2031" s="3">
        <v>1</v>
      </c>
      <c r="M2031" s="3">
        <f>IF(AND(tbl_main[[#This Row],[Price]]="",tbl_main[[#This Row],[Qty]]=""),"",tbl_main[[#This Row],[Price]]*tbl_main[[#This Row],[Qty]])</f>
        <v>500</v>
      </c>
      <c r="N2031" s="3">
        <f>_xlfn.LET(_xlpm.x,_xlfn.XLOOKUP(tbl_main[[#This Row],[Service]],tbl_service[Service],tbl_service[Profit],""),
               IF(tbl_main[[#This Row],[Qty]]="","",_xlpm.x*tbl_main[[#This Row],[Qty]]))</f>
        <v>225</v>
      </c>
    </row>
    <row r="2032" spans="1:14" x14ac:dyDescent="0.25">
      <c r="A2032" t="s">
        <v>2074</v>
      </c>
      <c r="B2032" s="1">
        <v>46337</v>
      </c>
      <c r="C2032">
        <f>IF(tbl_main[[#This Row],[Date]]="","",YEAR(B2032))</f>
        <v>2026</v>
      </c>
      <c r="D2032" t="str">
        <f>IF(tbl_main[[#This Row],[Date]]="","",TEXT(B2032,"mmm"))</f>
        <v>Nov</v>
      </c>
      <c r="E2032" t="str">
        <f>IF(tbl_main[[#This Row],[Date]]="","",TEXT(B2032,"DDD"))</f>
        <v>Wed</v>
      </c>
      <c r="F2032" t="s">
        <v>20</v>
      </c>
      <c r="G2032" t="s">
        <v>29</v>
      </c>
      <c r="H2032" s="3" t="s">
        <v>24</v>
      </c>
      <c r="I2032" s="3" t="s">
        <v>23</v>
      </c>
      <c r="J2032" s="3" t="s">
        <v>32</v>
      </c>
      <c r="K2032" s="3">
        <f>_xlfn.XLOOKUP(tbl_main[[#This Row],[Service]],tbl_service[Service],tbl_service[Price],"")</f>
        <v>80</v>
      </c>
      <c r="L2032" s="3">
        <v>1</v>
      </c>
      <c r="M2032" s="3">
        <f>IF(AND(tbl_main[[#This Row],[Price]]="",tbl_main[[#This Row],[Qty]]=""),"",tbl_main[[#This Row],[Price]]*tbl_main[[#This Row],[Qty]])</f>
        <v>80</v>
      </c>
      <c r="N2032" s="3">
        <f>_xlfn.LET(_xlpm.x,_xlfn.XLOOKUP(tbl_main[[#This Row],[Service]],tbl_service[Service],tbl_service[Profit],""),
               IF(tbl_main[[#This Row],[Qty]]="","",_xlpm.x*tbl_main[[#This Row],[Qty]]))</f>
        <v>36</v>
      </c>
    </row>
    <row r="2033" spans="1:14" x14ac:dyDescent="0.25">
      <c r="A2033" t="s">
        <v>2075</v>
      </c>
      <c r="B2033" s="1">
        <v>46338</v>
      </c>
      <c r="C2033">
        <f>IF(tbl_main[[#This Row],[Date]]="","",YEAR(B2033))</f>
        <v>2026</v>
      </c>
      <c r="D2033" t="str">
        <f>IF(tbl_main[[#This Row],[Date]]="","",TEXT(B2033,"mmm"))</f>
        <v>Nov</v>
      </c>
      <c r="E2033" t="str">
        <f>IF(tbl_main[[#This Row],[Date]]="","",TEXT(B2033,"DDD"))</f>
        <v>Thu</v>
      </c>
      <c r="F2033" t="s">
        <v>20</v>
      </c>
      <c r="G2033" t="s">
        <v>21</v>
      </c>
      <c r="H2033" s="3" t="s">
        <v>26</v>
      </c>
      <c r="I2033" s="3" t="s">
        <v>23</v>
      </c>
      <c r="J2033" s="3" t="s">
        <v>17</v>
      </c>
      <c r="K2033" s="3">
        <f>_xlfn.XLOOKUP(tbl_main[[#This Row],[Service]],tbl_service[Service],tbl_service[Price],"")</f>
        <v>200</v>
      </c>
      <c r="L2033" s="3">
        <v>1</v>
      </c>
      <c r="M2033" s="3">
        <f>IF(AND(tbl_main[[#This Row],[Price]]="",tbl_main[[#This Row],[Qty]]=""),"",tbl_main[[#This Row],[Price]]*tbl_main[[#This Row],[Qty]])</f>
        <v>200</v>
      </c>
      <c r="N2033" s="3">
        <f>_xlfn.LET(_xlpm.x,_xlfn.XLOOKUP(tbl_main[[#This Row],[Service]],tbl_service[Service],tbl_service[Profit],""),
               IF(tbl_main[[#This Row],[Qty]]="","",_xlpm.x*tbl_main[[#This Row],[Qty]]))</f>
        <v>90</v>
      </c>
    </row>
    <row r="2034" spans="1:14" x14ac:dyDescent="0.25">
      <c r="A2034" t="s">
        <v>2076</v>
      </c>
      <c r="B2034" s="1">
        <v>46338</v>
      </c>
      <c r="C2034">
        <f>IF(tbl_main[[#This Row],[Date]]="","",YEAR(B2034))</f>
        <v>2026</v>
      </c>
      <c r="D2034" t="str">
        <f>IF(tbl_main[[#This Row],[Date]]="","",TEXT(B2034,"mmm"))</f>
        <v>Nov</v>
      </c>
      <c r="E2034" t="str">
        <f>IF(tbl_main[[#This Row],[Date]]="","",TEXT(B2034,"DDD"))</f>
        <v>Thu</v>
      </c>
      <c r="F2034" t="s">
        <v>13</v>
      </c>
      <c r="G2034" t="s">
        <v>14</v>
      </c>
      <c r="H2034" s="3" t="s">
        <v>22</v>
      </c>
      <c r="I2034" s="3" t="s">
        <v>23</v>
      </c>
      <c r="J2034" s="3" t="s">
        <v>25</v>
      </c>
      <c r="K2034" s="3">
        <f>_xlfn.XLOOKUP(tbl_main[[#This Row],[Service]],tbl_service[Service],tbl_service[Price],"")</f>
        <v>150</v>
      </c>
      <c r="L2034" s="3">
        <v>2</v>
      </c>
      <c r="M2034" s="3">
        <f>IF(AND(tbl_main[[#This Row],[Price]]="",tbl_main[[#This Row],[Qty]]=""),"",tbl_main[[#This Row],[Price]]*tbl_main[[#This Row],[Qty]])</f>
        <v>300</v>
      </c>
      <c r="N2034" s="3">
        <f>_xlfn.LET(_xlpm.x,_xlfn.XLOOKUP(tbl_main[[#This Row],[Service]],tbl_service[Service],tbl_service[Profit],""),
               IF(tbl_main[[#This Row],[Qty]]="","",_xlpm.x*tbl_main[[#This Row],[Qty]]))</f>
        <v>134</v>
      </c>
    </row>
    <row r="2035" spans="1:14" x14ac:dyDescent="0.25">
      <c r="A2035" t="s">
        <v>2077</v>
      </c>
      <c r="B2035" s="1">
        <v>46338</v>
      </c>
      <c r="C2035">
        <f>IF(tbl_main[[#This Row],[Date]]="","",YEAR(B2035))</f>
        <v>2026</v>
      </c>
      <c r="D2035" t="str">
        <f>IF(tbl_main[[#This Row],[Date]]="","",TEXT(B2035,"mmm"))</f>
        <v>Nov</v>
      </c>
      <c r="E2035" t="str">
        <f>IF(tbl_main[[#This Row],[Date]]="","",TEXT(B2035,"DDD"))</f>
        <v>Thu</v>
      </c>
      <c r="F2035" t="s">
        <v>20</v>
      </c>
      <c r="G2035" t="s">
        <v>39</v>
      </c>
      <c r="H2035" s="3" t="s">
        <v>18</v>
      </c>
      <c r="I2035" s="3" t="s">
        <v>23</v>
      </c>
      <c r="J2035" s="3" t="s">
        <v>25</v>
      </c>
      <c r="K2035" s="3">
        <f>_xlfn.XLOOKUP(tbl_main[[#This Row],[Service]],tbl_service[Service],tbl_service[Price],"")</f>
        <v>500</v>
      </c>
      <c r="L2035" s="3">
        <v>1</v>
      </c>
      <c r="M2035" s="3">
        <f>IF(AND(tbl_main[[#This Row],[Price]]="",tbl_main[[#This Row],[Qty]]=""),"",tbl_main[[#This Row],[Price]]*tbl_main[[#This Row],[Qty]])</f>
        <v>500</v>
      </c>
      <c r="N2035" s="3">
        <f>_xlfn.LET(_xlpm.x,_xlfn.XLOOKUP(tbl_main[[#This Row],[Service]],tbl_service[Service],tbl_service[Profit],""),
               IF(tbl_main[[#This Row],[Qty]]="","",_xlpm.x*tbl_main[[#This Row],[Qty]]))</f>
        <v>157</v>
      </c>
    </row>
    <row r="2036" spans="1:14" x14ac:dyDescent="0.25">
      <c r="A2036" t="s">
        <v>2078</v>
      </c>
      <c r="B2036" s="1">
        <v>46338</v>
      </c>
      <c r="C2036">
        <f>IF(tbl_main[[#This Row],[Date]]="","",YEAR(B2036))</f>
        <v>2026</v>
      </c>
      <c r="D2036" t="str">
        <f>IF(tbl_main[[#This Row],[Date]]="","",TEXT(B2036,"mmm"))</f>
        <v>Nov</v>
      </c>
      <c r="E2036" t="str">
        <f>IF(tbl_main[[#This Row],[Date]]="","",TEXT(B2036,"DDD"))</f>
        <v>Thu</v>
      </c>
      <c r="F2036" t="s">
        <v>27</v>
      </c>
      <c r="G2036" t="s">
        <v>40</v>
      </c>
      <c r="H2036" s="3" t="s">
        <v>26</v>
      </c>
      <c r="I2036" s="3" t="s">
        <v>23</v>
      </c>
      <c r="J2036" s="3" t="s">
        <v>32</v>
      </c>
      <c r="K2036" s="3">
        <f>_xlfn.XLOOKUP(tbl_main[[#This Row],[Service]],tbl_service[Service],tbl_service[Price],"")</f>
        <v>200</v>
      </c>
      <c r="L2036" s="3">
        <v>1</v>
      </c>
      <c r="M2036" s="3">
        <f>IF(AND(tbl_main[[#This Row],[Price]]="",tbl_main[[#This Row],[Qty]]=""),"",tbl_main[[#This Row],[Price]]*tbl_main[[#This Row],[Qty]])</f>
        <v>200</v>
      </c>
      <c r="N2036" s="3">
        <f>_xlfn.LET(_xlpm.x,_xlfn.XLOOKUP(tbl_main[[#This Row],[Service]],tbl_service[Service],tbl_service[Profit],""),
               IF(tbl_main[[#This Row],[Qty]]="","",_xlpm.x*tbl_main[[#This Row],[Qty]]))</f>
        <v>90</v>
      </c>
    </row>
    <row r="2037" spans="1:14" x14ac:dyDescent="0.25">
      <c r="A2037" t="s">
        <v>2079</v>
      </c>
      <c r="B2037" s="1">
        <v>46339</v>
      </c>
      <c r="C2037">
        <f>IF(tbl_main[[#This Row],[Date]]="","",YEAR(B2037))</f>
        <v>2026</v>
      </c>
      <c r="D2037" t="str">
        <f>IF(tbl_main[[#This Row],[Date]]="","",TEXT(B2037,"mmm"))</f>
        <v>Nov</v>
      </c>
      <c r="E2037" t="str">
        <f>IF(tbl_main[[#This Row],[Date]]="","",TEXT(B2037,"DDD"))</f>
        <v>Fri</v>
      </c>
      <c r="F2037" t="s">
        <v>30</v>
      </c>
      <c r="G2037" t="s">
        <v>36</v>
      </c>
      <c r="H2037" s="3" t="s">
        <v>34</v>
      </c>
      <c r="I2037" s="3" t="s">
        <v>23</v>
      </c>
      <c r="J2037" s="3" t="s">
        <v>32</v>
      </c>
      <c r="K2037" s="3">
        <f>_xlfn.XLOOKUP(tbl_main[[#This Row],[Service]],tbl_service[Service],tbl_service[Price],"")</f>
        <v>100</v>
      </c>
      <c r="L2037" s="3">
        <v>2</v>
      </c>
      <c r="M2037" s="3">
        <f>IF(AND(tbl_main[[#This Row],[Price]]="",tbl_main[[#This Row],[Qty]]=""),"",tbl_main[[#This Row],[Price]]*tbl_main[[#This Row],[Qty]])</f>
        <v>200</v>
      </c>
      <c r="N2037" s="3">
        <f>_xlfn.LET(_xlpm.x,_xlfn.XLOOKUP(tbl_main[[#This Row],[Service]],tbl_service[Service],tbl_service[Profit],""),
               IF(tbl_main[[#This Row],[Qty]]="","",_xlpm.x*tbl_main[[#This Row],[Qty]]))</f>
        <v>90</v>
      </c>
    </row>
    <row r="2038" spans="1:14" x14ac:dyDescent="0.25">
      <c r="A2038" t="s">
        <v>2080</v>
      </c>
      <c r="B2038" s="1">
        <v>46339</v>
      </c>
      <c r="C2038">
        <f>IF(tbl_main[[#This Row],[Date]]="","",YEAR(B2038))</f>
        <v>2026</v>
      </c>
      <c r="D2038" t="str">
        <f>IF(tbl_main[[#This Row],[Date]]="","",TEXT(B2038,"mmm"))</f>
        <v>Nov</v>
      </c>
      <c r="E2038" t="str">
        <f>IF(tbl_main[[#This Row],[Date]]="","",TEXT(B2038,"DDD"))</f>
        <v>Fri</v>
      </c>
      <c r="F2038" t="s">
        <v>20</v>
      </c>
      <c r="G2038" t="s">
        <v>39</v>
      </c>
      <c r="H2038" s="3" t="s">
        <v>18</v>
      </c>
      <c r="I2038" s="3" t="s">
        <v>23</v>
      </c>
      <c r="J2038" s="3" t="s">
        <v>17</v>
      </c>
      <c r="K2038" s="3">
        <f>_xlfn.XLOOKUP(tbl_main[[#This Row],[Service]],tbl_service[Service],tbl_service[Price],"")</f>
        <v>500</v>
      </c>
      <c r="L2038" s="3">
        <v>2</v>
      </c>
      <c r="M2038" s="3">
        <f>IF(AND(tbl_main[[#This Row],[Price]]="",tbl_main[[#This Row],[Qty]]=""),"",tbl_main[[#This Row],[Price]]*tbl_main[[#This Row],[Qty]])</f>
        <v>1000</v>
      </c>
      <c r="N2038" s="3">
        <f>_xlfn.LET(_xlpm.x,_xlfn.XLOOKUP(tbl_main[[#This Row],[Service]],tbl_service[Service],tbl_service[Profit],""),
               IF(tbl_main[[#This Row],[Qty]]="","",_xlpm.x*tbl_main[[#This Row],[Qty]]))</f>
        <v>314</v>
      </c>
    </row>
    <row r="2039" spans="1:14" x14ac:dyDescent="0.25">
      <c r="A2039" t="s">
        <v>2081</v>
      </c>
      <c r="B2039" s="1">
        <v>46339</v>
      </c>
      <c r="C2039">
        <f>IF(tbl_main[[#This Row],[Date]]="","",YEAR(B2039))</f>
        <v>2026</v>
      </c>
      <c r="D2039" t="str">
        <f>IF(tbl_main[[#This Row],[Date]]="","",TEXT(B2039,"mmm"))</f>
        <v>Nov</v>
      </c>
      <c r="E2039" t="str">
        <f>IF(tbl_main[[#This Row],[Date]]="","",TEXT(B2039,"DDD"))</f>
        <v>Fri</v>
      </c>
      <c r="F2039" t="s">
        <v>27</v>
      </c>
      <c r="G2039" t="s">
        <v>40</v>
      </c>
      <c r="H2039" s="3" t="s">
        <v>15</v>
      </c>
      <c r="I2039" s="3" t="s">
        <v>23</v>
      </c>
      <c r="J2039" s="3" t="s">
        <v>25</v>
      </c>
      <c r="K2039" s="3">
        <f>_xlfn.XLOOKUP(tbl_main[[#This Row],[Service]],tbl_service[Service],tbl_service[Price],"")</f>
        <v>500</v>
      </c>
      <c r="L2039" s="3">
        <v>1</v>
      </c>
      <c r="M2039" s="3">
        <f>IF(AND(tbl_main[[#This Row],[Price]]="",tbl_main[[#This Row],[Qty]]=""),"",tbl_main[[#This Row],[Price]]*tbl_main[[#This Row],[Qty]])</f>
        <v>500</v>
      </c>
      <c r="N2039" s="3">
        <f>_xlfn.LET(_xlpm.x,_xlfn.XLOOKUP(tbl_main[[#This Row],[Service]],tbl_service[Service],tbl_service[Profit],""),
               IF(tbl_main[[#This Row],[Qty]]="","",_xlpm.x*tbl_main[[#This Row],[Qty]]))</f>
        <v>225</v>
      </c>
    </row>
    <row r="2040" spans="1:14" x14ac:dyDescent="0.25">
      <c r="A2040" t="s">
        <v>2082</v>
      </c>
      <c r="B2040" s="1">
        <v>46340</v>
      </c>
      <c r="C2040">
        <f>IF(tbl_main[[#This Row],[Date]]="","",YEAR(B2040))</f>
        <v>2026</v>
      </c>
      <c r="D2040" t="str">
        <f>IF(tbl_main[[#This Row],[Date]]="","",TEXT(B2040,"mmm"))</f>
        <v>Nov</v>
      </c>
      <c r="E2040" t="str">
        <f>IF(tbl_main[[#This Row],[Date]]="","",TEXT(B2040,"DDD"))</f>
        <v>Sat</v>
      </c>
      <c r="F2040" t="s">
        <v>27</v>
      </c>
      <c r="G2040" t="s">
        <v>28</v>
      </c>
      <c r="H2040" s="3" t="s">
        <v>24</v>
      </c>
      <c r="I2040" s="3" t="s">
        <v>37</v>
      </c>
      <c r="J2040" s="3" t="s">
        <v>32</v>
      </c>
      <c r="K2040" s="3">
        <f>_xlfn.XLOOKUP(tbl_main[[#This Row],[Service]],tbl_service[Service],tbl_service[Price],"")</f>
        <v>80</v>
      </c>
      <c r="L2040" s="3">
        <v>1</v>
      </c>
      <c r="M2040" s="3">
        <f>IF(AND(tbl_main[[#This Row],[Price]]="",tbl_main[[#This Row],[Qty]]=""),"",tbl_main[[#This Row],[Price]]*tbl_main[[#This Row],[Qty]])</f>
        <v>80</v>
      </c>
      <c r="N2040" s="3">
        <f>_xlfn.LET(_xlpm.x,_xlfn.XLOOKUP(tbl_main[[#This Row],[Service]],tbl_service[Service],tbl_service[Profit],""),
               IF(tbl_main[[#This Row],[Qty]]="","",_xlpm.x*tbl_main[[#This Row],[Qty]]))</f>
        <v>36</v>
      </c>
    </row>
    <row r="2041" spans="1:14" x14ac:dyDescent="0.25">
      <c r="A2041" t="s">
        <v>2083</v>
      </c>
      <c r="B2041" s="1">
        <v>46340</v>
      </c>
      <c r="C2041">
        <f>IF(tbl_main[[#This Row],[Date]]="","",YEAR(B2041))</f>
        <v>2026</v>
      </c>
      <c r="D2041" t="str">
        <f>IF(tbl_main[[#This Row],[Date]]="","",TEXT(B2041,"mmm"))</f>
        <v>Nov</v>
      </c>
      <c r="E2041" t="str">
        <f>IF(tbl_main[[#This Row],[Date]]="","",TEXT(B2041,"DDD"))</f>
        <v>Sat</v>
      </c>
      <c r="F2041" t="s">
        <v>13</v>
      </c>
      <c r="G2041" t="s">
        <v>33</v>
      </c>
      <c r="H2041" s="3" t="s">
        <v>26</v>
      </c>
      <c r="I2041" s="3" t="s">
        <v>38</v>
      </c>
      <c r="J2041" s="3" t="s">
        <v>17</v>
      </c>
      <c r="K2041" s="3">
        <f>_xlfn.XLOOKUP(tbl_main[[#This Row],[Service]],tbl_service[Service],tbl_service[Price],"")</f>
        <v>200</v>
      </c>
      <c r="L2041" s="3">
        <v>2</v>
      </c>
      <c r="M2041" s="3">
        <f>IF(AND(tbl_main[[#This Row],[Price]]="",tbl_main[[#This Row],[Qty]]=""),"",tbl_main[[#This Row],[Price]]*tbl_main[[#This Row],[Qty]])</f>
        <v>400</v>
      </c>
      <c r="N2041" s="3">
        <f>_xlfn.LET(_xlpm.x,_xlfn.XLOOKUP(tbl_main[[#This Row],[Service]],tbl_service[Service],tbl_service[Profit],""),
               IF(tbl_main[[#This Row],[Qty]]="","",_xlpm.x*tbl_main[[#This Row],[Qty]]))</f>
        <v>180</v>
      </c>
    </row>
    <row r="2042" spans="1:14" x14ac:dyDescent="0.25">
      <c r="A2042" t="s">
        <v>2084</v>
      </c>
      <c r="B2042" s="1">
        <v>46340</v>
      </c>
      <c r="C2042">
        <f>IF(tbl_main[[#This Row],[Date]]="","",YEAR(B2042))</f>
        <v>2026</v>
      </c>
      <c r="D2042" t="str">
        <f>IF(tbl_main[[#This Row],[Date]]="","",TEXT(B2042,"mmm"))</f>
        <v>Nov</v>
      </c>
      <c r="E2042" t="str">
        <f>IF(tbl_main[[#This Row],[Date]]="","",TEXT(B2042,"DDD"))</f>
        <v>Sat</v>
      </c>
      <c r="F2042" t="s">
        <v>30</v>
      </c>
      <c r="G2042" t="s">
        <v>31</v>
      </c>
      <c r="H2042" s="3" t="s">
        <v>24</v>
      </c>
      <c r="I2042" s="3" t="s">
        <v>16</v>
      </c>
      <c r="J2042" s="3" t="s">
        <v>32</v>
      </c>
      <c r="K2042" s="3">
        <f>_xlfn.XLOOKUP(tbl_main[[#This Row],[Service]],tbl_service[Service],tbl_service[Price],"")</f>
        <v>80</v>
      </c>
      <c r="L2042" s="3">
        <v>1</v>
      </c>
      <c r="M2042" s="3">
        <f>IF(AND(tbl_main[[#This Row],[Price]]="",tbl_main[[#This Row],[Qty]]=""),"",tbl_main[[#This Row],[Price]]*tbl_main[[#This Row],[Qty]])</f>
        <v>80</v>
      </c>
      <c r="N2042" s="3">
        <f>_xlfn.LET(_xlpm.x,_xlfn.XLOOKUP(tbl_main[[#This Row],[Service]],tbl_service[Service],tbl_service[Profit],""),
               IF(tbl_main[[#This Row],[Qty]]="","",_xlpm.x*tbl_main[[#This Row],[Qty]]))</f>
        <v>36</v>
      </c>
    </row>
    <row r="2043" spans="1:14" x14ac:dyDescent="0.25">
      <c r="A2043" t="s">
        <v>2085</v>
      </c>
      <c r="B2043" s="1">
        <v>46340</v>
      </c>
      <c r="C2043">
        <f>IF(tbl_main[[#This Row],[Date]]="","",YEAR(B2043))</f>
        <v>2026</v>
      </c>
      <c r="D2043" t="str">
        <f>IF(tbl_main[[#This Row],[Date]]="","",TEXT(B2043,"mmm"))</f>
        <v>Nov</v>
      </c>
      <c r="E2043" t="str">
        <f>IF(tbl_main[[#This Row],[Date]]="","",TEXT(B2043,"DDD"))</f>
        <v>Sat</v>
      </c>
      <c r="F2043" t="s">
        <v>27</v>
      </c>
      <c r="G2043" t="s">
        <v>40</v>
      </c>
      <c r="H2043" s="3" t="s">
        <v>22</v>
      </c>
      <c r="I2043" s="3" t="s">
        <v>19</v>
      </c>
      <c r="J2043" s="3" t="s">
        <v>25</v>
      </c>
      <c r="K2043" s="3">
        <f>_xlfn.XLOOKUP(tbl_main[[#This Row],[Service]],tbl_service[Service],tbl_service[Price],"")</f>
        <v>150</v>
      </c>
      <c r="L2043" s="3">
        <v>1</v>
      </c>
      <c r="M2043" s="3">
        <f>IF(AND(tbl_main[[#This Row],[Price]]="",tbl_main[[#This Row],[Qty]]=""),"",tbl_main[[#This Row],[Price]]*tbl_main[[#This Row],[Qty]])</f>
        <v>150</v>
      </c>
      <c r="N2043" s="3">
        <f>_xlfn.LET(_xlpm.x,_xlfn.XLOOKUP(tbl_main[[#This Row],[Service]],tbl_service[Service],tbl_service[Profit],""),
               IF(tbl_main[[#This Row],[Qty]]="","",_xlpm.x*tbl_main[[#This Row],[Qty]]))</f>
        <v>67</v>
      </c>
    </row>
    <row r="2044" spans="1:14" x14ac:dyDescent="0.25">
      <c r="A2044" t="s">
        <v>2086</v>
      </c>
      <c r="B2044" s="1">
        <v>46341</v>
      </c>
      <c r="C2044">
        <f>IF(tbl_main[[#This Row],[Date]]="","",YEAR(B2044))</f>
        <v>2026</v>
      </c>
      <c r="D2044" t="str">
        <f>IF(tbl_main[[#This Row],[Date]]="","",TEXT(B2044,"mmm"))</f>
        <v>Nov</v>
      </c>
      <c r="E2044" t="str">
        <f>IF(tbl_main[[#This Row],[Date]]="","",TEXT(B2044,"DDD"))</f>
        <v>Sun</v>
      </c>
      <c r="F2044" t="s">
        <v>30</v>
      </c>
      <c r="G2044" t="s">
        <v>36</v>
      </c>
      <c r="H2044" s="3" t="s">
        <v>34</v>
      </c>
      <c r="I2044" s="3" t="s">
        <v>43</v>
      </c>
      <c r="J2044" s="3" t="s">
        <v>25</v>
      </c>
      <c r="K2044" s="3">
        <f>_xlfn.XLOOKUP(tbl_main[[#This Row],[Service]],tbl_service[Service],tbl_service[Price],"")</f>
        <v>100</v>
      </c>
      <c r="L2044" s="3">
        <v>1</v>
      </c>
      <c r="M2044" s="3">
        <f>IF(AND(tbl_main[[#This Row],[Price]]="",tbl_main[[#This Row],[Qty]]=""),"",tbl_main[[#This Row],[Price]]*tbl_main[[#This Row],[Qty]])</f>
        <v>100</v>
      </c>
      <c r="N2044" s="3">
        <f>_xlfn.LET(_xlpm.x,_xlfn.XLOOKUP(tbl_main[[#This Row],[Service]],tbl_service[Service],tbl_service[Profit],""),
               IF(tbl_main[[#This Row],[Qty]]="","",_xlpm.x*tbl_main[[#This Row],[Qty]]))</f>
        <v>45</v>
      </c>
    </row>
    <row r="2045" spans="1:14" x14ac:dyDescent="0.25">
      <c r="A2045" t="s">
        <v>2087</v>
      </c>
      <c r="B2045" s="1">
        <v>46341</v>
      </c>
      <c r="C2045">
        <f>IF(tbl_main[[#This Row],[Date]]="","",YEAR(B2045))</f>
        <v>2026</v>
      </c>
      <c r="D2045" t="str">
        <f>IF(tbl_main[[#This Row],[Date]]="","",TEXT(B2045,"mmm"))</f>
        <v>Nov</v>
      </c>
      <c r="E2045" t="str">
        <f>IF(tbl_main[[#This Row],[Date]]="","",TEXT(B2045,"DDD"))</f>
        <v>Sun</v>
      </c>
      <c r="F2045" t="s">
        <v>20</v>
      </c>
      <c r="G2045" t="s">
        <v>21</v>
      </c>
      <c r="H2045" s="3" t="s">
        <v>18</v>
      </c>
      <c r="I2045" s="3" t="s">
        <v>42</v>
      </c>
      <c r="J2045" s="3" t="s">
        <v>25</v>
      </c>
      <c r="K2045" s="3">
        <f>_xlfn.XLOOKUP(tbl_main[[#This Row],[Service]],tbl_service[Service],tbl_service[Price],"")</f>
        <v>500</v>
      </c>
      <c r="L2045" s="3">
        <v>1</v>
      </c>
      <c r="M2045" s="3">
        <f>IF(AND(tbl_main[[#This Row],[Price]]="",tbl_main[[#This Row],[Qty]]=""),"",tbl_main[[#This Row],[Price]]*tbl_main[[#This Row],[Qty]])</f>
        <v>500</v>
      </c>
      <c r="N2045" s="3">
        <f>_xlfn.LET(_xlpm.x,_xlfn.XLOOKUP(tbl_main[[#This Row],[Service]],tbl_service[Service],tbl_service[Profit],""),
               IF(tbl_main[[#This Row],[Qty]]="","",_xlpm.x*tbl_main[[#This Row],[Qty]]))</f>
        <v>157</v>
      </c>
    </row>
    <row r="2046" spans="1:14" x14ac:dyDescent="0.25">
      <c r="A2046" t="s">
        <v>2088</v>
      </c>
      <c r="B2046" s="1">
        <v>46341</v>
      </c>
      <c r="C2046">
        <f>IF(tbl_main[[#This Row],[Date]]="","",YEAR(B2046))</f>
        <v>2026</v>
      </c>
      <c r="D2046" t="str">
        <f>IF(tbl_main[[#This Row],[Date]]="","",TEXT(B2046,"mmm"))</f>
        <v>Nov</v>
      </c>
      <c r="E2046" t="str">
        <f>IF(tbl_main[[#This Row],[Date]]="","",TEXT(B2046,"DDD"))</f>
        <v>Sun</v>
      </c>
      <c r="F2046" t="s">
        <v>20</v>
      </c>
      <c r="G2046" t="s">
        <v>29</v>
      </c>
      <c r="H2046" s="3" t="s">
        <v>24</v>
      </c>
      <c r="I2046" s="3" t="s">
        <v>41</v>
      </c>
      <c r="J2046" s="3" t="s">
        <v>17</v>
      </c>
      <c r="K2046" s="3">
        <f>_xlfn.XLOOKUP(tbl_main[[#This Row],[Service]],tbl_service[Service],tbl_service[Price],"")</f>
        <v>80</v>
      </c>
      <c r="L2046" s="3">
        <v>2</v>
      </c>
      <c r="M2046" s="3">
        <f>IF(AND(tbl_main[[#This Row],[Price]]="",tbl_main[[#This Row],[Qty]]=""),"",tbl_main[[#This Row],[Price]]*tbl_main[[#This Row],[Qty]])</f>
        <v>160</v>
      </c>
      <c r="N2046" s="3">
        <f>_xlfn.LET(_xlpm.x,_xlfn.XLOOKUP(tbl_main[[#This Row],[Service]],tbl_service[Service],tbl_service[Profit],""),
               IF(tbl_main[[#This Row],[Qty]]="","",_xlpm.x*tbl_main[[#This Row],[Qty]]))</f>
        <v>72</v>
      </c>
    </row>
    <row r="2047" spans="1:14" x14ac:dyDescent="0.25">
      <c r="A2047" t="s">
        <v>2089</v>
      </c>
      <c r="B2047" s="1">
        <v>46341</v>
      </c>
      <c r="C2047">
        <f>IF(tbl_main[[#This Row],[Date]]="","",YEAR(B2047))</f>
        <v>2026</v>
      </c>
      <c r="D2047" t="str">
        <f>IF(tbl_main[[#This Row],[Date]]="","",TEXT(B2047,"mmm"))</f>
        <v>Nov</v>
      </c>
      <c r="E2047" t="str">
        <f>IF(tbl_main[[#This Row],[Date]]="","",TEXT(B2047,"DDD"))</f>
        <v>Sun</v>
      </c>
      <c r="F2047" t="s">
        <v>13</v>
      </c>
      <c r="G2047" t="s">
        <v>33</v>
      </c>
      <c r="H2047" s="3" t="s">
        <v>15</v>
      </c>
      <c r="I2047" s="3" t="s">
        <v>35</v>
      </c>
      <c r="J2047" s="3" t="s">
        <v>32</v>
      </c>
      <c r="K2047" s="3">
        <f>_xlfn.XLOOKUP(tbl_main[[#This Row],[Service]],tbl_service[Service],tbl_service[Price],"")</f>
        <v>500</v>
      </c>
      <c r="L2047" s="3">
        <v>1</v>
      </c>
      <c r="M2047" s="3">
        <f>IF(AND(tbl_main[[#This Row],[Price]]="",tbl_main[[#This Row],[Qty]]=""),"",tbl_main[[#This Row],[Price]]*tbl_main[[#This Row],[Qty]])</f>
        <v>500</v>
      </c>
      <c r="N2047" s="3">
        <f>_xlfn.LET(_xlpm.x,_xlfn.XLOOKUP(tbl_main[[#This Row],[Service]],tbl_service[Service],tbl_service[Profit],""),
               IF(tbl_main[[#This Row],[Qty]]="","",_xlpm.x*tbl_main[[#This Row],[Qty]]))</f>
        <v>225</v>
      </c>
    </row>
    <row r="2048" spans="1:14" x14ac:dyDescent="0.25">
      <c r="A2048" t="s">
        <v>2090</v>
      </c>
      <c r="B2048" s="1">
        <v>46342</v>
      </c>
      <c r="C2048">
        <f>IF(tbl_main[[#This Row],[Date]]="","",YEAR(B2048))</f>
        <v>2026</v>
      </c>
      <c r="D2048" t="str">
        <f>IF(tbl_main[[#This Row],[Date]]="","",TEXT(B2048,"mmm"))</f>
        <v>Nov</v>
      </c>
      <c r="E2048" t="str">
        <f>IF(tbl_main[[#This Row],[Date]]="","",TEXT(B2048,"DDD"))</f>
        <v>Mon</v>
      </c>
      <c r="F2048" t="s">
        <v>30</v>
      </c>
      <c r="G2048" t="s">
        <v>31</v>
      </c>
      <c r="H2048" s="3" t="s">
        <v>18</v>
      </c>
      <c r="I2048" s="3" t="s">
        <v>35</v>
      </c>
      <c r="J2048" s="3" t="s">
        <v>17</v>
      </c>
      <c r="K2048" s="3">
        <f>_xlfn.XLOOKUP(tbl_main[[#This Row],[Service]],tbl_service[Service],tbl_service[Price],"")</f>
        <v>500</v>
      </c>
      <c r="L2048" s="3">
        <v>2</v>
      </c>
      <c r="M2048" s="3">
        <f>IF(AND(tbl_main[[#This Row],[Price]]="",tbl_main[[#This Row],[Qty]]=""),"",tbl_main[[#This Row],[Price]]*tbl_main[[#This Row],[Qty]])</f>
        <v>1000</v>
      </c>
      <c r="N2048" s="3">
        <f>_xlfn.LET(_xlpm.x,_xlfn.XLOOKUP(tbl_main[[#This Row],[Service]],tbl_service[Service],tbl_service[Profit],""),
               IF(tbl_main[[#This Row],[Qty]]="","",_xlpm.x*tbl_main[[#This Row],[Qty]]))</f>
        <v>314</v>
      </c>
    </row>
    <row r="2049" spans="1:14" x14ac:dyDescent="0.25">
      <c r="A2049" t="s">
        <v>2091</v>
      </c>
      <c r="B2049" s="1">
        <v>46342</v>
      </c>
      <c r="C2049">
        <f>IF(tbl_main[[#This Row],[Date]]="","",YEAR(B2049))</f>
        <v>2026</v>
      </c>
      <c r="D2049" t="str">
        <f>IF(tbl_main[[#This Row],[Date]]="","",TEXT(B2049,"mmm"))</f>
        <v>Nov</v>
      </c>
      <c r="E2049" t="str">
        <f>IF(tbl_main[[#This Row],[Date]]="","",TEXT(B2049,"DDD"))</f>
        <v>Mon</v>
      </c>
      <c r="F2049" t="s">
        <v>30</v>
      </c>
      <c r="G2049" t="s">
        <v>36</v>
      </c>
      <c r="H2049" s="3" t="s">
        <v>22</v>
      </c>
      <c r="I2049" s="3" t="s">
        <v>23</v>
      </c>
      <c r="J2049" s="3" t="s">
        <v>32</v>
      </c>
      <c r="K2049" s="3">
        <f>_xlfn.XLOOKUP(tbl_main[[#This Row],[Service]],tbl_service[Service],tbl_service[Price],"")</f>
        <v>150</v>
      </c>
      <c r="L2049" s="3">
        <v>2</v>
      </c>
      <c r="M2049" s="3">
        <f>IF(AND(tbl_main[[#This Row],[Price]]="",tbl_main[[#This Row],[Qty]]=""),"",tbl_main[[#This Row],[Price]]*tbl_main[[#This Row],[Qty]])</f>
        <v>300</v>
      </c>
      <c r="N2049" s="3">
        <f>_xlfn.LET(_xlpm.x,_xlfn.XLOOKUP(tbl_main[[#This Row],[Service]],tbl_service[Service],tbl_service[Profit],""),
               IF(tbl_main[[#This Row],[Qty]]="","",_xlpm.x*tbl_main[[#This Row],[Qty]]))</f>
        <v>134</v>
      </c>
    </row>
    <row r="2050" spans="1:14" x14ac:dyDescent="0.25">
      <c r="A2050" t="s">
        <v>2092</v>
      </c>
      <c r="B2050" s="1">
        <v>46343</v>
      </c>
      <c r="C2050">
        <f>IF(tbl_main[[#This Row],[Date]]="","",YEAR(B2050))</f>
        <v>2026</v>
      </c>
      <c r="D2050" t="str">
        <f>IF(tbl_main[[#This Row],[Date]]="","",TEXT(B2050,"mmm"))</f>
        <v>Nov</v>
      </c>
      <c r="E2050" t="str">
        <f>IF(tbl_main[[#This Row],[Date]]="","",TEXT(B2050,"DDD"))</f>
        <v>Tue</v>
      </c>
      <c r="F2050" t="s">
        <v>30</v>
      </c>
      <c r="G2050" t="s">
        <v>36</v>
      </c>
      <c r="H2050" s="3" t="s">
        <v>18</v>
      </c>
      <c r="I2050" s="3" t="s">
        <v>37</v>
      </c>
      <c r="J2050" s="3" t="s">
        <v>25</v>
      </c>
      <c r="K2050" s="3">
        <f>_xlfn.XLOOKUP(tbl_main[[#This Row],[Service]],tbl_service[Service],tbl_service[Price],"")</f>
        <v>500</v>
      </c>
      <c r="L2050" s="3">
        <v>1</v>
      </c>
      <c r="M2050" s="3">
        <f>IF(AND(tbl_main[[#This Row],[Price]]="",tbl_main[[#This Row],[Qty]]=""),"",tbl_main[[#This Row],[Price]]*tbl_main[[#This Row],[Qty]])</f>
        <v>500</v>
      </c>
      <c r="N2050" s="3">
        <f>_xlfn.LET(_xlpm.x,_xlfn.XLOOKUP(tbl_main[[#This Row],[Service]],tbl_service[Service],tbl_service[Profit],""),
               IF(tbl_main[[#This Row],[Qty]]="","",_xlpm.x*tbl_main[[#This Row],[Qty]]))</f>
        <v>157</v>
      </c>
    </row>
    <row r="2051" spans="1:14" x14ac:dyDescent="0.25">
      <c r="A2051" t="s">
        <v>2093</v>
      </c>
      <c r="B2051" s="1">
        <v>46343</v>
      </c>
      <c r="C2051">
        <f>IF(tbl_main[[#This Row],[Date]]="","",YEAR(B2051))</f>
        <v>2026</v>
      </c>
      <c r="D2051" t="str">
        <f>IF(tbl_main[[#This Row],[Date]]="","",TEXT(B2051,"mmm"))</f>
        <v>Nov</v>
      </c>
      <c r="E2051" t="str">
        <f>IF(tbl_main[[#This Row],[Date]]="","",TEXT(B2051,"DDD"))</f>
        <v>Tue</v>
      </c>
      <c r="F2051" t="s">
        <v>20</v>
      </c>
      <c r="G2051" t="s">
        <v>39</v>
      </c>
      <c r="H2051" s="3" t="s">
        <v>18</v>
      </c>
      <c r="I2051" s="3" t="s">
        <v>38</v>
      </c>
      <c r="J2051" s="3" t="s">
        <v>32</v>
      </c>
      <c r="K2051" s="3">
        <f>_xlfn.XLOOKUP(tbl_main[[#This Row],[Service]],tbl_service[Service],tbl_service[Price],"")</f>
        <v>500</v>
      </c>
      <c r="L2051" s="3">
        <v>2</v>
      </c>
      <c r="M2051" s="3">
        <f>IF(AND(tbl_main[[#This Row],[Price]]="",tbl_main[[#This Row],[Qty]]=""),"",tbl_main[[#This Row],[Price]]*tbl_main[[#This Row],[Qty]])</f>
        <v>1000</v>
      </c>
      <c r="N2051" s="3">
        <f>_xlfn.LET(_xlpm.x,_xlfn.XLOOKUP(tbl_main[[#This Row],[Service]],tbl_service[Service],tbl_service[Profit],""),
               IF(tbl_main[[#This Row],[Qty]]="","",_xlpm.x*tbl_main[[#This Row],[Qty]]))</f>
        <v>314</v>
      </c>
    </row>
    <row r="2052" spans="1:14" x14ac:dyDescent="0.25">
      <c r="A2052" t="s">
        <v>2094</v>
      </c>
      <c r="B2052" s="1">
        <v>46343</v>
      </c>
      <c r="C2052">
        <f>IF(tbl_main[[#This Row],[Date]]="","",YEAR(B2052))</f>
        <v>2026</v>
      </c>
      <c r="D2052" t="str">
        <f>IF(tbl_main[[#This Row],[Date]]="","",TEXT(B2052,"mmm"))</f>
        <v>Nov</v>
      </c>
      <c r="E2052" t="str">
        <f>IF(tbl_main[[#This Row],[Date]]="","",TEXT(B2052,"DDD"))</f>
        <v>Tue</v>
      </c>
      <c r="F2052" t="s">
        <v>20</v>
      </c>
      <c r="G2052" t="s">
        <v>21</v>
      </c>
      <c r="H2052" s="3" t="s">
        <v>22</v>
      </c>
      <c r="I2052" s="3" t="s">
        <v>16</v>
      </c>
      <c r="J2052" s="3" t="s">
        <v>17</v>
      </c>
      <c r="K2052" s="3">
        <f>_xlfn.XLOOKUP(tbl_main[[#This Row],[Service]],tbl_service[Service],tbl_service[Price],"")</f>
        <v>150</v>
      </c>
      <c r="L2052" s="3">
        <v>2</v>
      </c>
      <c r="M2052" s="3">
        <f>IF(AND(tbl_main[[#This Row],[Price]]="",tbl_main[[#This Row],[Qty]]=""),"",tbl_main[[#This Row],[Price]]*tbl_main[[#This Row],[Qty]])</f>
        <v>300</v>
      </c>
      <c r="N2052" s="3">
        <f>_xlfn.LET(_xlpm.x,_xlfn.XLOOKUP(tbl_main[[#This Row],[Service]],tbl_service[Service],tbl_service[Profit],""),
               IF(tbl_main[[#This Row],[Qty]]="","",_xlpm.x*tbl_main[[#This Row],[Qty]]))</f>
        <v>134</v>
      </c>
    </row>
    <row r="2053" spans="1:14" x14ac:dyDescent="0.25">
      <c r="A2053" t="s">
        <v>2095</v>
      </c>
      <c r="B2053" s="1">
        <v>46343</v>
      </c>
      <c r="C2053">
        <f>IF(tbl_main[[#This Row],[Date]]="","",YEAR(B2053))</f>
        <v>2026</v>
      </c>
      <c r="D2053" t="str">
        <f>IF(tbl_main[[#This Row],[Date]]="","",TEXT(B2053,"mmm"))</f>
        <v>Nov</v>
      </c>
      <c r="E2053" t="str">
        <f>IF(tbl_main[[#This Row],[Date]]="","",TEXT(B2053,"DDD"))</f>
        <v>Tue</v>
      </c>
      <c r="F2053" t="s">
        <v>20</v>
      </c>
      <c r="G2053" t="s">
        <v>39</v>
      </c>
      <c r="H2053" s="3" t="s">
        <v>18</v>
      </c>
      <c r="I2053" s="3" t="s">
        <v>19</v>
      </c>
      <c r="J2053" s="3" t="s">
        <v>25</v>
      </c>
      <c r="K2053" s="3">
        <f>_xlfn.XLOOKUP(tbl_main[[#This Row],[Service]],tbl_service[Service],tbl_service[Price],"")</f>
        <v>500</v>
      </c>
      <c r="L2053" s="3">
        <v>1</v>
      </c>
      <c r="M2053" s="3">
        <f>IF(AND(tbl_main[[#This Row],[Price]]="",tbl_main[[#This Row],[Qty]]=""),"",tbl_main[[#This Row],[Price]]*tbl_main[[#This Row],[Qty]])</f>
        <v>500</v>
      </c>
      <c r="N2053" s="3">
        <f>_xlfn.LET(_xlpm.x,_xlfn.XLOOKUP(tbl_main[[#This Row],[Service]],tbl_service[Service],tbl_service[Profit],""),
               IF(tbl_main[[#This Row],[Qty]]="","",_xlpm.x*tbl_main[[#This Row],[Qty]]))</f>
        <v>157</v>
      </c>
    </row>
    <row r="2054" spans="1:14" x14ac:dyDescent="0.25">
      <c r="A2054" t="s">
        <v>2096</v>
      </c>
      <c r="B2054" s="1">
        <v>46344</v>
      </c>
      <c r="C2054">
        <f>IF(tbl_main[[#This Row],[Date]]="","",YEAR(B2054))</f>
        <v>2026</v>
      </c>
      <c r="D2054" t="str">
        <f>IF(tbl_main[[#This Row],[Date]]="","",TEXT(B2054,"mmm"))</f>
        <v>Nov</v>
      </c>
      <c r="E2054" t="str">
        <f>IF(tbl_main[[#This Row],[Date]]="","",TEXT(B2054,"DDD"))</f>
        <v>Wed</v>
      </c>
      <c r="F2054" t="s">
        <v>20</v>
      </c>
      <c r="G2054" t="s">
        <v>39</v>
      </c>
      <c r="H2054" s="3" t="s">
        <v>26</v>
      </c>
      <c r="I2054" s="3" t="s">
        <v>43</v>
      </c>
      <c r="J2054" s="3" t="s">
        <v>25</v>
      </c>
      <c r="K2054" s="3">
        <f>_xlfn.XLOOKUP(tbl_main[[#This Row],[Service]],tbl_service[Service],tbl_service[Price],"")</f>
        <v>200</v>
      </c>
      <c r="L2054" s="3">
        <v>1</v>
      </c>
      <c r="M2054" s="3">
        <f>IF(AND(tbl_main[[#This Row],[Price]]="",tbl_main[[#This Row],[Qty]]=""),"",tbl_main[[#This Row],[Price]]*tbl_main[[#This Row],[Qty]])</f>
        <v>200</v>
      </c>
      <c r="N2054" s="3">
        <f>_xlfn.LET(_xlpm.x,_xlfn.XLOOKUP(tbl_main[[#This Row],[Service]],tbl_service[Service],tbl_service[Profit],""),
               IF(tbl_main[[#This Row],[Qty]]="","",_xlpm.x*tbl_main[[#This Row],[Qty]]))</f>
        <v>90</v>
      </c>
    </row>
    <row r="2055" spans="1:14" x14ac:dyDescent="0.25">
      <c r="A2055" t="s">
        <v>2097</v>
      </c>
      <c r="B2055" s="1">
        <v>46344</v>
      </c>
      <c r="C2055">
        <f>IF(tbl_main[[#This Row],[Date]]="","",YEAR(B2055))</f>
        <v>2026</v>
      </c>
      <c r="D2055" t="str">
        <f>IF(tbl_main[[#This Row],[Date]]="","",TEXT(B2055,"mmm"))</f>
        <v>Nov</v>
      </c>
      <c r="E2055" t="str">
        <f>IF(tbl_main[[#This Row],[Date]]="","",TEXT(B2055,"DDD"))</f>
        <v>Wed</v>
      </c>
      <c r="F2055" t="s">
        <v>20</v>
      </c>
      <c r="G2055" t="s">
        <v>21</v>
      </c>
      <c r="H2055" s="3" t="s">
        <v>15</v>
      </c>
      <c r="I2055" s="3" t="s">
        <v>42</v>
      </c>
      <c r="J2055" s="3" t="s">
        <v>32</v>
      </c>
      <c r="K2055" s="3">
        <f>_xlfn.XLOOKUP(tbl_main[[#This Row],[Service]],tbl_service[Service],tbl_service[Price],"")</f>
        <v>500</v>
      </c>
      <c r="L2055" s="3">
        <v>1</v>
      </c>
      <c r="M2055" s="3">
        <f>IF(AND(tbl_main[[#This Row],[Price]]="",tbl_main[[#This Row],[Qty]]=""),"",tbl_main[[#This Row],[Price]]*tbl_main[[#This Row],[Qty]])</f>
        <v>500</v>
      </c>
      <c r="N2055" s="3">
        <f>_xlfn.LET(_xlpm.x,_xlfn.XLOOKUP(tbl_main[[#This Row],[Service]],tbl_service[Service],tbl_service[Profit],""),
               IF(tbl_main[[#This Row],[Qty]]="","",_xlpm.x*tbl_main[[#This Row],[Qty]]))</f>
        <v>225</v>
      </c>
    </row>
    <row r="2056" spans="1:14" x14ac:dyDescent="0.25">
      <c r="A2056" t="s">
        <v>2098</v>
      </c>
      <c r="B2056" s="1">
        <v>46344</v>
      </c>
      <c r="C2056">
        <f>IF(tbl_main[[#This Row],[Date]]="","",YEAR(B2056))</f>
        <v>2026</v>
      </c>
      <c r="D2056" t="str">
        <f>IF(tbl_main[[#This Row],[Date]]="","",TEXT(B2056,"mmm"))</f>
        <v>Nov</v>
      </c>
      <c r="E2056" t="str">
        <f>IF(tbl_main[[#This Row],[Date]]="","",TEXT(B2056,"DDD"))</f>
        <v>Wed</v>
      </c>
      <c r="F2056" t="s">
        <v>27</v>
      </c>
      <c r="G2056" t="s">
        <v>40</v>
      </c>
      <c r="H2056" s="3" t="s">
        <v>24</v>
      </c>
      <c r="I2056" s="3" t="s">
        <v>41</v>
      </c>
      <c r="J2056" s="3" t="s">
        <v>17</v>
      </c>
      <c r="K2056" s="3">
        <f>_xlfn.XLOOKUP(tbl_main[[#This Row],[Service]],tbl_service[Service],tbl_service[Price],"")</f>
        <v>80</v>
      </c>
      <c r="L2056" s="3">
        <v>1</v>
      </c>
      <c r="M2056" s="3">
        <f>IF(AND(tbl_main[[#This Row],[Price]]="",tbl_main[[#This Row],[Qty]]=""),"",tbl_main[[#This Row],[Price]]*tbl_main[[#This Row],[Qty]])</f>
        <v>80</v>
      </c>
      <c r="N2056" s="3">
        <f>_xlfn.LET(_xlpm.x,_xlfn.XLOOKUP(tbl_main[[#This Row],[Service]],tbl_service[Service],tbl_service[Profit],""),
               IF(tbl_main[[#This Row],[Qty]]="","",_xlpm.x*tbl_main[[#This Row],[Qty]]))</f>
        <v>36</v>
      </c>
    </row>
    <row r="2057" spans="1:14" x14ac:dyDescent="0.25">
      <c r="A2057" t="s">
        <v>2099</v>
      </c>
      <c r="B2057" s="1">
        <v>46345</v>
      </c>
      <c r="C2057">
        <f>IF(tbl_main[[#This Row],[Date]]="","",YEAR(B2057))</f>
        <v>2026</v>
      </c>
      <c r="D2057" t="str">
        <f>IF(tbl_main[[#This Row],[Date]]="","",TEXT(B2057,"mmm"))</f>
        <v>Nov</v>
      </c>
      <c r="E2057" t="str">
        <f>IF(tbl_main[[#This Row],[Date]]="","",TEXT(B2057,"DDD"))</f>
        <v>Thu</v>
      </c>
      <c r="F2057" t="s">
        <v>13</v>
      </c>
      <c r="G2057" t="s">
        <v>14</v>
      </c>
      <c r="H2057" s="3" t="s">
        <v>34</v>
      </c>
      <c r="I2057" s="3" t="s">
        <v>35</v>
      </c>
      <c r="J2057" s="3" t="s">
        <v>25</v>
      </c>
      <c r="K2057" s="3">
        <f>_xlfn.XLOOKUP(tbl_main[[#This Row],[Service]],tbl_service[Service],tbl_service[Price],"")</f>
        <v>100</v>
      </c>
      <c r="L2057" s="3">
        <v>2</v>
      </c>
      <c r="M2057" s="3">
        <f>IF(AND(tbl_main[[#This Row],[Price]]="",tbl_main[[#This Row],[Qty]]=""),"",tbl_main[[#This Row],[Price]]*tbl_main[[#This Row],[Qty]])</f>
        <v>200</v>
      </c>
      <c r="N2057" s="3">
        <f>_xlfn.LET(_xlpm.x,_xlfn.XLOOKUP(tbl_main[[#This Row],[Service]],tbl_service[Service],tbl_service[Profit],""),
               IF(tbl_main[[#This Row],[Qty]]="","",_xlpm.x*tbl_main[[#This Row],[Qty]]))</f>
        <v>90</v>
      </c>
    </row>
    <row r="2058" spans="1:14" x14ac:dyDescent="0.25">
      <c r="A2058" t="s">
        <v>2100</v>
      </c>
      <c r="B2058" s="1">
        <v>46345</v>
      </c>
      <c r="C2058">
        <f>IF(tbl_main[[#This Row],[Date]]="","",YEAR(B2058))</f>
        <v>2026</v>
      </c>
      <c r="D2058" t="str">
        <f>IF(tbl_main[[#This Row],[Date]]="","",TEXT(B2058,"mmm"))</f>
        <v>Nov</v>
      </c>
      <c r="E2058" t="str">
        <f>IF(tbl_main[[#This Row],[Date]]="","",TEXT(B2058,"DDD"))</f>
        <v>Thu</v>
      </c>
      <c r="F2058" t="s">
        <v>13</v>
      </c>
      <c r="G2058" t="s">
        <v>14</v>
      </c>
      <c r="H2058" s="3" t="s">
        <v>22</v>
      </c>
      <c r="I2058" s="3" t="s">
        <v>35</v>
      </c>
      <c r="J2058" s="3" t="s">
        <v>17</v>
      </c>
      <c r="K2058" s="3">
        <f>_xlfn.XLOOKUP(tbl_main[[#This Row],[Service]],tbl_service[Service],tbl_service[Price],"")</f>
        <v>150</v>
      </c>
      <c r="L2058" s="3">
        <v>1</v>
      </c>
      <c r="M2058" s="3">
        <f>IF(AND(tbl_main[[#This Row],[Price]]="",tbl_main[[#This Row],[Qty]]=""),"",tbl_main[[#This Row],[Price]]*tbl_main[[#This Row],[Qty]])</f>
        <v>150</v>
      </c>
      <c r="N2058" s="3">
        <f>_xlfn.LET(_xlpm.x,_xlfn.XLOOKUP(tbl_main[[#This Row],[Service]],tbl_service[Service],tbl_service[Profit],""),
               IF(tbl_main[[#This Row],[Qty]]="","",_xlpm.x*tbl_main[[#This Row],[Qty]]))</f>
        <v>67</v>
      </c>
    </row>
    <row r="2059" spans="1:14" x14ac:dyDescent="0.25">
      <c r="A2059" t="s">
        <v>2101</v>
      </c>
      <c r="B2059" s="1">
        <v>46345</v>
      </c>
      <c r="C2059">
        <f>IF(tbl_main[[#This Row],[Date]]="","",YEAR(B2059))</f>
        <v>2026</v>
      </c>
      <c r="D2059" t="str">
        <f>IF(tbl_main[[#This Row],[Date]]="","",TEXT(B2059,"mmm"))</f>
        <v>Nov</v>
      </c>
      <c r="E2059" t="str">
        <f>IF(tbl_main[[#This Row],[Date]]="","",TEXT(B2059,"DDD"))</f>
        <v>Thu</v>
      </c>
      <c r="F2059" t="s">
        <v>27</v>
      </c>
      <c r="G2059" t="s">
        <v>28</v>
      </c>
      <c r="H2059" s="3" t="s">
        <v>15</v>
      </c>
      <c r="I2059" s="3" t="s">
        <v>23</v>
      </c>
      <c r="J2059" s="3" t="s">
        <v>17</v>
      </c>
      <c r="K2059" s="3">
        <f>_xlfn.XLOOKUP(tbl_main[[#This Row],[Service]],tbl_service[Service],tbl_service[Price],"")</f>
        <v>500</v>
      </c>
      <c r="L2059" s="3">
        <v>2</v>
      </c>
      <c r="M2059" s="3">
        <f>IF(AND(tbl_main[[#This Row],[Price]]="",tbl_main[[#This Row],[Qty]]=""),"",tbl_main[[#This Row],[Price]]*tbl_main[[#This Row],[Qty]])</f>
        <v>1000</v>
      </c>
      <c r="N2059" s="3">
        <f>_xlfn.LET(_xlpm.x,_xlfn.XLOOKUP(tbl_main[[#This Row],[Service]],tbl_service[Service],tbl_service[Profit],""),
               IF(tbl_main[[#This Row],[Qty]]="","",_xlpm.x*tbl_main[[#This Row],[Qty]]))</f>
        <v>450</v>
      </c>
    </row>
    <row r="2060" spans="1:14" x14ac:dyDescent="0.25">
      <c r="A2060" t="s">
        <v>2102</v>
      </c>
      <c r="B2060" s="1">
        <v>46346</v>
      </c>
      <c r="C2060">
        <f>IF(tbl_main[[#This Row],[Date]]="","",YEAR(B2060))</f>
        <v>2026</v>
      </c>
      <c r="D2060" t="str">
        <f>IF(tbl_main[[#This Row],[Date]]="","",TEXT(B2060,"mmm"))</f>
        <v>Nov</v>
      </c>
      <c r="E2060" t="str">
        <f>IF(tbl_main[[#This Row],[Date]]="","",TEXT(B2060,"DDD"))</f>
        <v>Fri</v>
      </c>
      <c r="F2060" t="s">
        <v>13</v>
      </c>
      <c r="G2060" t="s">
        <v>33</v>
      </c>
      <c r="H2060" s="3" t="s">
        <v>18</v>
      </c>
      <c r="I2060" s="3" t="s">
        <v>37</v>
      </c>
      <c r="J2060" s="3" t="s">
        <v>32</v>
      </c>
      <c r="K2060" s="3">
        <f>_xlfn.XLOOKUP(tbl_main[[#This Row],[Service]],tbl_service[Service],tbl_service[Price],"")</f>
        <v>500</v>
      </c>
      <c r="L2060" s="3">
        <v>1</v>
      </c>
      <c r="M2060" s="3">
        <f>IF(AND(tbl_main[[#This Row],[Price]]="",tbl_main[[#This Row],[Qty]]=""),"",tbl_main[[#This Row],[Price]]*tbl_main[[#This Row],[Qty]])</f>
        <v>500</v>
      </c>
      <c r="N2060" s="3">
        <f>_xlfn.LET(_xlpm.x,_xlfn.XLOOKUP(tbl_main[[#This Row],[Service]],tbl_service[Service],tbl_service[Profit],""),
               IF(tbl_main[[#This Row],[Qty]]="","",_xlpm.x*tbl_main[[#This Row],[Qty]]))</f>
        <v>157</v>
      </c>
    </row>
    <row r="2061" spans="1:14" x14ac:dyDescent="0.25">
      <c r="A2061" t="s">
        <v>2103</v>
      </c>
      <c r="B2061" s="1">
        <v>46346</v>
      </c>
      <c r="C2061">
        <f>IF(tbl_main[[#This Row],[Date]]="","",YEAR(B2061))</f>
        <v>2026</v>
      </c>
      <c r="D2061" t="str">
        <f>IF(tbl_main[[#This Row],[Date]]="","",TEXT(B2061,"mmm"))</f>
        <v>Nov</v>
      </c>
      <c r="E2061" t="str">
        <f>IF(tbl_main[[#This Row],[Date]]="","",TEXT(B2061,"DDD"))</f>
        <v>Fri</v>
      </c>
      <c r="F2061" t="s">
        <v>13</v>
      </c>
      <c r="G2061" t="s">
        <v>33</v>
      </c>
      <c r="H2061" s="3" t="s">
        <v>22</v>
      </c>
      <c r="I2061" s="3" t="s">
        <v>38</v>
      </c>
      <c r="J2061" s="3" t="s">
        <v>17</v>
      </c>
      <c r="K2061" s="3">
        <f>_xlfn.XLOOKUP(tbl_main[[#This Row],[Service]],tbl_service[Service],tbl_service[Price],"")</f>
        <v>150</v>
      </c>
      <c r="L2061" s="3">
        <v>1</v>
      </c>
      <c r="M2061" s="3">
        <f>IF(AND(tbl_main[[#This Row],[Price]]="",tbl_main[[#This Row],[Qty]]=""),"",tbl_main[[#This Row],[Price]]*tbl_main[[#This Row],[Qty]])</f>
        <v>150</v>
      </c>
      <c r="N2061" s="3">
        <f>_xlfn.LET(_xlpm.x,_xlfn.XLOOKUP(tbl_main[[#This Row],[Service]],tbl_service[Service],tbl_service[Profit],""),
               IF(tbl_main[[#This Row],[Qty]]="","",_xlpm.x*tbl_main[[#This Row],[Qty]]))</f>
        <v>67</v>
      </c>
    </row>
    <row r="2062" spans="1:14" x14ac:dyDescent="0.25">
      <c r="A2062" t="s">
        <v>2104</v>
      </c>
      <c r="B2062" s="1">
        <v>46346</v>
      </c>
      <c r="C2062">
        <f>IF(tbl_main[[#This Row],[Date]]="","",YEAR(B2062))</f>
        <v>2026</v>
      </c>
      <c r="D2062" t="str">
        <f>IF(tbl_main[[#This Row],[Date]]="","",TEXT(B2062,"mmm"))</f>
        <v>Nov</v>
      </c>
      <c r="E2062" t="str">
        <f>IF(tbl_main[[#This Row],[Date]]="","",TEXT(B2062,"DDD"))</f>
        <v>Fri</v>
      </c>
      <c r="F2062" t="s">
        <v>13</v>
      </c>
      <c r="G2062" t="s">
        <v>14</v>
      </c>
      <c r="H2062" s="3" t="s">
        <v>18</v>
      </c>
      <c r="I2062" s="3" t="s">
        <v>16</v>
      </c>
      <c r="J2062" s="3" t="s">
        <v>17</v>
      </c>
      <c r="K2062" s="3">
        <f>_xlfn.XLOOKUP(tbl_main[[#This Row],[Service]],tbl_service[Service],tbl_service[Price],"")</f>
        <v>500</v>
      </c>
      <c r="L2062" s="3">
        <v>2</v>
      </c>
      <c r="M2062" s="3">
        <f>IF(AND(tbl_main[[#This Row],[Price]]="",tbl_main[[#This Row],[Qty]]=""),"",tbl_main[[#This Row],[Price]]*tbl_main[[#This Row],[Qty]])</f>
        <v>1000</v>
      </c>
      <c r="N2062" s="3">
        <f>_xlfn.LET(_xlpm.x,_xlfn.XLOOKUP(tbl_main[[#This Row],[Service]],tbl_service[Service],tbl_service[Profit],""),
               IF(tbl_main[[#This Row],[Qty]]="","",_xlpm.x*tbl_main[[#This Row],[Qty]]))</f>
        <v>314</v>
      </c>
    </row>
    <row r="2063" spans="1:14" x14ac:dyDescent="0.25">
      <c r="A2063" t="s">
        <v>2105</v>
      </c>
      <c r="B2063" s="1">
        <v>46347</v>
      </c>
      <c r="C2063">
        <f>IF(tbl_main[[#This Row],[Date]]="","",YEAR(B2063))</f>
        <v>2026</v>
      </c>
      <c r="D2063" t="str">
        <f>IF(tbl_main[[#This Row],[Date]]="","",TEXT(B2063,"mmm"))</f>
        <v>Nov</v>
      </c>
      <c r="E2063" t="str">
        <f>IF(tbl_main[[#This Row],[Date]]="","",TEXT(B2063,"DDD"))</f>
        <v>Sat</v>
      </c>
      <c r="F2063" t="s">
        <v>20</v>
      </c>
      <c r="G2063" t="s">
        <v>21</v>
      </c>
      <c r="H2063" s="3" t="s">
        <v>18</v>
      </c>
      <c r="I2063" s="3" t="s">
        <v>19</v>
      </c>
      <c r="J2063" s="3" t="s">
        <v>17</v>
      </c>
      <c r="K2063" s="3">
        <f>_xlfn.XLOOKUP(tbl_main[[#This Row],[Service]],tbl_service[Service],tbl_service[Price],"")</f>
        <v>500</v>
      </c>
      <c r="L2063" s="3">
        <v>2</v>
      </c>
      <c r="M2063" s="3">
        <f>IF(AND(tbl_main[[#This Row],[Price]]="",tbl_main[[#This Row],[Qty]]=""),"",tbl_main[[#This Row],[Price]]*tbl_main[[#This Row],[Qty]])</f>
        <v>1000</v>
      </c>
      <c r="N2063" s="3">
        <f>_xlfn.LET(_xlpm.x,_xlfn.XLOOKUP(tbl_main[[#This Row],[Service]],tbl_service[Service],tbl_service[Profit],""),
               IF(tbl_main[[#This Row],[Qty]]="","",_xlpm.x*tbl_main[[#This Row],[Qty]]))</f>
        <v>314</v>
      </c>
    </row>
    <row r="2064" spans="1:14" x14ac:dyDescent="0.25">
      <c r="A2064" t="s">
        <v>2106</v>
      </c>
      <c r="B2064" s="1">
        <v>46347</v>
      </c>
      <c r="C2064">
        <f>IF(tbl_main[[#This Row],[Date]]="","",YEAR(B2064))</f>
        <v>2026</v>
      </c>
      <c r="D2064" t="str">
        <f>IF(tbl_main[[#This Row],[Date]]="","",TEXT(B2064,"mmm"))</f>
        <v>Nov</v>
      </c>
      <c r="E2064" t="str">
        <f>IF(tbl_main[[#This Row],[Date]]="","",TEXT(B2064,"DDD"))</f>
        <v>Sat</v>
      </c>
      <c r="F2064" t="s">
        <v>13</v>
      </c>
      <c r="G2064" t="s">
        <v>14</v>
      </c>
      <c r="H2064" s="3" t="s">
        <v>22</v>
      </c>
      <c r="I2064" s="3" t="s">
        <v>43</v>
      </c>
      <c r="J2064" s="3" t="s">
        <v>32</v>
      </c>
      <c r="K2064" s="3">
        <f>_xlfn.XLOOKUP(tbl_main[[#This Row],[Service]],tbl_service[Service],tbl_service[Price],"")</f>
        <v>150</v>
      </c>
      <c r="L2064" s="3">
        <v>2</v>
      </c>
      <c r="M2064" s="3">
        <f>IF(AND(tbl_main[[#This Row],[Price]]="",tbl_main[[#This Row],[Qty]]=""),"",tbl_main[[#This Row],[Price]]*tbl_main[[#This Row],[Qty]])</f>
        <v>300</v>
      </c>
      <c r="N2064" s="3">
        <f>_xlfn.LET(_xlpm.x,_xlfn.XLOOKUP(tbl_main[[#This Row],[Service]],tbl_service[Service],tbl_service[Profit],""),
               IF(tbl_main[[#This Row],[Qty]]="","",_xlpm.x*tbl_main[[#This Row],[Qty]]))</f>
        <v>134</v>
      </c>
    </row>
    <row r="2065" spans="1:14" x14ac:dyDescent="0.25">
      <c r="A2065" t="s">
        <v>2107</v>
      </c>
      <c r="B2065" s="1">
        <v>46347</v>
      </c>
      <c r="C2065">
        <f>IF(tbl_main[[#This Row],[Date]]="","",YEAR(B2065))</f>
        <v>2026</v>
      </c>
      <c r="D2065" t="str">
        <f>IF(tbl_main[[#This Row],[Date]]="","",TEXT(B2065,"mmm"))</f>
        <v>Nov</v>
      </c>
      <c r="E2065" t="str">
        <f>IF(tbl_main[[#This Row],[Date]]="","",TEXT(B2065,"DDD"))</f>
        <v>Sat</v>
      </c>
      <c r="F2065" t="s">
        <v>30</v>
      </c>
      <c r="G2065" t="s">
        <v>31</v>
      </c>
      <c r="H2065" s="3" t="s">
        <v>34</v>
      </c>
      <c r="I2065" s="3" t="s">
        <v>42</v>
      </c>
      <c r="J2065" s="3" t="s">
        <v>25</v>
      </c>
      <c r="K2065" s="3">
        <f>_xlfn.XLOOKUP(tbl_main[[#This Row],[Service]],tbl_service[Service],tbl_service[Price],"")</f>
        <v>100</v>
      </c>
      <c r="L2065" s="3">
        <v>1</v>
      </c>
      <c r="M2065" s="3">
        <f>IF(AND(tbl_main[[#This Row],[Price]]="",tbl_main[[#This Row],[Qty]]=""),"",tbl_main[[#This Row],[Price]]*tbl_main[[#This Row],[Qty]])</f>
        <v>100</v>
      </c>
      <c r="N2065" s="3">
        <f>_xlfn.LET(_xlpm.x,_xlfn.XLOOKUP(tbl_main[[#This Row],[Service]],tbl_service[Service],tbl_service[Profit],""),
               IF(tbl_main[[#This Row],[Qty]]="","",_xlpm.x*tbl_main[[#This Row],[Qty]]))</f>
        <v>45</v>
      </c>
    </row>
    <row r="2066" spans="1:14" x14ac:dyDescent="0.25">
      <c r="A2066" t="s">
        <v>2108</v>
      </c>
      <c r="B2066" s="1">
        <v>46347</v>
      </c>
      <c r="C2066">
        <f>IF(tbl_main[[#This Row],[Date]]="","",YEAR(B2066))</f>
        <v>2026</v>
      </c>
      <c r="D2066" t="str">
        <f>IF(tbl_main[[#This Row],[Date]]="","",TEXT(B2066,"mmm"))</f>
        <v>Nov</v>
      </c>
      <c r="E2066" t="str">
        <f>IF(tbl_main[[#This Row],[Date]]="","",TEXT(B2066,"DDD"))</f>
        <v>Sat</v>
      </c>
      <c r="F2066" t="s">
        <v>13</v>
      </c>
      <c r="G2066" t="s">
        <v>33</v>
      </c>
      <c r="H2066" s="3" t="s">
        <v>15</v>
      </c>
      <c r="I2066" s="3" t="s">
        <v>41</v>
      </c>
      <c r="J2066" s="3" t="s">
        <v>25</v>
      </c>
      <c r="K2066" s="3">
        <f>_xlfn.XLOOKUP(tbl_main[[#This Row],[Service]],tbl_service[Service],tbl_service[Price],"")</f>
        <v>500</v>
      </c>
      <c r="L2066" s="3">
        <v>2</v>
      </c>
      <c r="M2066" s="3">
        <f>IF(AND(tbl_main[[#This Row],[Price]]="",tbl_main[[#This Row],[Qty]]=""),"",tbl_main[[#This Row],[Price]]*tbl_main[[#This Row],[Qty]])</f>
        <v>1000</v>
      </c>
      <c r="N2066" s="3">
        <f>_xlfn.LET(_xlpm.x,_xlfn.XLOOKUP(tbl_main[[#This Row],[Service]],tbl_service[Service],tbl_service[Profit],""),
               IF(tbl_main[[#This Row],[Qty]]="","",_xlpm.x*tbl_main[[#This Row],[Qty]]))</f>
        <v>450</v>
      </c>
    </row>
    <row r="2067" spans="1:14" x14ac:dyDescent="0.25">
      <c r="A2067" t="s">
        <v>2109</v>
      </c>
      <c r="B2067" s="1">
        <v>46348</v>
      </c>
      <c r="C2067">
        <f>IF(tbl_main[[#This Row],[Date]]="","",YEAR(B2067))</f>
        <v>2026</v>
      </c>
      <c r="D2067" t="str">
        <f>IF(tbl_main[[#This Row],[Date]]="","",TEXT(B2067,"mmm"))</f>
        <v>Nov</v>
      </c>
      <c r="E2067" t="str">
        <f>IF(tbl_main[[#This Row],[Date]]="","",TEXT(B2067,"DDD"))</f>
        <v>Sun</v>
      </c>
      <c r="F2067" t="s">
        <v>20</v>
      </c>
      <c r="G2067" t="s">
        <v>29</v>
      </c>
      <c r="H2067" s="3" t="s">
        <v>24</v>
      </c>
      <c r="I2067" s="3" t="s">
        <v>35</v>
      </c>
      <c r="J2067" s="3" t="s">
        <v>32</v>
      </c>
      <c r="K2067" s="3">
        <f>_xlfn.XLOOKUP(tbl_main[[#This Row],[Service]],tbl_service[Service],tbl_service[Price],"")</f>
        <v>80</v>
      </c>
      <c r="L2067" s="3">
        <v>2</v>
      </c>
      <c r="M2067" s="3">
        <f>IF(AND(tbl_main[[#This Row],[Price]]="",tbl_main[[#This Row],[Qty]]=""),"",tbl_main[[#This Row],[Price]]*tbl_main[[#This Row],[Qty]])</f>
        <v>160</v>
      </c>
      <c r="N2067" s="3">
        <f>_xlfn.LET(_xlpm.x,_xlfn.XLOOKUP(tbl_main[[#This Row],[Service]],tbl_service[Service],tbl_service[Profit],""),
               IF(tbl_main[[#This Row],[Qty]]="","",_xlpm.x*tbl_main[[#This Row],[Qty]]))</f>
        <v>72</v>
      </c>
    </row>
    <row r="2068" spans="1:14" x14ac:dyDescent="0.25">
      <c r="A2068" t="s">
        <v>2110</v>
      </c>
      <c r="B2068" s="1">
        <v>46348</v>
      </c>
      <c r="C2068">
        <f>IF(tbl_main[[#This Row],[Date]]="","",YEAR(B2068))</f>
        <v>2026</v>
      </c>
      <c r="D2068" t="str">
        <f>IF(tbl_main[[#This Row],[Date]]="","",TEXT(B2068,"mmm"))</f>
        <v>Nov</v>
      </c>
      <c r="E2068" t="str">
        <f>IF(tbl_main[[#This Row],[Date]]="","",TEXT(B2068,"DDD"))</f>
        <v>Sun</v>
      </c>
      <c r="F2068" t="s">
        <v>20</v>
      </c>
      <c r="G2068" t="s">
        <v>39</v>
      </c>
      <c r="H2068" s="3" t="s">
        <v>18</v>
      </c>
      <c r="I2068" s="3" t="s">
        <v>35</v>
      </c>
      <c r="J2068" s="3" t="s">
        <v>25</v>
      </c>
      <c r="K2068" s="3">
        <f>_xlfn.XLOOKUP(tbl_main[[#This Row],[Service]],tbl_service[Service],tbl_service[Price],"")</f>
        <v>500</v>
      </c>
      <c r="L2068" s="3">
        <v>1</v>
      </c>
      <c r="M2068" s="3">
        <f>IF(AND(tbl_main[[#This Row],[Price]]="",tbl_main[[#This Row],[Qty]]=""),"",tbl_main[[#This Row],[Price]]*tbl_main[[#This Row],[Qty]])</f>
        <v>500</v>
      </c>
      <c r="N2068" s="3">
        <f>_xlfn.LET(_xlpm.x,_xlfn.XLOOKUP(tbl_main[[#This Row],[Service]],tbl_service[Service],tbl_service[Profit],""),
               IF(tbl_main[[#This Row],[Qty]]="","",_xlpm.x*tbl_main[[#This Row],[Qty]]))</f>
        <v>157</v>
      </c>
    </row>
    <row r="2069" spans="1:14" x14ac:dyDescent="0.25">
      <c r="A2069" t="s">
        <v>2111</v>
      </c>
      <c r="B2069" s="1">
        <v>46348</v>
      </c>
      <c r="C2069">
        <f>IF(tbl_main[[#This Row],[Date]]="","",YEAR(B2069))</f>
        <v>2026</v>
      </c>
      <c r="D2069" t="str">
        <f>IF(tbl_main[[#This Row],[Date]]="","",TEXT(B2069,"mmm"))</f>
        <v>Nov</v>
      </c>
      <c r="E2069" t="str">
        <f>IF(tbl_main[[#This Row],[Date]]="","",TEXT(B2069,"DDD"))</f>
        <v>Sun</v>
      </c>
      <c r="F2069" t="s">
        <v>27</v>
      </c>
      <c r="G2069" t="s">
        <v>40</v>
      </c>
      <c r="H2069" s="3" t="s">
        <v>22</v>
      </c>
      <c r="I2069" s="3" t="s">
        <v>23</v>
      </c>
      <c r="J2069" s="3" t="s">
        <v>32</v>
      </c>
      <c r="K2069" s="3">
        <f>_xlfn.XLOOKUP(tbl_main[[#This Row],[Service]],tbl_service[Service],tbl_service[Price],"")</f>
        <v>150</v>
      </c>
      <c r="L2069" s="3">
        <v>2</v>
      </c>
      <c r="M2069" s="3">
        <f>IF(AND(tbl_main[[#This Row],[Price]]="",tbl_main[[#This Row],[Qty]]=""),"",tbl_main[[#This Row],[Price]]*tbl_main[[#This Row],[Qty]])</f>
        <v>300</v>
      </c>
      <c r="N2069" s="3">
        <f>_xlfn.LET(_xlpm.x,_xlfn.XLOOKUP(tbl_main[[#This Row],[Service]],tbl_service[Service],tbl_service[Profit],""),
               IF(tbl_main[[#This Row],[Qty]]="","",_xlpm.x*tbl_main[[#This Row],[Qty]]))</f>
        <v>134</v>
      </c>
    </row>
    <row r="2070" spans="1:14" x14ac:dyDescent="0.25">
      <c r="A2070" t="s">
        <v>2112</v>
      </c>
      <c r="B2070" s="1">
        <v>46348</v>
      </c>
      <c r="C2070">
        <f>IF(tbl_main[[#This Row],[Date]]="","",YEAR(B2070))</f>
        <v>2026</v>
      </c>
      <c r="D2070" t="str">
        <f>IF(tbl_main[[#This Row],[Date]]="","",TEXT(B2070,"mmm"))</f>
        <v>Nov</v>
      </c>
      <c r="E2070" t="str">
        <f>IF(tbl_main[[#This Row],[Date]]="","",TEXT(B2070,"DDD"))</f>
        <v>Sun</v>
      </c>
      <c r="F2070" t="s">
        <v>20</v>
      </c>
      <c r="G2070" t="s">
        <v>29</v>
      </c>
      <c r="H2070" s="3" t="s">
        <v>22</v>
      </c>
      <c r="I2070" s="3" t="s">
        <v>37</v>
      </c>
      <c r="J2070" s="3" t="s">
        <v>17</v>
      </c>
      <c r="K2070" s="3">
        <f>_xlfn.XLOOKUP(tbl_main[[#This Row],[Service]],tbl_service[Service],tbl_service[Price],"")</f>
        <v>150</v>
      </c>
      <c r="L2070" s="3">
        <v>1</v>
      </c>
      <c r="M2070" s="3">
        <f>IF(AND(tbl_main[[#This Row],[Price]]="",tbl_main[[#This Row],[Qty]]=""),"",tbl_main[[#This Row],[Price]]*tbl_main[[#This Row],[Qty]])</f>
        <v>150</v>
      </c>
      <c r="N2070" s="3">
        <f>_xlfn.LET(_xlpm.x,_xlfn.XLOOKUP(tbl_main[[#This Row],[Service]],tbl_service[Service],tbl_service[Profit],""),
               IF(tbl_main[[#This Row],[Qty]]="","",_xlpm.x*tbl_main[[#This Row],[Qty]]))</f>
        <v>67</v>
      </c>
    </row>
    <row r="2071" spans="1:14" x14ac:dyDescent="0.25">
      <c r="A2071" t="s">
        <v>2113</v>
      </c>
      <c r="B2071" s="1">
        <v>46349</v>
      </c>
      <c r="C2071">
        <f>IF(tbl_main[[#This Row],[Date]]="","",YEAR(B2071))</f>
        <v>2026</v>
      </c>
      <c r="D2071" t="str">
        <f>IF(tbl_main[[#This Row],[Date]]="","",TEXT(B2071,"mmm"))</f>
        <v>Nov</v>
      </c>
      <c r="E2071" t="str">
        <f>IF(tbl_main[[#This Row],[Date]]="","",TEXT(B2071,"DDD"))</f>
        <v>Mon</v>
      </c>
      <c r="F2071" t="s">
        <v>20</v>
      </c>
      <c r="G2071" t="s">
        <v>29</v>
      </c>
      <c r="H2071" s="3" t="s">
        <v>18</v>
      </c>
      <c r="I2071" s="3" t="s">
        <v>38</v>
      </c>
      <c r="J2071" s="3" t="s">
        <v>25</v>
      </c>
      <c r="K2071" s="3">
        <f>_xlfn.XLOOKUP(tbl_main[[#This Row],[Service]],tbl_service[Service],tbl_service[Price],"")</f>
        <v>500</v>
      </c>
      <c r="L2071" s="3">
        <v>1</v>
      </c>
      <c r="M2071" s="3">
        <f>IF(AND(tbl_main[[#This Row],[Price]]="",tbl_main[[#This Row],[Qty]]=""),"",tbl_main[[#This Row],[Price]]*tbl_main[[#This Row],[Qty]])</f>
        <v>500</v>
      </c>
      <c r="N2071" s="3">
        <f>_xlfn.LET(_xlpm.x,_xlfn.XLOOKUP(tbl_main[[#This Row],[Service]],tbl_service[Service],tbl_service[Profit],""),
               IF(tbl_main[[#This Row],[Qty]]="","",_xlpm.x*tbl_main[[#This Row],[Qty]]))</f>
        <v>157</v>
      </c>
    </row>
    <row r="2072" spans="1:14" x14ac:dyDescent="0.25">
      <c r="A2072" t="s">
        <v>2114</v>
      </c>
      <c r="B2072" s="1">
        <v>46349</v>
      </c>
      <c r="C2072">
        <f>IF(tbl_main[[#This Row],[Date]]="","",YEAR(B2072))</f>
        <v>2026</v>
      </c>
      <c r="D2072" t="str">
        <f>IF(tbl_main[[#This Row],[Date]]="","",TEXT(B2072,"mmm"))</f>
        <v>Nov</v>
      </c>
      <c r="E2072" t="str">
        <f>IF(tbl_main[[#This Row],[Date]]="","",TEXT(B2072,"DDD"))</f>
        <v>Mon</v>
      </c>
      <c r="F2072" t="s">
        <v>27</v>
      </c>
      <c r="G2072" t="s">
        <v>28</v>
      </c>
      <c r="H2072" s="3" t="s">
        <v>18</v>
      </c>
      <c r="I2072" s="3" t="s">
        <v>16</v>
      </c>
      <c r="J2072" s="3" t="s">
        <v>32</v>
      </c>
      <c r="K2072" s="3">
        <f>_xlfn.XLOOKUP(tbl_main[[#This Row],[Service]],tbl_service[Service],tbl_service[Price],"")</f>
        <v>500</v>
      </c>
      <c r="L2072" s="3">
        <v>1</v>
      </c>
      <c r="M2072" s="3">
        <f>IF(AND(tbl_main[[#This Row],[Price]]="",tbl_main[[#This Row],[Qty]]=""),"",tbl_main[[#This Row],[Price]]*tbl_main[[#This Row],[Qty]])</f>
        <v>500</v>
      </c>
      <c r="N2072" s="3">
        <f>_xlfn.LET(_xlpm.x,_xlfn.XLOOKUP(tbl_main[[#This Row],[Service]],tbl_service[Service],tbl_service[Profit],""),
               IF(tbl_main[[#This Row],[Qty]]="","",_xlpm.x*tbl_main[[#This Row],[Qty]]))</f>
        <v>157</v>
      </c>
    </row>
    <row r="2073" spans="1:14" x14ac:dyDescent="0.25">
      <c r="A2073" t="s">
        <v>2115</v>
      </c>
      <c r="B2073" s="1">
        <v>46349</v>
      </c>
      <c r="C2073">
        <f>IF(tbl_main[[#This Row],[Date]]="","",YEAR(B2073))</f>
        <v>2026</v>
      </c>
      <c r="D2073" t="str">
        <f>IF(tbl_main[[#This Row],[Date]]="","",TEXT(B2073,"mmm"))</f>
        <v>Nov</v>
      </c>
      <c r="E2073" t="str">
        <f>IF(tbl_main[[#This Row],[Date]]="","",TEXT(B2073,"DDD"))</f>
        <v>Mon</v>
      </c>
      <c r="F2073" t="s">
        <v>27</v>
      </c>
      <c r="G2073" t="s">
        <v>40</v>
      </c>
      <c r="H2073" s="3" t="s">
        <v>15</v>
      </c>
      <c r="I2073" s="3" t="s">
        <v>19</v>
      </c>
      <c r="J2073" s="3" t="s">
        <v>17</v>
      </c>
      <c r="K2073" s="3">
        <f>_xlfn.XLOOKUP(tbl_main[[#This Row],[Service]],tbl_service[Service],tbl_service[Price],"")</f>
        <v>500</v>
      </c>
      <c r="L2073" s="3">
        <v>2</v>
      </c>
      <c r="M2073" s="3">
        <f>IF(AND(tbl_main[[#This Row],[Price]]="",tbl_main[[#This Row],[Qty]]=""),"",tbl_main[[#This Row],[Price]]*tbl_main[[#This Row],[Qty]])</f>
        <v>1000</v>
      </c>
      <c r="N2073" s="3">
        <f>_xlfn.LET(_xlpm.x,_xlfn.XLOOKUP(tbl_main[[#This Row],[Service]],tbl_service[Service],tbl_service[Profit],""),
               IF(tbl_main[[#This Row],[Qty]]="","",_xlpm.x*tbl_main[[#This Row],[Qty]]))</f>
        <v>450</v>
      </c>
    </row>
    <row r="2074" spans="1:14" x14ac:dyDescent="0.25">
      <c r="A2074" t="s">
        <v>2116</v>
      </c>
      <c r="B2074" s="1">
        <v>46349</v>
      </c>
      <c r="C2074">
        <f>IF(tbl_main[[#This Row],[Date]]="","",YEAR(B2074))</f>
        <v>2026</v>
      </c>
      <c r="D2074" t="str">
        <f>IF(tbl_main[[#This Row],[Date]]="","",TEXT(B2074,"mmm"))</f>
        <v>Nov</v>
      </c>
      <c r="E2074" t="str">
        <f>IF(tbl_main[[#This Row],[Date]]="","",TEXT(B2074,"DDD"))</f>
        <v>Mon</v>
      </c>
      <c r="F2074" t="s">
        <v>30</v>
      </c>
      <c r="G2074" t="s">
        <v>36</v>
      </c>
      <c r="H2074" s="3" t="s">
        <v>15</v>
      </c>
      <c r="I2074" s="3" t="s">
        <v>19</v>
      </c>
      <c r="J2074" s="3" t="s">
        <v>32</v>
      </c>
      <c r="K2074" s="3">
        <f>_xlfn.XLOOKUP(tbl_main[[#This Row],[Service]],tbl_service[Service],tbl_service[Price],"")</f>
        <v>500</v>
      </c>
      <c r="L2074" s="3">
        <v>1</v>
      </c>
      <c r="M2074" s="3">
        <f>IF(AND(tbl_main[[#This Row],[Price]]="",tbl_main[[#This Row],[Qty]]=""),"",tbl_main[[#This Row],[Price]]*tbl_main[[#This Row],[Qty]])</f>
        <v>500</v>
      </c>
      <c r="N2074" s="3">
        <f>_xlfn.LET(_xlpm.x,_xlfn.XLOOKUP(tbl_main[[#This Row],[Service]],tbl_service[Service],tbl_service[Profit],""),
               IF(tbl_main[[#This Row],[Qty]]="","",_xlpm.x*tbl_main[[#This Row],[Qty]]))</f>
        <v>225</v>
      </c>
    </row>
    <row r="2075" spans="1:14" x14ac:dyDescent="0.25">
      <c r="A2075" t="s">
        <v>2117</v>
      </c>
      <c r="B2075" s="1">
        <v>46350</v>
      </c>
      <c r="C2075">
        <f>IF(tbl_main[[#This Row],[Date]]="","",YEAR(B2075))</f>
        <v>2026</v>
      </c>
      <c r="D2075" t="str">
        <f>IF(tbl_main[[#This Row],[Date]]="","",TEXT(B2075,"mmm"))</f>
        <v>Nov</v>
      </c>
      <c r="E2075" t="str">
        <f>IF(tbl_main[[#This Row],[Date]]="","",TEXT(B2075,"DDD"))</f>
        <v>Tue</v>
      </c>
      <c r="F2075" t="s">
        <v>30</v>
      </c>
      <c r="G2075" t="s">
        <v>36</v>
      </c>
      <c r="H2075" s="3" t="s">
        <v>26</v>
      </c>
      <c r="I2075" s="3" t="s">
        <v>19</v>
      </c>
      <c r="J2075" s="3" t="s">
        <v>32</v>
      </c>
      <c r="K2075" s="3">
        <f>_xlfn.XLOOKUP(tbl_main[[#This Row],[Service]],tbl_service[Service],tbl_service[Price],"")</f>
        <v>200</v>
      </c>
      <c r="L2075" s="3">
        <v>1</v>
      </c>
      <c r="M2075" s="3">
        <f>IF(AND(tbl_main[[#This Row],[Price]]="",tbl_main[[#This Row],[Qty]]=""),"",tbl_main[[#This Row],[Price]]*tbl_main[[#This Row],[Qty]])</f>
        <v>200</v>
      </c>
      <c r="N2075" s="3">
        <f>_xlfn.LET(_xlpm.x,_xlfn.XLOOKUP(tbl_main[[#This Row],[Service]],tbl_service[Service],tbl_service[Profit],""),
               IF(tbl_main[[#This Row],[Qty]]="","",_xlpm.x*tbl_main[[#This Row],[Qty]]))</f>
        <v>90</v>
      </c>
    </row>
    <row r="2076" spans="1:14" x14ac:dyDescent="0.25">
      <c r="A2076" t="s">
        <v>2118</v>
      </c>
      <c r="B2076" s="1">
        <v>46350</v>
      </c>
      <c r="C2076">
        <f>IF(tbl_main[[#This Row],[Date]]="","",YEAR(B2076))</f>
        <v>2026</v>
      </c>
      <c r="D2076" t="str">
        <f>IF(tbl_main[[#This Row],[Date]]="","",TEXT(B2076,"mmm"))</f>
        <v>Nov</v>
      </c>
      <c r="E2076" t="str">
        <f>IF(tbl_main[[#This Row],[Date]]="","",TEXT(B2076,"DDD"))</f>
        <v>Tue</v>
      </c>
      <c r="F2076" t="s">
        <v>13</v>
      </c>
      <c r="G2076" t="s">
        <v>33</v>
      </c>
      <c r="H2076" s="3" t="s">
        <v>15</v>
      </c>
      <c r="I2076" s="3" t="s">
        <v>19</v>
      </c>
      <c r="J2076" s="3" t="s">
        <v>25</v>
      </c>
      <c r="K2076" s="3">
        <f>_xlfn.XLOOKUP(tbl_main[[#This Row],[Service]],tbl_service[Service],tbl_service[Price],"")</f>
        <v>500</v>
      </c>
      <c r="L2076" s="3">
        <v>1</v>
      </c>
      <c r="M2076" s="3">
        <f>IF(AND(tbl_main[[#This Row],[Price]]="",tbl_main[[#This Row],[Qty]]=""),"",tbl_main[[#This Row],[Price]]*tbl_main[[#This Row],[Qty]])</f>
        <v>500</v>
      </c>
      <c r="N2076" s="3">
        <f>_xlfn.LET(_xlpm.x,_xlfn.XLOOKUP(tbl_main[[#This Row],[Service]],tbl_service[Service],tbl_service[Profit],""),
               IF(tbl_main[[#This Row],[Qty]]="","",_xlpm.x*tbl_main[[#This Row],[Qty]]))</f>
        <v>225</v>
      </c>
    </row>
    <row r="2077" spans="1:14" x14ac:dyDescent="0.25">
      <c r="A2077" t="s">
        <v>2119</v>
      </c>
      <c r="B2077" s="1">
        <v>46351</v>
      </c>
      <c r="C2077">
        <f>IF(tbl_main[[#This Row],[Date]]="","",YEAR(B2077))</f>
        <v>2026</v>
      </c>
      <c r="D2077" t="str">
        <f>IF(tbl_main[[#This Row],[Date]]="","",TEXT(B2077,"mmm"))</f>
        <v>Nov</v>
      </c>
      <c r="E2077" t="str">
        <f>IF(tbl_main[[#This Row],[Date]]="","",TEXT(B2077,"DDD"))</f>
        <v>Wed</v>
      </c>
      <c r="F2077" t="s">
        <v>13</v>
      </c>
      <c r="G2077" t="s">
        <v>33</v>
      </c>
      <c r="H2077" s="3" t="s">
        <v>26</v>
      </c>
      <c r="I2077" s="3" t="s">
        <v>19</v>
      </c>
      <c r="J2077" s="3" t="s">
        <v>17</v>
      </c>
      <c r="K2077" s="3">
        <f>_xlfn.XLOOKUP(tbl_main[[#This Row],[Service]],tbl_service[Service],tbl_service[Price],"")</f>
        <v>200</v>
      </c>
      <c r="L2077" s="3">
        <v>1</v>
      </c>
      <c r="M2077" s="3">
        <f>IF(AND(tbl_main[[#This Row],[Price]]="",tbl_main[[#This Row],[Qty]]=""),"",tbl_main[[#This Row],[Price]]*tbl_main[[#This Row],[Qty]])</f>
        <v>200</v>
      </c>
      <c r="N2077" s="3">
        <f>_xlfn.LET(_xlpm.x,_xlfn.XLOOKUP(tbl_main[[#This Row],[Service]],tbl_service[Service],tbl_service[Profit],""),
               IF(tbl_main[[#This Row],[Qty]]="","",_xlpm.x*tbl_main[[#This Row],[Qty]]))</f>
        <v>90</v>
      </c>
    </row>
    <row r="2078" spans="1:14" x14ac:dyDescent="0.25">
      <c r="A2078" t="s">
        <v>2120</v>
      </c>
      <c r="B2078" s="1">
        <v>46351</v>
      </c>
      <c r="C2078">
        <f>IF(tbl_main[[#This Row],[Date]]="","",YEAR(B2078))</f>
        <v>2026</v>
      </c>
      <c r="D2078" t="str">
        <f>IF(tbl_main[[#This Row],[Date]]="","",TEXT(B2078,"mmm"))</f>
        <v>Nov</v>
      </c>
      <c r="E2078" t="str">
        <f>IF(tbl_main[[#This Row],[Date]]="","",TEXT(B2078,"DDD"))</f>
        <v>Wed</v>
      </c>
      <c r="F2078" t="s">
        <v>27</v>
      </c>
      <c r="G2078" t="s">
        <v>40</v>
      </c>
      <c r="H2078" s="3" t="s">
        <v>24</v>
      </c>
      <c r="I2078" s="3" t="s">
        <v>19</v>
      </c>
      <c r="J2078" s="3" t="s">
        <v>25</v>
      </c>
      <c r="K2078" s="3">
        <f>_xlfn.XLOOKUP(tbl_main[[#This Row],[Service]],tbl_service[Service],tbl_service[Price],"")</f>
        <v>80</v>
      </c>
      <c r="L2078" s="3">
        <v>1</v>
      </c>
      <c r="M2078" s="3">
        <f>IF(AND(tbl_main[[#This Row],[Price]]="",tbl_main[[#This Row],[Qty]]=""),"",tbl_main[[#This Row],[Price]]*tbl_main[[#This Row],[Qty]])</f>
        <v>80</v>
      </c>
      <c r="N2078" s="3">
        <f>_xlfn.LET(_xlpm.x,_xlfn.XLOOKUP(tbl_main[[#This Row],[Service]],tbl_service[Service],tbl_service[Profit],""),
               IF(tbl_main[[#This Row],[Qty]]="","",_xlpm.x*tbl_main[[#This Row],[Qty]]))</f>
        <v>36</v>
      </c>
    </row>
    <row r="2079" spans="1:14" x14ac:dyDescent="0.25">
      <c r="A2079" t="s">
        <v>2121</v>
      </c>
      <c r="B2079" s="1">
        <v>46351</v>
      </c>
      <c r="C2079">
        <f>IF(tbl_main[[#This Row],[Date]]="","",YEAR(B2079))</f>
        <v>2026</v>
      </c>
      <c r="D2079" t="str">
        <f>IF(tbl_main[[#This Row],[Date]]="","",TEXT(B2079,"mmm"))</f>
        <v>Nov</v>
      </c>
      <c r="E2079" t="str">
        <f>IF(tbl_main[[#This Row],[Date]]="","",TEXT(B2079,"DDD"))</f>
        <v>Wed</v>
      </c>
      <c r="F2079" t="s">
        <v>13</v>
      </c>
      <c r="G2079" t="s">
        <v>33</v>
      </c>
      <c r="H2079" s="3" t="s">
        <v>22</v>
      </c>
      <c r="I2079" s="3" t="s">
        <v>19</v>
      </c>
      <c r="J2079" s="3" t="s">
        <v>25</v>
      </c>
      <c r="K2079" s="3">
        <f>_xlfn.XLOOKUP(tbl_main[[#This Row],[Service]],tbl_service[Service],tbl_service[Price],"")</f>
        <v>150</v>
      </c>
      <c r="L2079" s="3">
        <v>1</v>
      </c>
      <c r="M2079" s="3">
        <f>IF(AND(tbl_main[[#This Row],[Price]]="",tbl_main[[#This Row],[Qty]]=""),"",tbl_main[[#This Row],[Price]]*tbl_main[[#This Row],[Qty]])</f>
        <v>150</v>
      </c>
      <c r="N2079" s="3">
        <f>_xlfn.LET(_xlpm.x,_xlfn.XLOOKUP(tbl_main[[#This Row],[Service]],tbl_service[Service],tbl_service[Profit],""),
               IF(tbl_main[[#This Row],[Qty]]="","",_xlpm.x*tbl_main[[#This Row],[Qty]]))</f>
        <v>67</v>
      </c>
    </row>
    <row r="2080" spans="1:14" x14ac:dyDescent="0.25">
      <c r="A2080" t="s">
        <v>2122</v>
      </c>
      <c r="B2080" s="1">
        <v>46351</v>
      </c>
      <c r="C2080">
        <f>IF(tbl_main[[#This Row],[Date]]="","",YEAR(B2080))</f>
        <v>2026</v>
      </c>
      <c r="D2080" t="str">
        <f>IF(tbl_main[[#This Row],[Date]]="","",TEXT(B2080,"mmm"))</f>
        <v>Nov</v>
      </c>
      <c r="E2080" t="str">
        <f>IF(tbl_main[[#This Row],[Date]]="","",TEXT(B2080,"DDD"))</f>
        <v>Wed</v>
      </c>
      <c r="F2080" t="s">
        <v>27</v>
      </c>
      <c r="G2080" t="s">
        <v>28</v>
      </c>
      <c r="H2080" s="3" t="s">
        <v>34</v>
      </c>
      <c r="I2080" s="3" t="s">
        <v>19</v>
      </c>
      <c r="J2080" s="3" t="s">
        <v>17</v>
      </c>
      <c r="K2080" s="3">
        <f>_xlfn.XLOOKUP(tbl_main[[#This Row],[Service]],tbl_service[Service],tbl_service[Price],"")</f>
        <v>100</v>
      </c>
      <c r="L2080" s="3">
        <v>1</v>
      </c>
      <c r="M2080" s="3">
        <f>IF(AND(tbl_main[[#This Row],[Price]]="",tbl_main[[#This Row],[Qty]]=""),"",tbl_main[[#This Row],[Price]]*tbl_main[[#This Row],[Qty]])</f>
        <v>100</v>
      </c>
      <c r="N2080" s="3">
        <f>_xlfn.LET(_xlpm.x,_xlfn.XLOOKUP(tbl_main[[#This Row],[Service]],tbl_service[Service],tbl_service[Profit],""),
               IF(tbl_main[[#This Row],[Qty]]="","",_xlpm.x*tbl_main[[#This Row],[Qty]]))</f>
        <v>45</v>
      </c>
    </row>
    <row r="2081" spans="1:14" x14ac:dyDescent="0.25">
      <c r="A2081" t="s">
        <v>2123</v>
      </c>
      <c r="B2081" s="1">
        <v>46352</v>
      </c>
      <c r="C2081">
        <f>IF(tbl_main[[#This Row],[Date]]="","",YEAR(B2081))</f>
        <v>2026</v>
      </c>
      <c r="D2081" t="str">
        <f>IF(tbl_main[[#This Row],[Date]]="","",TEXT(B2081,"mmm"))</f>
        <v>Nov</v>
      </c>
      <c r="E2081" t="str">
        <f>IF(tbl_main[[#This Row],[Date]]="","",TEXT(B2081,"DDD"))</f>
        <v>Thu</v>
      </c>
      <c r="F2081" t="s">
        <v>30</v>
      </c>
      <c r="G2081" t="s">
        <v>36</v>
      </c>
      <c r="H2081" s="3" t="s">
        <v>22</v>
      </c>
      <c r="I2081" s="3" t="s">
        <v>19</v>
      </c>
      <c r="J2081" s="3" t="s">
        <v>17</v>
      </c>
      <c r="K2081" s="3">
        <f>_xlfn.XLOOKUP(tbl_main[[#This Row],[Service]],tbl_service[Service],tbl_service[Price],"")</f>
        <v>150</v>
      </c>
      <c r="L2081" s="3">
        <v>1</v>
      </c>
      <c r="M2081" s="3">
        <f>IF(AND(tbl_main[[#This Row],[Price]]="",tbl_main[[#This Row],[Qty]]=""),"",tbl_main[[#This Row],[Price]]*tbl_main[[#This Row],[Qty]])</f>
        <v>150</v>
      </c>
      <c r="N2081" s="3">
        <f>_xlfn.LET(_xlpm.x,_xlfn.XLOOKUP(tbl_main[[#This Row],[Service]],tbl_service[Service],tbl_service[Profit],""),
               IF(tbl_main[[#This Row],[Qty]]="","",_xlpm.x*tbl_main[[#This Row],[Qty]]))</f>
        <v>67</v>
      </c>
    </row>
    <row r="2082" spans="1:14" x14ac:dyDescent="0.25">
      <c r="A2082" t="s">
        <v>2124</v>
      </c>
      <c r="B2082" s="1">
        <v>46352</v>
      </c>
      <c r="C2082">
        <f>IF(tbl_main[[#This Row],[Date]]="","",YEAR(B2082))</f>
        <v>2026</v>
      </c>
      <c r="D2082" t="str">
        <f>IF(tbl_main[[#This Row],[Date]]="","",TEXT(B2082,"mmm"))</f>
        <v>Nov</v>
      </c>
      <c r="E2082" t="str">
        <f>IF(tbl_main[[#This Row],[Date]]="","",TEXT(B2082,"DDD"))</f>
        <v>Thu</v>
      </c>
      <c r="F2082" t="s">
        <v>30</v>
      </c>
      <c r="G2082" t="s">
        <v>36</v>
      </c>
      <c r="H2082" s="3" t="s">
        <v>26</v>
      </c>
      <c r="I2082" s="3" t="s">
        <v>19</v>
      </c>
      <c r="J2082" s="3" t="s">
        <v>17</v>
      </c>
      <c r="K2082" s="3">
        <f>_xlfn.XLOOKUP(tbl_main[[#This Row],[Service]],tbl_service[Service],tbl_service[Price],"")</f>
        <v>200</v>
      </c>
      <c r="L2082" s="3">
        <v>1</v>
      </c>
      <c r="M2082" s="3">
        <f>IF(AND(tbl_main[[#This Row],[Price]]="",tbl_main[[#This Row],[Qty]]=""),"",tbl_main[[#This Row],[Price]]*tbl_main[[#This Row],[Qty]])</f>
        <v>200</v>
      </c>
      <c r="N2082" s="3">
        <f>_xlfn.LET(_xlpm.x,_xlfn.XLOOKUP(tbl_main[[#This Row],[Service]],tbl_service[Service],tbl_service[Profit],""),
               IF(tbl_main[[#This Row],[Qty]]="","",_xlpm.x*tbl_main[[#This Row],[Qty]]))</f>
        <v>90</v>
      </c>
    </row>
    <row r="2083" spans="1:14" x14ac:dyDescent="0.25">
      <c r="A2083" t="s">
        <v>2125</v>
      </c>
      <c r="B2083" s="1">
        <v>46352</v>
      </c>
      <c r="C2083">
        <f>IF(tbl_main[[#This Row],[Date]]="","",YEAR(B2083))</f>
        <v>2026</v>
      </c>
      <c r="D2083" t="str">
        <f>IF(tbl_main[[#This Row],[Date]]="","",TEXT(B2083,"mmm"))</f>
        <v>Nov</v>
      </c>
      <c r="E2083" t="str">
        <f>IF(tbl_main[[#This Row],[Date]]="","",TEXT(B2083,"DDD"))</f>
        <v>Thu</v>
      </c>
      <c r="F2083" t="s">
        <v>30</v>
      </c>
      <c r="G2083" t="s">
        <v>36</v>
      </c>
      <c r="H2083" s="3" t="s">
        <v>24</v>
      </c>
      <c r="I2083" s="3" t="s">
        <v>19</v>
      </c>
      <c r="J2083" s="3" t="s">
        <v>17</v>
      </c>
      <c r="K2083" s="3">
        <f>_xlfn.XLOOKUP(tbl_main[[#This Row],[Service]],tbl_service[Service],tbl_service[Price],"")</f>
        <v>80</v>
      </c>
      <c r="L2083" s="3">
        <v>2</v>
      </c>
      <c r="M2083" s="3">
        <f>IF(AND(tbl_main[[#This Row],[Price]]="",tbl_main[[#This Row],[Qty]]=""),"",tbl_main[[#This Row],[Price]]*tbl_main[[#This Row],[Qty]])</f>
        <v>160</v>
      </c>
      <c r="N2083" s="3">
        <f>_xlfn.LET(_xlpm.x,_xlfn.XLOOKUP(tbl_main[[#This Row],[Service]],tbl_service[Service],tbl_service[Profit],""),
               IF(tbl_main[[#This Row],[Qty]]="","",_xlpm.x*tbl_main[[#This Row],[Qty]]))</f>
        <v>72</v>
      </c>
    </row>
    <row r="2084" spans="1:14" x14ac:dyDescent="0.25">
      <c r="A2084" t="s">
        <v>2126</v>
      </c>
      <c r="B2084" s="1">
        <v>46353</v>
      </c>
      <c r="C2084">
        <f>IF(tbl_main[[#This Row],[Date]]="","",YEAR(B2084))</f>
        <v>2026</v>
      </c>
      <c r="D2084" t="str">
        <f>IF(tbl_main[[#This Row],[Date]]="","",TEXT(B2084,"mmm"))</f>
        <v>Nov</v>
      </c>
      <c r="E2084" t="str">
        <f>IF(tbl_main[[#This Row],[Date]]="","",TEXT(B2084,"DDD"))</f>
        <v>Fri</v>
      </c>
      <c r="F2084" t="s">
        <v>13</v>
      </c>
      <c r="G2084" t="s">
        <v>33</v>
      </c>
      <c r="H2084" s="3" t="s">
        <v>22</v>
      </c>
      <c r="I2084" s="3" t="s">
        <v>19</v>
      </c>
      <c r="J2084" s="3" t="s">
        <v>32</v>
      </c>
      <c r="K2084" s="3">
        <f>_xlfn.XLOOKUP(tbl_main[[#This Row],[Service]],tbl_service[Service],tbl_service[Price],"")</f>
        <v>150</v>
      </c>
      <c r="L2084" s="3">
        <v>2</v>
      </c>
      <c r="M2084" s="3">
        <f>IF(AND(tbl_main[[#This Row],[Price]]="",tbl_main[[#This Row],[Qty]]=""),"",tbl_main[[#This Row],[Price]]*tbl_main[[#This Row],[Qty]])</f>
        <v>300</v>
      </c>
      <c r="N2084" s="3">
        <f>_xlfn.LET(_xlpm.x,_xlfn.XLOOKUP(tbl_main[[#This Row],[Service]],tbl_service[Service],tbl_service[Profit],""),
               IF(tbl_main[[#This Row],[Qty]]="","",_xlpm.x*tbl_main[[#This Row],[Qty]]))</f>
        <v>134</v>
      </c>
    </row>
    <row r="2085" spans="1:14" x14ac:dyDescent="0.25">
      <c r="A2085" t="s">
        <v>2127</v>
      </c>
      <c r="B2085" s="1">
        <v>46353</v>
      </c>
      <c r="C2085">
        <f>IF(tbl_main[[#This Row],[Date]]="","",YEAR(B2085))</f>
        <v>2026</v>
      </c>
      <c r="D2085" t="str">
        <f>IF(tbl_main[[#This Row],[Date]]="","",TEXT(B2085,"mmm"))</f>
        <v>Nov</v>
      </c>
      <c r="E2085" t="str">
        <f>IF(tbl_main[[#This Row],[Date]]="","",TEXT(B2085,"DDD"))</f>
        <v>Fri</v>
      </c>
      <c r="F2085" t="s">
        <v>27</v>
      </c>
      <c r="G2085" t="s">
        <v>40</v>
      </c>
      <c r="H2085" s="3" t="s">
        <v>15</v>
      </c>
      <c r="I2085" s="3" t="s">
        <v>19</v>
      </c>
      <c r="J2085" s="3" t="s">
        <v>17</v>
      </c>
      <c r="K2085" s="3">
        <f>_xlfn.XLOOKUP(tbl_main[[#This Row],[Service]],tbl_service[Service],tbl_service[Price],"")</f>
        <v>500</v>
      </c>
      <c r="L2085" s="3">
        <v>2</v>
      </c>
      <c r="M2085" s="3">
        <f>IF(AND(tbl_main[[#This Row],[Price]]="",tbl_main[[#This Row],[Qty]]=""),"",tbl_main[[#This Row],[Price]]*tbl_main[[#This Row],[Qty]])</f>
        <v>1000</v>
      </c>
      <c r="N2085" s="3">
        <f>_xlfn.LET(_xlpm.x,_xlfn.XLOOKUP(tbl_main[[#This Row],[Service]],tbl_service[Service],tbl_service[Profit],""),
               IF(tbl_main[[#This Row],[Qty]]="","",_xlpm.x*tbl_main[[#This Row],[Qty]]))</f>
        <v>450</v>
      </c>
    </row>
    <row r="2086" spans="1:14" x14ac:dyDescent="0.25">
      <c r="A2086" t="s">
        <v>2128</v>
      </c>
      <c r="B2086" s="1">
        <v>46354</v>
      </c>
      <c r="C2086">
        <f>IF(tbl_main[[#This Row],[Date]]="","",YEAR(B2086))</f>
        <v>2026</v>
      </c>
      <c r="D2086" t="str">
        <f>IF(tbl_main[[#This Row],[Date]]="","",TEXT(B2086,"mmm"))</f>
        <v>Nov</v>
      </c>
      <c r="E2086" t="str">
        <f>IF(tbl_main[[#This Row],[Date]]="","",TEXT(B2086,"DDD"))</f>
        <v>Sat</v>
      </c>
      <c r="F2086" t="s">
        <v>27</v>
      </c>
      <c r="G2086" t="s">
        <v>40</v>
      </c>
      <c r="H2086" s="3" t="s">
        <v>15</v>
      </c>
      <c r="I2086" s="3" t="s">
        <v>19</v>
      </c>
      <c r="J2086" s="3" t="s">
        <v>32</v>
      </c>
      <c r="K2086" s="3">
        <f>_xlfn.XLOOKUP(tbl_main[[#This Row],[Service]],tbl_service[Service],tbl_service[Price],"")</f>
        <v>500</v>
      </c>
      <c r="L2086" s="3">
        <v>1</v>
      </c>
      <c r="M2086" s="3">
        <f>IF(AND(tbl_main[[#This Row],[Price]]="",tbl_main[[#This Row],[Qty]]=""),"",tbl_main[[#This Row],[Price]]*tbl_main[[#This Row],[Qty]])</f>
        <v>500</v>
      </c>
      <c r="N2086" s="3">
        <f>_xlfn.LET(_xlpm.x,_xlfn.XLOOKUP(tbl_main[[#This Row],[Service]],tbl_service[Service],tbl_service[Profit],""),
               IF(tbl_main[[#This Row],[Qty]]="","",_xlpm.x*tbl_main[[#This Row],[Qty]]))</f>
        <v>225</v>
      </c>
    </row>
    <row r="2087" spans="1:14" x14ac:dyDescent="0.25">
      <c r="A2087" t="s">
        <v>2129</v>
      </c>
      <c r="B2087" s="1">
        <v>46354</v>
      </c>
      <c r="C2087">
        <f>IF(tbl_main[[#This Row],[Date]]="","",YEAR(B2087))</f>
        <v>2026</v>
      </c>
      <c r="D2087" t="str">
        <f>IF(tbl_main[[#This Row],[Date]]="","",TEXT(B2087,"mmm"))</f>
        <v>Nov</v>
      </c>
      <c r="E2087" t="str">
        <f>IF(tbl_main[[#This Row],[Date]]="","",TEXT(B2087,"DDD"))</f>
        <v>Sat</v>
      </c>
      <c r="F2087" t="s">
        <v>30</v>
      </c>
      <c r="G2087" t="s">
        <v>36</v>
      </c>
      <c r="H2087" s="3" t="s">
        <v>22</v>
      </c>
      <c r="I2087" s="3" t="s">
        <v>19</v>
      </c>
      <c r="J2087" s="3" t="s">
        <v>17</v>
      </c>
      <c r="K2087" s="3">
        <f>_xlfn.XLOOKUP(tbl_main[[#This Row],[Service]],tbl_service[Service],tbl_service[Price],"")</f>
        <v>150</v>
      </c>
      <c r="L2087" s="3">
        <v>1</v>
      </c>
      <c r="M2087" s="3">
        <f>IF(AND(tbl_main[[#This Row],[Price]]="",tbl_main[[#This Row],[Qty]]=""),"",tbl_main[[#This Row],[Price]]*tbl_main[[#This Row],[Qty]])</f>
        <v>150</v>
      </c>
      <c r="N2087" s="3">
        <f>_xlfn.LET(_xlpm.x,_xlfn.XLOOKUP(tbl_main[[#This Row],[Service]],tbl_service[Service],tbl_service[Profit],""),
               IF(tbl_main[[#This Row],[Qty]]="","",_xlpm.x*tbl_main[[#This Row],[Qty]]))</f>
        <v>67</v>
      </c>
    </row>
    <row r="2088" spans="1:14" x14ac:dyDescent="0.25">
      <c r="A2088" t="s">
        <v>2130</v>
      </c>
      <c r="B2088" s="1">
        <v>46355</v>
      </c>
      <c r="C2088">
        <f>IF(tbl_main[[#This Row],[Date]]="","",YEAR(B2088))</f>
        <v>2026</v>
      </c>
      <c r="D2088" t="str">
        <f>IF(tbl_main[[#This Row],[Date]]="","",TEXT(B2088,"mmm"))</f>
        <v>Nov</v>
      </c>
      <c r="E2088" t="str">
        <f>IF(tbl_main[[#This Row],[Date]]="","",TEXT(B2088,"DDD"))</f>
        <v>Sun</v>
      </c>
      <c r="F2088" t="s">
        <v>27</v>
      </c>
      <c r="G2088" t="s">
        <v>28</v>
      </c>
      <c r="H2088" s="3" t="s">
        <v>26</v>
      </c>
      <c r="I2088" s="3" t="s">
        <v>19</v>
      </c>
      <c r="J2088" s="3" t="s">
        <v>25</v>
      </c>
      <c r="K2088" s="3">
        <f>_xlfn.XLOOKUP(tbl_main[[#This Row],[Service]],tbl_service[Service],tbl_service[Price],"")</f>
        <v>200</v>
      </c>
      <c r="L2088" s="3">
        <v>1</v>
      </c>
      <c r="M2088" s="3">
        <f>IF(AND(tbl_main[[#This Row],[Price]]="",tbl_main[[#This Row],[Qty]]=""),"",tbl_main[[#This Row],[Price]]*tbl_main[[#This Row],[Qty]])</f>
        <v>200</v>
      </c>
      <c r="N2088" s="3">
        <f>_xlfn.LET(_xlpm.x,_xlfn.XLOOKUP(tbl_main[[#This Row],[Service]],tbl_service[Service],tbl_service[Profit],""),
               IF(tbl_main[[#This Row],[Qty]]="","",_xlpm.x*tbl_main[[#This Row],[Qty]]))</f>
        <v>90</v>
      </c>
    </row>
    <row r="2089" spans="1:14" x14ac:dyDescent="0.25">
      <c r="A2089" t="s">
        <v>2131</v>
      </c>
      <c r="B2089" s="1">
        <v>46355</v>
      </c>
      <c r="C2089">
        <f>IF(tbl_main[[#This Row],[Date]]="","",YEAR(B2089))</f>
        <v>2026</v>
      </c>
      <c r="D2089" t="str">
        <f>IF(tbl_main[[#This Row],[Date]]="","",TEXT(B2089,"mmm"))</f>
        <v>Nov</v>
      </c>
      <c r="E2089" t="str">
        <f>IF(tbl_main[[#This Row],[Date]]="","",TEXT(B2089,"DDD"))</f>
        <v>Sun</v>
      </c>
      <c r="F2089" t="s">
        <v>27</v>
      </c>
      <c r="G2089" t="s">
        <v>28</v>
      </c>
      <c r="H2089" s="3" t="s">
        <v>18</v>
      </c>
      <c r="I2089" s="3" t="s">
        <v>23</v>
      </c>
      <c r="J2089" s="3" t="s">
        <v>25</v>
      </c>
      <c r="K2089" s="3">
        <f>_xlfn.XLOOKUP(tbl_main[[#This Row],[Service]],tbl_service[Service],tbl_service[Price],"")</f>
        <v>500</v>
      </c>
      <c r="L2089" s="3">
        <v>2</v>
      </c>
      <c r="M2089" s="3">
        <f>IF(AND(tbl_main[[#This Row],[Price]]="",tbl_main[[#This Row],[Qty]]=""),"",tbl_main[[#This Row],[Price]]*tbl_main[[#This Row],[Qty]])</f>
        <v>1000</v>
      </c>
      <c r="N2089" s="3">
        <f>_xlfn.LET(_xlpm.x,_xlfn.XLOOKUP(tbl_main[[#This Row],[Service]],tbl_service[Service],tbl_service[Profit],""),
               IF(tbl_main[[#This Row],[Qty]]="","",_xlpm.x*tbl_main[[#This Row],[Qty]]))</f>
        <v>314</v>
      </c>
    </row>
    <row r="2090" spans="1:14" x14ac:dyDescent="0.25">
      <c r="A2090" t="s">
        <v>2132</v>
      </c>
      <c r="B2090" s="1">
        <v>46355</v>
      </c>
      <c r="C2090">
        <f>IF(tbl_main[[#This Row],[Date]]="","",YEAR(B2090))</f>
        <v>2026</v>
      </c>
      <c r="D2090" t="str">
        <f>IF(tbl_main[[#This Row],[Date]]="","",TEXT(B2090,"mmm"))</f>
        <v>Nov</v>
      </c>
      <c r="E2090" t="str">
        <f>IF(tbl_main[[#This Row],[Date]]="","",TEXT(B2090,"DDD"))</f>
        <v>Sun</v>
      </c>
      <c r="F2090" t="s">
        <v>30</v>
      </c>
      <c r="G2090" t="s">
        <v>36</v>
      </c>
      <c r="H2090" s="3" t="s">
        <v>22</v>
      </c>
      <c r="I2090" s="3" t="s">
        <v>37</v>
      </c>
      <c r="J2090" s="3" t="s">
        <v>25</v>
      </c>
      <c r="K2090" s="3">
        <f>_xlfn.XLOOKUP(tbl_main[[#This Row],[Service]],tbl_service[Service],tbl_service[Price],"")</f>
        <v>150</v>
      </c>
      <c r="L2090" s="3">
        <v>2</v>
      </c>
      <c r="M2090" s="3">
        <f>IF(AND(tbl_main[[#This Row],[Price]]="",tbl_main[[#This Row],[Qty]]=""),"",tbl_main[[#This Row],[Price]]*tbl_main[[#This Row],[Qty]])</f>
        <v>300</v>
      </c>
      <c r="N2090" s="3">
        <f>_xlfn.LET(_xlpm.x,_xlfn.XLOOKUP(tbl_main[[#This Row],[Service]],tbl_service[Service],tbl_service[Profit],""),
               IF(tbl_main[[#This Row],[Qty]]="","",_xlpm.x*tbl_main[[#This Row],[Qty]]))</f>
        <v>134</v>
      </c>
    </row>
    <row r="2091" spans="1:14" x14ac:dyDescent="0.25">
      <c r="A2091" t="s">
        <v>2133</v>
      </c>
      <c r="B2091" s="1">
        <v>46355</v>
      </c>
      <c r="C2091">
        <f>IF(tbl_main[[#This Row],[Date]]="","",YEAR(B2091))</f>
        <v>2026</v>
      </c>
      <c r="D2091" t="str">
        <f>IF(tbl_main[[#This Row],[Date]]="","",TEXT(B2091,"mmm"))</f>
        <v>Nov</v>
      </c>
      <c r="E2091" t="str">
        <f>IF(tbl_main[[#This Row],[Date]]="","",TEXT(B2091,"DDD"))</f>
        <v>Sun</v>
      </c>
      <c r="F2091" t="s">
        <v>27</v>
      </c>
      <c r="G2091" t="s">
        <v>40</v>
      </c>
      <c r="H2091" s="3" t="s">
        <v>15</v>
      </c>
      <c r="I2091" s="3" t="s">
        <v>38</v>
      </c>
      <c r="J2091" s="3" t="s">
        <v>25</v>
      </c>
      <c r="K2091" s="3">
        <f>_xlfn.XLOOKUP(tbl_main[[#This Row],[Service]],tbl_service[Service],tbl_service[Price],"")</f>
        <v>500</v>
      </c>
      <c r="L2091" s="3">
        <v>2</v>
      </c>
      <c r="M2091" s="3">
        <f>IF(AND(tbl_main[[#This Row],[Price]]="",tbl_main[[#This Row],[Qty]]=""),"",tbl_main[[#This Row],[Price]]*tbl_main[[#This Row],[Qty]])</f>
        <v>1000</v>
      </c>
      <c r="N2091" s="3">
        <f>_xlfn.LET(_xlpm.x,_xlfn.XLOOKUP(tbl_main[[#This Row],[Service]],tbl_service[Service],tbl_service[Profit],""),
               IF(tbl_main[[#This Row],[Qty]]="","",_xlpm.x*tbl_main[[#This Row],[Qty]]))</f>
        <v>450</v>
      </c>
    </row>
    <row r="2092" spans="1:14" x14ac:dyDescent="0.25">
      <c r="A2092" t="s">
        <v>2134</v>
      </c>
      <c r="B2092" s="1">
        <v>46356</v>
      </c>
      <c r="C2092">
        <f>IF(tbl_main[[#This Row],[Date]]="","",YEAR(B2092))</f>
        <v>2026</v>
      </c>
      <c r="D2092" t="str">
        <f>IF(tbl_main[[#This Row],[Date]]="","",TEXT(B2092,"mmm"))</f>
        <v>Nov</v>
      </c>
      <c r="E2092" t="str">
        <f>IF(tbl_main[[#This Row],[Date]]="","",TEXT(B2092,"DDD"))</f>
        <v>Mon</v>
      </c>
      <c r="F2092" t="s">
        <v>13</v>
      </c>
      <c r="G2092" t="s">
        <v>14</v>
      </c>
      <c r="H2092" s="3" t="s">
        <v>22</v>
      </c>
      <c r="I2092" s="3" t="s">
        <v>16</v>
      </c>
      <c r="J2092" s="3" t="s">
        <v>32</v>
      </c>
      <c r="K2092" s="3">
        <f>_xlfn.XLOOKUP(tbl_main[[#This Row],[Service]],tbl_service[Service],tbl_service[Price],"")</f>
        <v>150</v>
      </c>
      <c r="L2092" s="3">
        <v>2</v>
      </c>
      <c r="M2092" s="3">
        <f>IF(AND(tbl_main[[#This Row],[Price]]="",tbl_main[[#This Row],[Qty]]=""),"",tbl_main[[#This Row],[Price]]*tbl_main[[#This Row],[Qty]])</f>
        <v>300</v>
      </c>
      <c r="N2092" s="3">
        <f>_xlfn.LET(_xlpm.x,_xlfn.XLOOKUP(tbl_main[[#This Row],[Service]],tbl_service[Service],tbl_service[Profit],""),
               IF(tbl_main[[#This Row],[Qty]]="","",_xlpm.x*tbl_main[[#This Row],[Qty]]))</f>
        <v>134</v>
      </c>
    </row>
    <row r="2093" spans="1:14" x14ac:dyDescent="0.25">
      <c r="A2093" t="s">
        <v>2135</v>
      </c>
      <c r="B2093" s="1">
        <v>46356</v>
      </c>
      <c r="C2093">
        <f>IF(tbl_main[[#This Row],[Date]]="","",YEAR(B2093))</f>
        <v>2026</v>
      </c>
      <c r="D2093" t="str">
        <f>IF(tbl_main[[#This Row],[Date]]="","",TEXT(B2093,"mmm"))</f>
        <v>Nov</v>
      </c>
      <c r="E2093" t="str">
        <f>IF(tbl_main[[#This Row],[Date]]="","",TEXT(B2093,"DDD"))</f>
        <v>Mon</v>
      </c>
      <c r="F2093" t="s">
        <v>27</v>
      </c>
      <c r="G2093" t="s">
        <v>28</v>
      </c>
      <c r="H2093" s="3" t="s">
        <v>34</v>
      </c>
      <c r="I2093" s="3" t="s">
        <v>19</v>
      </c>
      <c r="J2093" s="3" t="s">
        <v>25</v>
      </c>
      <c r="K2093" s="3">
        <f>_xlfn.XLOOKUP(tbl_main[[#This Row],[Service]],tbl_service[Service],tbl_service[Price],"")</f>
        <v>100</v>
      </c>
      <c r="L2093" s="3">
        <v>1</v>
      </c>
      <c r="M2093" s="3">
        <f>IF(AND(tbl_main[[#This Row],[Price]]="",tbl_main[[#This Row],[Qty]]=""),"",tbl_main[[#This Row],[Price]]*tbl_main[[#This Row],[Qty]])</f>
        <v>100</v>
      </c>
      <c r="N2093" s="3">
        <f>_xlfn.LET(_xlpm.x,_xlfn.XLOOKUP(tbl_main[[#This Row],[Service]],tbl_service[Service],tbl_service[Profit],""),
               IF(tbl_main[[#This Row],[Qty]]="","",_xlpm.x*tbl_main[[#This Row],[Qty]]))</f>
        <v>45</v>
      </c>
    </row>
    <row r="2094" spans="1:14" x14ac:dyDescent="0.25">
      <c r="A2094" t="s">
        <v>2136</v>
      </c>
      <c r="B2094" s="1">
        <v>46357</v>
      </c>
      <c r="C2094">
        <f>IF(tbl_main[[#This Row],[Date]]="","",YEAR(B2094))</f>
        <v>2026</v>
      </c>
      <c r="D2094" t="str">
        <f>IF(tbl_main[[#This Row],[Date]]="","",TEXT(B2094,"mmm"))</f>
        <v>Dec</v>
      </c>
      <c r="E2094" t="str">
        <f>IF(tbl_main[[#This Row],[Date]]="","",TEXT(B2094,"DDD"))</f>
        <v>Tue</v>
      </c>
      <c r="F2094" t="s">
        <v>20</v>
      </c>
      <c r="G2094" t="s">
        <v>21</v>
      </c>
      <c r="H2094" s="3" t="s">
        <v>15</v>
      </c>
      <c r="I2094" s="3" t="s">
        <v>43</v>
      </c>
      <c r="J2094" s="3" t="s">
        <v>17</v>
      </c>
      <c r="K2094" s="3">
        <f>_xlfn.XLOOKUP(tbl_main[[#This Row],[Service]],tbl_service[Service],tbl_service[Price],"")</f>
        <v>500</v>
      </c>
      <c r="L2094" s="3">
        <v>2</v>
      </c>
      <c r="M2094" s="3">
        <f>IF(AND(tbl_main[[#This Row],[Price]]="",tbl_main[[#This Row],[Qty]]=""),"",tbl_main[[#This Row],[Price]]*tbl_main[[#This Row],[Qty]])</f>
        <v>1000</v>
      </c>
      <c r="N2094" s="3">
        <f>_xlfn.LET(_xlpm.x,_xlfn.XLOOKUP(tbl_main[[#This Row],[Service]],tbl_service[Service],tbl_service[Profit],""),
               IF(tbl_main[[#This Row],[Qty]]="","",_xlpm.x*tbl_main[[#This Row],[Qty]]))</f>
        <v>450</v>
      </c>
    </row>
    <row r="2095" spans="1:14" x14ac:dyDescent="0.25">
      <c r="A2095" t="s">
        <v>2137</v>
      </c>
      <c r="B2095" s="1">
        <v>46357</v>
      </c>
      <c r="C2095">
        <f>IF(tbl_main[[#This Row],[Date]]="","",YEAR(B2095))</f>
        <v>2026</v>
      </c>
      <c r="D2095" t="str">
        <f>IF(tbl_main[[#This Row],[Date]]="","",TEXT(B2095,"mmm"))</f>
        <v>Dec</v>
      </c>
      <c r="E2095" t="str">
        <f>IF(tbl_main[[#This Row],[Date]]="","",TEXT(B2095,"DDD"))</f>
        <v>Tue</v>
      </c>
      <c r="F2095" t="s">
        <v>13</v>
      </c>
      <c r="G2095" t="s">
        <v>33</v>
      </c>
      <c r="H2095" s="3" t="s">
        <v>26</v>
      </c>
      <c r="I2095" s="3" t="s">
        <v>42</v>
      </c>
      <c r="J2095" s="3" t="s">
        <v>25</v>
      </c>
      <c r="K2095" s="3">
        <f>_xlfn.XLOOKUP(tbl_main[[#This Row],[Service]],tbl_service[Service],tbl_service[Price],"")</f>
        <v>200</v>
      </c>
      <c r="L2095" s="3">
        <v>2</v>
      </c>
      <c r="M2095" s="3">
        <f>IF(AND(tbl_main[[#This Row],[Price]]="",tbl_main[[#This Row],[Qty]]=""),"",tbl_main[[#This Row],[Price]]*tbl_main[[#This Row],[Qty]])</f>
        <v>400</v>
      </c>
      <c r="N2095" s="3">
        <f>_xlfn.LET(_xlpm.x,_xlfn.XLOOKUP(tbl_main[[#This Row],[Service]],tbl_service[Service],tbl_service[Profit],""),
               IF(tbl_main[[#This Row],[Qty]]="","",_xlpm.x*tbl_main[[#This Row],[Qty]]))</f>
        <v>180</v>
      </c>
    </row>
    <row r="2096" spans="1:14" x14ac:dyDescent="0.25">
      <c r="A2096" t="s">
        <v>2138</v>
      </c>
      <c r="B2096" s="1">
        <v>46357</v>
      </c>
      <c r="C2096">
        <f>IF(tbl_main[[#This Row],[Date]]="","",YEAR(B2096))</f>
        <v>2026</v>
      </c>
      <c r="D2096" t="str">
        <f>IF(tbl_main[[#This Row],[Date]]="","",TEXT(B2096,"mmm"))</f>
        <v>Dec</v>
      </c>
      <c r="E2096" t="str">
        <f>IF(tbl_main[[#This Row],[Date]]="","",TEXT(B2096,"DDD"))</f>
        <v>Tue</v>
      </c>
      <c r="F2096" t="s">
        <v>27</v>
      </c>
      <c r="G2096" t="s">
        <v>28</v>
      </c>
      <c r="H2096" s="3" t="s">
        <v>24</v>
      </c>
      <c r="I2096" s="3" t="s">
        <v>41</v>
      </c>
      <c r="J2096" s="3" t="s">
        <v>32</v>
      </c>
      <c r="K2096" s="3">
        <f>_xlfn.XLOOKUP(tbl_main[[#This Row],[Service]],tbl_service[Service],tbl_service[Price],"")</f>
        <v>80</v>
      </c>
      <c r="L2096" s="3">
        <v>1</v>
      </c>
      <c r="M2096" s="3">
        <f>IF(AND(tbl_main[[#This Row],[Price]]="",tbl_main[[#This Row],[Qty]]=""),"",tbl_main[[#This Row],[Price]]*tbl_main[[#This Row],[Qty]])</f>
        <v>80</v>
      </c>
      <c r="N2096" s="3">
        <f>_xlfn.LET(_xlpm.x,_xlfn.XLOOKUP(tbl_main[[#This Row],[Service]],tbl_service[Service],tbl_service[Profit],""),
               IF(tbl_main[[#This Row],[Qty]]="","",_xlpm.x*tbl_main[[#This Row],[Qty]]))</f>
        <v>36</v>
      </c>
    </row>
    <row r="2097" spans="1:14" x14ac:dyDescent="0.25">
      <c r="A2097" t="s">
        <v>2139</v>
      </c>
      <c r="B2097" s="1">
        <v>46358</v>
      </c>
      <c r="C2097">
        <f>IF(tbl_main[[#This Row],[Date]]="","",YEAR(B2097))</f>
        <v>2026</v>
      </c>
      <c r="D2097" t="str">
        <f>IF(tbl_main[[#This Row],[Date]]="","",TEXT(B2097,"mmm"))</f>
        <v>Dec</v>
      </c>
      <c r="E2097" t="str">
        <f>IF(tbl_main[[#This Row],[Date]]="","",TEXT(B2097,"DDD"))</f>
        <v>Wed</v>
      </c>
      <c r="F2097" t="s">
        <v>27</v>
      </c>
      <c r="G2097" t="s">
        <v>40</v>
      </c>
      <c r="H2097" s="3" t="s">
        <v>22</v>
      </c>
      <c r="I2097" s="3" t="s">
        <v>35</v>
      </c>
      <c r="J2097" s="3" t="s">
        <v>25</v>
      </c>
      <c r="K2097" s="3">
        <f>_xlfn.XLOOKUP(tbl_main[[#This Row],[Service]],tbl_service[Service],tbl_service[Price],"")</f>
        <v>150</v>
      </c>
      <c r="L2097" s="3">
        <v>2</v>
      </c>
      <c r="M2097" s="3">
        <f>IF(AND(tbl_main[[#This Row],[Price]]="",tbl_main[[#This Row],[Qty]]=""),"",tbl_main[[#This Row],[Price]]*tbl_main[[#This Row],[Qty]])</f>
        <v>300</v>
      </c>
      <c r="N2097" s="3">
        <f>_xlfn.LET(_xlpm.x,_xlfn.XLOOKUP(tbl_main[[#This Row],[Service]],tbl_service[Service],tbl_service[Profit],""),
               IF(tbl_main[[#This Row],[Qty]]="","",_xlpm.x*tbl_main[[#This Row],[Qty]]))</f>
        <v>134</v>
      </c>
    </row>
    <row r="2098" spans="1:14" x14ac:dyDescent="0.25">
      <c r="A2098" t="s">
        <v>2140</v>
      </c>
      <c r="B2098" s="1">
        <v>46358</v>
      </c>
      <c r="C2098">
        <f>IF(tbl_main[[#This Row],[Date]]="","",YEAR(B2098))</f>
        <v>2026</v>
      </c>
      <c r="D2098" t="str">
        <f>IF(tbl_main[[#This Row],[Date]]="","",TEXT(B2098,"mmm"))</f>
        <v>Dec</v>
      </c>
      <c r="E2098" t="str">
        <f>IF(tbl_main[[#This Row],[Date]]="","",TEXT(B2098,"DDD"))</f>
        <v>Wed</v>
      </c>
      <c r="F2098" t="s">
        <v>30</v>
      </c>
      <c r="G2098" t="s">
        <v>36</v>
      </c>
      <c r="H2098" s="3" t="s">
        <v>22</v>
      </c>
      <c r="I2098" s="3" t="s">
        <v>35</v>
      </c>
      <c r="J2098" s="3" t="s">
        <v>25</v>
      </c>
      <c r="K2098" s="3">
        <f>_xlfn.XLOOKUP(tbl_main[[#This Row],[Service]],tbl_service[Service],tbl_service[Price],"")</f>
        <v>150</v>
      </c>
      <c r="L2098" s="3">
        <v>1</v>
      </c>
      <c r="M2098" s="3">
        <f>IF(AND(tbl_main[[#This Row],[Price]]="",tbl_main[[#This Row],[Qty]]=""),"",tbl_main[[#This Row],[Price]]*tbl_main[[#This Row],[Qty]])</f>
        <v>150</v>
      </c>
      <c r="N2098" s="3">
        <f>_xlfn.LET(_xlpm.x,_xlfn.XLOOKUP(tbl_main[[#This Row],[Service]],tbl_service[Service],tbl_service[Profit],""),
               IF(tbl_main[[#This Row],[Qty]]="","",_xlpm.x*tbl_main[[#This Row],[Qty]]))</f>
        <v>67</v>
      </c>
    </row>
    <row r="2099" spans="1:14" x14ac:dyDescent="0.25">
      <c r="A2099" t="s">
        <v>2141</v>
      </c>
      <c r="B2099" s="1">
        <v>46358</v>
      </c>
      <c r="C2099">
        <f>IF(tbl_main[[#This Row],[Date]]="","",YEAR(B2099))</f>
        <v>2026</v>
      </c>
      <c r="D2099" t="str">
        <f>IF(tbl_main[[#This Row],[Date]]="","",TEXT(B2099,"mmm"))</f>
        <v>Dec</v>
      </c>
      <c r="E2099" t="str">
        <f>IF(tbl_main[[#This Row],[Date]]="","",TEXT(B2099,"DDD"))</f>
        <v>Wed</v>
      </c>
      <c r="F2099" t="s">
        <v>20</v>
      </c>
      <c r="G2099" t="s">
        <v>21</v>
      </c>
      <c r="H2099" s="3" t="s">
        <v>15</v>
      </c>
      <c r="I2099" s="3" t="s">
        <v>23</v>
      </c>
      <c r="J2099" s="3" t="s">
        <v>17</v>
      </c>
      <c r="K2099" s="3">
        <f>_xlfn.XLOOKUP(tbl_main[[#This Row],[Service]],tbl_service[Service],tbl_service[Price],"")</f>
        <v>500</v>
      </c>
      <c r="L2099" s="3">
        <v>1</v>
      </c>
      <c r="M2099" s="3">
        <f>IF(AND(tbl_main[[#This Row],[Price]]="",tbl_main[[#This Row],[Qty]]=""),"",tbl_main[[#This Row],[Price]]*tbl_main[[#This Row],[Qty]])</f>
        <v>500</v>
      </c>
      <c r="N2099" s="3">
        <f>_xlfn.LET(_xlpm.x,_xlfn.XLOOKUP(tbl_main[[#This Row],[Service]],tbl_service[Service],tbl_service[Profit],""),
               IF(tbl_main[[#This Row],[Qty]]="","",_xlpm.x*tbl_main[[#This Row],[Qty]]))</f>
        <v>225</v>
      </c>
    </row>
    <row r="2100" spans="1:14" x14ac:dyDescent="0.25">
      <c r="A2100" t="s">
        <v>2142</v>
      </c>
      <c r="B2100" s="1">
        <v>46359</v>
      </c>
      <c r="C2100">
        <f>IF(tbl_main[[#This Row],[Date]]="","",YEAR(B2100))</f>
        <v>2026</v>
      </c>
      <c r="D2100" t="str">
        <f>IF(tbl_main[[#This Row],[Date]]="","",TEXT(B2100,"mmm"))</f>
        <v>Dec</v>
      </c>
      <c r="E2100" t="str">
        <f>IF(tbl_main[[#This Row],[Date]]="","",TEXT(B2100,"DDD"))</f>
        <v>Thu</v>
      </c>
      <c r="F2100" t="s">
        <v>27</v>
      </c>
      <c r="G2100" t="s">
        <v>40</v>
      </c>
      <c r="H2100" s="3" t="s">
        <v>34</v>
      </c>
      <c r="I2100" s="3" t="s">
        <v>37</v>
      </c>
      <c r="J2100" s="3" t="s">
        <v>25</v>
      </c>
      <c r="K2100" s="3">
        <f>_xlfn.XLOOKUP(tbl_main[[#This Row],[Service]],tbl_service[Service],tbl_service[Price],"")</f>
        <v>100</v>
      </c>
      <c r="L2100" s="3">
        <v>1</v>
      </c>
      <c r="M2100" s="3">
        <f>IF(AND(tbl_main[[#This Row],[Price]]="",tbl_main[[#This Row],[Qty]]=""),"",tbl_main[[#This Row],[Price]]*tbl_main[[#This Row],[Qty]])</f>
        <v>100</v>
      </c>
      <c r="N2100" s="3">
        <f>_xlfn.LET(_xlpm.x,_xlfn.XLOOKUP(tbl_main[[#This Row],[Service]],tbl_service[Service],tbl_service[Profit],""),
               IF(tbl_main[[#This Row],[Qty]]="","",_xlpm.x*tbl_main[[#This Row],[Qty]]))</f>
        <v>45</v>
      </c>
    </row>
    <row r="2101" spans="1:14" x14ac:dyDescent="0.25">
      <c r="A2101" t="s">
        <v>2143</v>
      </c>
      <c r="B2101" s="1">
        <v>46359</v>
      </c>
      <c r="C2101">
        <f>IF(tbl_main[[#This Row],[Date]]="","",YEAR(B2101))</f>
        <v>2026</v>
      </c>
      <c r="D2101" t="str">
        <f>IF(tbl_main[[#This Row],[Date]]="","",TEXT(B2101,"mmm"))</f>
        <v>Dec</v>
      </c>
      <c r="E2101" t="str">
        <f>IF(tbl_main[[#This Row],[Date]]="","",TEXT(B2101,"DDD"))</f>
        <v>Thu</v>
      </c>
      <c r="F2101" t="s">
        <v>30</v>
      </c>
      <c r="G2101" t="s">
        <v>31</v>
      </c>
      <c r="H2101" s="3" t="s">
        <v>22</v>
      </c>
      <c r="I2101" s="3" t="s">
        <v>38</v>
      </c>
      <c r="J2101" s="3" t="s">
        <v>17</v>
      </c>
      <c r="K2101" s="3">
        <f>_xlfn.XLOOKUP(tbl_main[[#This Row],[Service]],tbl_service[Service],tbl_service[Price],"")</f>
        <v>150</v>
      </c>
      <c r="L2101" s="3">
        <v>2</v>
      </c>
      <c r="M2101" s="3">
        <f>IF(AND(tbl_main[[#This Row],[Price]]="",tbl_main[[#This Row],[Qty]]=""),"",tbl_main[[#This Row],[Price]]*tbl_main[[#This Row],[Qty]])</f>
        <v>300</v>
      </c>
      <c r="N2101" s="3">
        <f>_xlfn.LET(_xlpm.x,_xlfn.XLOOKUP(tbl_main[[#This Row],[Service]],tbl_service[Service],tbl_service[Profit],""),
               IF(tbl_main[[#This Row],[Qty]]="","",_xlpm.x*tbl_main[[#This Row],[Qty]]))</f>
        <v>134</v>
      </c>
    </row>
    <row r="2102" spans="1:14" x14ac:dyDescent="0.25">
      <c r="A2102" t="s">
        <v>2144</v>
      </c>
      <c r="B2102" s="1">
        <v>46359</v>
      </c>
      <c r="C2102">
        <f>IF(tbl_main[[#This Row],[Date]]="","",YEAR(B2102))</f>
        <v>2026</v>
      </c>
      <c r="D2102" t="str">
        <f>IF(tbl_main[[#This Row],[Date]]="","",TEXT(B2102,"mmm"))</f>
        <v>Dec</v>
      </c>
      <c r="E2102" t="str">
        <f>IF(tbl_main[[#This Row],[Date]]="","",TEXT(B2102,"DDD"))</f>
        <v>Thu</v>
      </c>
      <c r="F2102" t="s">
        <v>30</v>
      </c>
      <c r="G2102" t="s">
        <v>36</v>
      </c>
      <c r="H2102" s="3" t="s">
        <v>22</v>
      </c>
      <c r="I2102" s="3" t="s">
        <v>16</v>
      </c>
      <c r="J2102" s="3" t="s">
        <v>25</v>
      </c>
      <c r="K2102" s="3">
        <f>_xlfn.XLOOKUP(tbl_main[[#This Row],[Service]],tbl_service[Service],tbl_service[Price],"")</f>
        <v>150</v>
      </c>
      <c r="L2102" s="3">
        <v>2</v>
      </c>
      <c r="M2102" s="3">
        <f>IF(AND(tbl_main[[#This Row],[Price]]="",tbl_main[[#This Row],[Qty]]=""),"",tbl_main[[#This Row],[Price]]*tbl_main[[#This Row],[Qty]])</f>
        <v>300</v>
      </c>
      <c r="N2102" s="3">
        <f>_xlfn.LET(_xlpm.x,_xlfn.XLOOKUP(tbl_main[[#This Row],[Service]],tbl_service[Service],tbl_service[Profit],""),
               IF(tbl_main[[#This Row],[Qty]]="","",_xlpm.x*tbl_main[[#This Row],[Qty]]))</f>
        <v>134</v>
      </c>
    </row>
    <row r="2103" spans="1:14" x14ac:dyDescent="0.25">
      <c r="A2103" t="s">
        <v>2145</v>
      </c>
      <c r="B2103" s="1">
        <v>46360</v>
      </c>
      <c r="C2103">
        <f>IF(tbl_main[[#This Row],[Date]]="","",YEAR(B2103))</f>
        <v>2026</v>
      </c>
      <c r="D2103" t="str">
        <f>IF(tbl_main[[#This Row],[Date]]="","",TEXT(B2103,"mmm"))</f>
        <v>Dec</v>
      </c>
      <c r="E2103" t="str">
        <f>IF(tbl_main[[#This Row],[Date]]="","",TEXT(B2103,"DDD"))</f>
        <v>Fri</v>
      </c>
      <c r="F2103" t="s">
        <v>27</v>
      </c>
      <c r="G2103" t="s">
        <v>28</v>
      </c>
      <c r="H2103" s="3" t="s">
        <v>22</v>
      </c>
      <c r="I2103" s="3" t="s">
        <v>19</v>
      </c>
      <c r="J2103" s="3" t="s">
        <v>25</v>
      </c>
      <c r="K2103" s="3">
        <f>_xlfn.XLOOKUP(tbl_main[[#This Row],[Service]],tbl_service[Service],tbl_service[Price],"")</f>
        <v>150</v>
      </c>
      <c r="L2103" s="3">
        <v>1</v>
      </c>
      <c r="M2103" s="3">
        <f>IF(AND(tbl_main[[#This Row],[Price]]="",tbl_main[[#This Row],[Qty]]=""),"",tbl_main[[#This Row],[Price]]*tbl_main[[#This Row],[Qty]])</f>
        <v>150</v>
      </c>
      <c r="N2103" s="3">
        <f>_xlfn.LET(_xlpm.x,_xlfn.XLOOKUP(tbl_main[[#This Row],[Service]],tbl_service[Service],tbl_service[Profit],""),
               IF(tbl_main[[#This Row],[Qty]]="","",_xlpm.x*tbl_main[[#This Row],[Qty]]))</f>
        <v>67</v>
      </c>
    </row>
    <row r="2104" spans="1:14" x14ac:dyDescent="0.25">
      <c r="A2104" t="s">
        <v>2146</v>
      </c>
      <c r="B2104" s="1">
        <v>46360</v>
      </c>
      <c r="C2104">
        <f>IF(tbl_main[[#This Row],[Date]]="","",YEAR(B2104))</f>
        <v>2026</v>
      </c>
      <c r="D2104" t="str">
        <f>IF(tbl_main[[#This Row],[Date]]="","",TEXT(B2104,"mmm"))</f>
        <v>Dec</v>
      </c>
      <c r="E2104" t="str">
        <f>IF(tbl_main[[#This Row],[Date]]="","",TEXT(B2104,"DDD"))</f>
        <v>Fri</v>
      </c>
      <c r="F2104" t="s">
        <v>20</v>
      </c>
      <c r="G2104" t="s">
        <v>29</v>
      </c>
      <c r="H2104" s="3" t="s">
        <v>26</v>
      </c>
      <c r="I2104" s="3" t="s">
        <v>43</v>
      </c>
      <c r="J2104" s="3" t="s">
        <v>25</v>
      </c>
      <c r="K2104" s="3">
        <f>_xlfn.XLOOKUP(tbl_main[[#This Row],[Service]],tbl_service[Service],tbl_service[Price],"")</f>
        <v>200</v>
      </c>
      <c r="L2104" s="3">
        <v>2</v>
      </c>
      <c r="M2104" s="3">
        <f>IF(AND(tbl_main[[#This Row],[Price]]="",tbl_main[[#This Row],[Qty]]=""),"",tbl_main[[#This Row],[Price]]*tbl_main[[#This Row],[Qty]])</f>
        <v>400</v>
      </c>
      <c r="N2104" s="3">
        <f>_xlfn.LET(_xlpm.x,_xlfn.XLOOKUP(tbl_main[[#This Row],[Service]],tbl_service[Service],tbl_service[Profit],""),
               IF(tbl_main[[#This Row],[Qty]]="","",_xlpm.x*tbl_main[[#This Row],[Qty]]))</f>
        <v>180</v>
      </c>
    </row>
    <row r="2105" spans="1:14" x14ac:dyDescent="0.25">
      <c r="A2105" t="s">
        <v>2147</v>
      </c>
      <c r="B2105" s="1">
        <v>46361</v>
      </c>
      <c r="C2105">
        <f>IF(tbl_main[[#This Row],[Date]]="","",YEAR(B2105))</f>
        <v>2026</v>
      </c>
      <c r="D2105" t="str">
        <f>IF(tbl_main[[#This Row],[Date]]="","",TEXT(B2105,"mmm"))</f>
        <v>Dec</v>
      </c>
      <c r="E2105" t="str">
        <f>IF(tbl_main[[#This Row],[Date]]="","",TEXT(B2105,"DDD"))</f>
        <v>Sat</v>
      </c>
      <c r="F2105" t="s">
        <v>30</v>
      </c>
      <c r="G2105" t="s">
        <v>36</v>
      </c>
      <c r="H2105" s="3" t="s">
        <v>22</v>
      </c>
      <c r="I2105" s="3" t="s">
        <v>42</v>
      </c>
      <c r="J2105" s="3" t="s">
        <v>17</v>
      </c>
      <c r="K2105" s="3">
        <f>_xlfn.XLOOKUP(tbl_main[[#This Row],[Service]],tbl_service[Service],tbl_service[Price],"")</f>
        <v>150</v>
      </c>
      <c r="L2105" s="3">
        <v>1</v>
      </c>
      <c r="M2105" s="3">
        <f>IF(AND(tbl_main[[#This Row],[Price]]="",tbl_main[[#This Row],[Qty]]=""),"",tbl_main[[#This Row],[Price]]*tbl_main[[#This Row],[Qty]])</f>
        <v>150</v>
      </c>
      <c r="N2105" s="3">
        <f>_xlfn.LET(_xlpm.x,_xlfn.XLOOKUP(tbl_main[[#This Row],[Service]],tbl_service[Service],tbl_service[Profit],""),
               IF(tbl_main[[#This Row],[Qty]]="","",_xlpm.x*tbl_main[[#This Row],[Qty]]))</f>
        <v>67</v>
      </c>
    </row>
    <row r="2106" spans="1:14" x14ac:dyDescent="0.25">
      <c r="A2106" t="s">
        <v>2148</v>
      </c>
      <c r="B2106" s="1">
        <v>46361</v>
      </c>
      <c r="C2106">
        <f>IF(tbl_main[[#This Row],[Date]]="","",YEAR(B2106))</f>
        <v>2026</v>
      </c>
      <c r="D2106" t="str">
        <f>IF(tbl_main[[#This Row],[Date]]="","",TEXT(B2106,"mmm"))</f>
        <v>Dec</v>
      </c>
      <c r="E2106" t="str">
        <f>IF(tbl_main[[#This Row],[Date]]="","",TEXT(B2106,"DDD"))</f>
        <v>Sat</v>
      </c>
      <c r="F2106" t="s">
        <v>13</v>
      </c>
      <c r="G2106" t="s">
        <v>33</v>
      </c>
      <c r="H2106" s="3" t="s">
        <v>15</v>
      </c>
      <c r="I2106" s="3" t="s">
        <v>41</v>
      </c>
      <c r="J2106" s="3" t="s">
        <v>17</v>
      </c>
      <c r="K2106" s="3">
        <f>_xlfn.XLOOKUP(tbl_main[[#This Row],[Service]],tbl_service[Service],tbl_service[Price],"")</f>
        <v>500</v>
      </c>
      <c r="L2106" s="3">
        <v>1</v>
      </c>
      <c r="M2106" s="3">
        <f>IF(AND(tbl_main[[#This Row],[Price]]="",tbl_main[[#This Row],[Qty]]=""),"",tbl_main[[#This Row],[Price]]*tbl_main[[#This Row],[Qty]])</f>
        <v>500</v>
      </c>
      <c r="N2106" s="3">
        <f>_xlfn.LET(_xlpm.x,_xlfn.XLOOKUP(tbl_main[[#This Row],[Service]],tbl_service[Service],tbl_service[Profit],""),
               IF(tbl_main[[#This Row],[Qty]]="","",_xlpm.x*tbl_main[[#This Row],[Qty]]))</f>
        <v>225</v>
      </c>
    </row>
    <row r="2107" spans="1:14" x14ac:dyDescent="0.25">
      <c r="A2107" t="s">
        <v>2149</v>
      </c>
      <c r="B2107" s="1">
        <v>46361</v>
      </c>
      <c r="C2107">
        <f>IF(tbl_main[[#This Row],[Date]]="","",YEAR(B2107))</f>
        <v>2026</v>
      </c>
      <c r="D2107" t="str">
        <f>IF(tbl_main[[#This Row],[Date]]="","",TEXT(B2107,"mmm"))</f>
        <v>Dec</v>
      </c>
      <c r="E2107" t="str">
        <f>IF(tbl_main[[#This Row],[Date]]="","",TEXT(B2107,"DDD"))</f>
        <v>Sat</v>
      </c>
      <c r="F2107" t="s">
        <v>27</v>
      </c>
      <c r="G2107" t="s">
        <v>40</v>
      </c>
      <c r="H2107" s="3" t="s">
        <v>22</v>
      </c>
      <c r="I2107" s="3" t="s">
        <v>35</v>
      </c>
      <c r="J2107" s="3" t="s">
        <v>32</v>
      </c>
      <c r="K2107" s="3">
        <f>_xlfn.XLOOKUP(tbl_main[[#This Row],[Service]],tbl_service[Service],tbl_service[Price],"")</f>
        <v>150</v>
      </c>
      <c r="L2107" s="3">
        <v>2</v>
      </c>
      <c r="M2107" s="3">
        <f>IF(AND(tbl_main[[#This Row],[Price]]="",tbl_main[[#This Row],[Qty]]=""),"",tbl_main[[#This Row],[Price]]*tbl_main[[#This Row],[Qty]])</f>
        <v>300</v>
      </c>
      <c r="N2107" s="3">
        <f>_xlfn.LET(_xlpm.x,_xlfn.XLOOKUP(tbl_main[[#This Row],[Service]],tbl_service[Service],tbl_service[Profit],""),
               IF(tbl_main[[#This Row],[Qty]]="","",_xlpm.x*tbl_main[[#This Row],[Qty]]))</f>
        <v>134</v>
      </c>
    </row>
    <row r="2108" spans="1:14" x14ac:dyDescent="0.25">
      <c r="A2108" t="s">
        <v>2150</v>
      </c>
      <c r="B2108" s="1">
        <v>46361</v>
      </c>
      <c r="C2108">
        <f>IF(tbl_main[[#This Row],[Date]]="","",YEAR(B2108))</f>
        <v>2026</v>
      </c>
      <c r="D2108" t="str">
        <f>IF(tbl_main[[#This Row],[Date]]="","",TEXT(B2108,"mmm"))</f>
        <v>Dec</v>
      </c>
      <c r="E2108" t="str">
        <f>IF(tbl_main[[#This Row],[Date]]="","",TEXT(B2108,"DDD"))</f>
        <v>Sat</v>
      </c>
      <c r="F2108" t="s">
        <v>27</v>
      </c>
      <c r="G2108" t="s">
        <v>28</v>
      </c>
      <c r="H2108" s="3" t="s">
        <v>18</v>
      </c>
      <c r="I2108" s="3" t="s">
        <v>35</v>
      </c>
      <c r="J2108" s="3" t="s">
        <v>32</v>
      </c>
      <c r="K2108" s="3">
        <f>_xlfn.XLOOKUP(tbl_main[[#This Row],[Service]],tbl_service[Service],tbl_service[Price],"")</f>
        <v>500</v>
      </c>
      <c r="L2108" s="3">
        <v>2</v>
      </c>
      <c r="M2108" s="3">
        <f>IF(AND(tbl_main[[#This Row],[Price]]="",tbl_main[[#This Row],[Qty]]=""),"",tbl_main[[#This Row],[Price]]*tbl_main[[#This Row],[Qty]])</f>
        <v>1000</v>
      </c>
      <c r="N2108" s="3">
        <f>_xlfn.LET(_xlpm.x,_xlfn.XLOOKUP(tbl_main[[#This Row],[Service]],tbl_service[Service],tbl_service[Profit],""),
               IF(tbl_main[[#This Row],[Qty]]="","",_xlpm.x*tbl_main[[#This Row],[Qty]]))</f>
        <v>314</v>
      </c>
    </row>
    <row r="2109" spans="1:14" x14ac:dyDescent="0.25">
      <c r="A2109" t="s">
        <v>2151</v>
      </c>
      <c r="B2109" s="1">
        <v>46362</v>
      </c>
      <c r="C2109">
        <f>IF(tbl_main[[#This Row],[Date]]="","",YEAR(B2109))</f>
        <v>2026</v>
      </c>
      <c r="D2109" t="str">
        <f>IF(tbl_main[[#This Row],[Date]]="","",TEXT(B2109,"mmm"))</f>
        <v>Dec</v>
      </c>
      <c r="E2109" t="str">
        <f>IF(tbl_main[[#This Row],[Date]]="","",TEXT(B2109,"DDD"))</f>
        <v>Sun</v>
      </c>
      <c r="F2109" t="s">
        <v>30</v>
      </c>
      <c r="G2109" t="s">
        <v>31</v>
      </c>
      <c r="H2109" s="3" t="s">
        <v>24</v>
      </c>
      <c r="I2109" s="3" t="s">
        <v>35</v>
      </c>
      <c r="J2109" s="3" t="s">
        <v>17</v>
      </c>
      <c r="K2109" s="3">
        <f>_xlfn.XLOOKUP(tbl_main[[#This Row],[Service]],tbl_service[Service],tbl_service[Price],"")</f>
        <v>80</v>
      </c>
      <c r="L2109" s="3">
        <v>1</v>
      </c>
      <c r="M2109" s="3">
        <f>IF(AND(tbl_main[[#This Row],[Price]]="",tbl_main[[#This Row],[Qty]]=""),"",tbl_main[[#This Row],[Price]]*tbl_main[[#This Row],[Qty]])</f>
        <v>80</v>
      </c>
      <c r="N2109" s="3">
        <f>_xlfn.LET(_xlpm.x,_xlfn.XLOOKUP(tbl_main[[#This Row],[Service]],tbl_service[Service],tbl_service[Profit],""),
               IF(tbl_main[[#This Row],[Qty]]="","",_xlpm.x*tbl_main[[#This Row],[Qty]]))</f>
        <v>36</v>
      </c>
    </row>
    <row r="2110" spans="1:14" x14ac:dyDescent="0.25">
      <c r="A2110" t="s">
        <v>2152</v>
      </c>
      <c r="B2110" s="1">
        <v>46362</v>
      </c>
      <c r="C2110">
        <f>IF(tbl_main[[#This Row],[Date]]="","",YEAR(B2110))</f>
        <v>2026</v>
      </c>
      <c r="D2110" t="str">
        <f>IF(tbl_main[[#This Row],[Date]]="","",TEXT(B2110,"mmm"))</f>
        <v>Dec</v>
      </c>
      <c r="E2110" t="str">
        <f>IF(tbl_main[[#This Row],[Date]]="","",TEXT(B2110,"DDD"))</f>
        <v>Sun</v>
      </c>
      <c r="F2110" t="s">
        <v>20</v>
      </c>
      <c r="G2110" t="s">
        <v>39</v>
      </c>
      <c r="H2110" s="3" t="s">
        <v>34</v>
      </c>
      <c r="I2110" s="3" t="s">
        <v>35</v>
      </c>
      <c r="J2110" s="3" t="s">
        <v>25</v>
      </c>
      <c r="K2110" s="3">
        <f>_xlfn.XLOOKUP(tbl_main[[#This Row],[Service]],tbl_service[Service],tbl_service[Price],"")</f>
        <v>100</v>
      </c>
      <c r="L2110" s="3">
        <v>2</v>
      </c>
      <c r="M2110" s="3">
        <f>IF(AND(tbl_main[[#This Row],[Price]]="",tbl_main[[#This Row],[Qty]]=""),"",tbl_main[[#This Row],[Price]]*tbl_main[[#This Row],[Qty]])</f>
        <v>200</v>
      </c>
      <c r="N2110" s="3">
        <f>_xlfn.LET(_xlpm.x,_xlfn.XLOOKUP(tbl_main[[#This Row],[Service]],tbl_service[Service],tbl_service[Profit],""),
               IF(tbl_main[[#This Row],[Qty]]="","",_xlpm.x*tbl_main[[#This Row],[Qty]]))</f>
        <v>90</v>
      </c>
    </row>
    <row r="2111" spans="1:14" x14ac:dyDescent="0.25">
      <c r="A2111" t="s">
        <v>2153</v>
      </c>
      <c r="B2111" s="1">
        <v>46362</v>
      </c>
      <c r="C2111">
        <f>IF(tbl_main[[#This Row],[Date]]="","",YEAR(B2111))</f>
        <v>2026</v>
      </c>
      <c r="D2111" t="str">
        <f>IF(tbl_main[[#This Row],[Date]]="","",TEXT(B2111,"mmm"))</f>
        <v>Dec</v>
      </c>
      <c r="E2111" t="str">
        <f>IF(tbl_main[[#This Row],[Date]]="","",TEXT(B2111,"DDD"))</f>
        <v>Sun</v>
      </c>
      <c r="F2111" t="s">
        <v>30</v>
      </c>
      <c r="G2111" t="s">
        <v>36</v>
      </c>
      <c r="H2111" s="3" t="s">
        <v>24</v>
      </c>
      <c r="I2111" s="3" t="s">
        <v>35</v>
      </c>
      <c r="J2111" s="3" t="s">
        <v>17</v>
      </c>
      <c r="K2111" s="3">
        <f>_xlfn.XLOOKUP(tbl_main[[#This Row],[Service]],tbl_service[Service],tbl_service[Price],"")</f>
        <v>80</v>
      </c>
      <c r="L2111" s="3">
        <v>2</v>
      </c>
      <c r="M2111" s="3">
        <f>IF(AND(tbl_main[[#This Row],[Price]]="",tbl_main[[#This Row],[Qty]]=""),"",tbl_main[[#This Row],[Price]]*tbl_main[[#This Row],[Qty]])</f>
        <v>160</v>
      </c>
      <c r="N2111" s="3">
        <f>_xlfn.LET(_xlpm.x,_xlfn.XLOOKUP(tbl_main[[#This Row],[Service]],tbl_service[Service],tbl_service[Profit],""),
               IF(tbl_main[[#This Row],[Qty]]="","",_xlpm.x*tbl_main[[#This Row],[Qty]]))</f>
        <v>72</v>
      </c>
    </row>
    <row r="2112" spans="1:14" x14ac:dyDescent="0.25">
      <c r="A2112" t="s">
        <v>2154</v>
      </c>
      <c r="B2112" s="1">
        <v>46363</v>
      </c>
      <c r="C2112">
        <f>IF(tbl_main[[#This Row],[Date]]="","",YEAR(B2112))</f>
        <v>2026</v>
      </c>
      <c r="D2112" t="str">
        <f>IF(tbl_main[[#This Row],[Date]]="","",TEXT(B2112,"mmm"))</f>
        <v>Dec</v>
      </c>
      <c r="E2112" t="str">
        <f>IF(tbl_main[[#This Row],[Date]]="","",TEXT(B2112,"DDD"))</f>
        <v>Mon</v>
      </c>
      <c r="F2112" t="s">
        <v>30</v>
      </c>
      <c r="G2112" t="s">
        <v>36</v>
      </c>
      <c r="H2112" s="3" t="s">
        <v>15</v>
      </c>
      <c r="I2112" s="3" t="s">
        <v>35</v>
      </c>
      <c r="J2112" s="3" t="s">
        <v>25</v>
      </c>
      <c r="K2112" s="3">
        <f>_xlfn.XLOOKUP(tbl_main[[#This Row],[Service]],tbl_service[Service],tbl_service[Price],"")</f>
        <v>500</v>
      </c>
      <c r="L2112" s="3">
        <v>1</v>
      </c>
      <c r="M2112" s="3">
        <f>IF(AND(tbl_main[[#This Row],[Price]]="",tbl_main[[#This Row],[Qty]]=""),"",tbl_main[[#This Row],[Price]]*tbl_main[[#This Row],[Qty]])</f>
        <v>500</v>
      </c>
      <c r="N2112" s="3">
        <f>_xlfn.LET(_xlpm.x,_xlfn.XLOOKUP(tbl_main[[#This Row],[Service]],tbl_service[Service],tbl_service[Profit],""),
               IF(tbl_main[[#This Row],[Qty]]="","",_xlpm.x*tbl_main[[#This Row],[Qty]]))</f>
        <v>225</v>
      </c>
    </row>
    <row r="2113" spans="1:14" x14ac:dyDescent="0.25">
      <c r="A2113" t="s">
        <v>2155</v>
      </c>
      <c r="B2113" s="1">
        <v>46363</v>
      </c>
      <c r="C2113">
        <f>IF(tbl_main[[#This Row],[Date]]="","",YEAR(B2113))</f>
        <v>2026</v>
      </c>
      <c r="D2113" t="str">
        <f>IF(tbl_main[[#This Row],[Date]]="","",TEXT(B2113,"mmm"))</f>
        <v>Dec</v>
      </c>
      <c r="E2113" t="str">
        <f>IF(tbl_main[[#This Row],[Date]]="","",TEXT(B2113,"DDD"))</f>
        <v>Mon</v>
      </c>
      <c r="F2113" t="s">
        <v>20</v>
      </c>
      <c r="G2113" t="s">
        <v>39</v>
      </c>
      <c r="H2113" s="3" t="s">
        <v>15</v>
      </c>
      <c r="I2113" s="3" t="s">
        <v>35</v>
      </c>
      <c r="J2113" s="3" t="s">
        <v>17</v>
      </c>
      <c r="K2113" s="3">
        <f>_xlfn.XLOOKUP(tbl_main[[#This Row],[Service]],tbl_service[Service],tbl_service[Price],"")</f>
        <v>500</v>
      </c>
      <c r="L2113" s="3">
        <v>2</v>
      </c>
      <c r="M2113" s="3">
        <f>IF(AND(tbl_main[[#This Row],[Price]]="",tbl_main[[#This Row],[Qty]]=""),"",tbl_main[[#This Row],[Price]]*tbl_main[[#This Row],[Qty]])</f>
        <v>1000</v>
      </c>
      <c r="N2113" s="3">
        <f>_xlfn.LET(_xlpm.x,_xlfn.XLOOKUP(tbl_main[[#This Row],[Service]],tbl_service[Service],tbl_service[Profit],""),
               IF(tbl_main[[#This Row],[Qty]]="","",_xlpm.x*tbl_main[[#This Row],[Qty]]))</f>
        <v>450</v>
      </c>
    </row>
    <row r="2114" spans="1:14" x14ac:dyDescent="0.25">
      <c r="A2114" t="s">
        <v>2156</v>
      </c>
      <c r="B2114" s="1">
        <v>46363</v>
      </c>
      <c r="C2114">
        <f>IF(tbl_main[[#This Row],[Date]]="","",YEAR(B2114))</f>
        <v>2026</v>
      </c>
      <c r="D2114" t="str">
        <f>IF(tbl_main[[#This Row],[Date]]="","",TEXT(B2114,"mmm"))</f>
        <v>Dec</v>
      </c>
      <c r="E2114" t="str">
        <f>IF(tbl_main[[#This Row],[Date]]="","",TEXT(B2114,"DDD"))</f>
        <v>Mon</v>
      </c>
      <c r="F2114" t="s">
        <v>13</v>
      </c>
      <c r="G2114" t="s">
        <v>33</v>
      </c>
      <c r="H2114" s="3" t="s">
        <v>15</v>
      </c>
      <c r="I2114" s="3" t="s">
        <v>35</v>
      </c>
      <c r="J2114" s="3" t="s">
        <v>32</v>
      </c>
      <c r="K2114" s="3">
        <f>_xlfn.XLOOKUP(tbl_main[[#This Row],[Service]],tbl_service[Service],tbl_service[Price],"")</f>
        <v>500</v>
      </c>
      <c r="L2114" s="3">
        <v>2</v>
      </c>
      <c r="M2114" s="3">
        <f>IF(AND(tbl_main[[#This Row],[Price]]="",tbl_main[[#This Row],[Qty]]=""),"",tbl_main[[#This Row],[Price]]*tbl_main[[#This Row],[Qty]])</f>
        <v>1000</v>
      </c>
      <c r="N2114" s="3">
        <f>_xlfn.LET(_xlpm.x,_xlfn.XLOOKUP(tbl_main[[#This Row],[Service]],tbl_service[Service],tbl_service[Profit],""),
               IF(tbl_main[[#This Row],[Qty]]="","",_xlpm.x*tbl_main[[#This Row],[Qty]]))</f>
        <v>450</v>
      </c>
    </row>
    <row r="2115" spans="1:14" x14ac:dyDescent="0.25">
      <c r="A2115" t="s">
        <v>2157</v>
      </c>
      <c r="B2115" s="1">
        <v>46363</v>
      </c>
      <c r="C2115">
        <f>IF(tbl_main[[#This Row],[Date]]="","",YEAR(B2115))</f>
        <v>2026</v>
      </c>
      <c r="D2115" t="str">
        <f>IF(tbl_main[[#This Row],[Date]]="","",TEXT(B2115,"mmm"))</f>
        <v>Dec</v>
      </c>
      <c r="E2115" t="str">
        <f>IF(tbl_main[[#This Row],[Date]]="","",TEXT(B2115,"DDD"))</f>
        <v>Mon</v>
      </c>
      <c r="F2115" t="s">
        <v>30</v>
      </c>
      <c r="G2115" t="s">
        <v>31</v>
      </c>
      <c r="H2115" s="3" t="s">
        <v>22</v>
      </c>
      <c r="I2115" s="3" t="s">
        <v>35</v>
      </c>
      <c r="J2115" s="3" t="s">
        <v>17</v>
      </c>
      <c r="K2115" s="3">
        <f>_xlfn.XLOOKUP(tbl_main[[#This Row],[Service]],tbl_service[Service],tbl_service[Price],"")</f>
        <v>150</v>
      </c>
      <c r="L2115" s="3">
        <v>2</v>
      </c>
      <c r="M2115" s="3">
        <f>IF(AND(tbl_main[[#This Row],[Price]]="",tbl_main[[#This Row],[Qty]]=""),"",tbl_main[[#This Row],[Price]]*tbl_main[[#This Row],[Qty]])</f>
        <v>300</v>
      </c>
      <c r="N2115" s="3">
        <f>_xlfn.LET(_xlpm.x,_xlfn.XLOOKUP(tbl_main[[#This Row],[Service]],tbl_service[Service],tbl_service[Profit],""),
               IF(tbl_main[[#This Row],[Qty]]="","",_xlpm.x*tbl_main[[#This Row],[Qty]]))</f>
        <v>134</v>
      </c>
    </row>
    <row r="2116" spans="1:14" x14ac:dyDescent="0.25">
      <c r="A2116" t="s">
        <v>2158</v>
      </c>
      <c r="B2116" s="1">
        <v>46364</v>
      </c>
      <c r="C2116">
        <f>IF(tbl_main[[#This Row],[Date]]="","",YEAR(B2116))</f>
        <v>2026</v>
      </c>
      <c r="D2116" t="str">
        <f>IF(tbl_main[[#This Row],[Date]]="","",TEXT(B2116,"mmm"))</f>
        <v>Dec</v>
      </c>
      <c r="E2116" t="str">
        <f>IF(tbl_main[[#This Row],[Date]]="","",TEXT(B2116,"DDD"))</f>
        <v>Tue</v>
      </c>
      <c r="F2116" t="s">
        <v>20</v>
      </c>
      <c r="G2116" t="s">
        <v>39</v>
      </c>
      <c r="H2116" s="3" t="s">
        <v>24</v>
      </c>
      <c r="I2116" s="3" t="s">
        <v>35</v>
      </c>
      <c r="J2116" s="3" t="s">
        <v>32</v>
      </c>
      <c r="K2116" s="3">
        <f>_xlfn.XLOOKUP(tbl_main[[#This Row],[Service]],tbl_service[Service],tbl_service[Price],"")</f>
        <v>80</v>
      </c>
      <c r="L2116" s="3">
        <v>2</v>
      </c>
      <c r="M2116" s="3">
        <f>IF(AND(tbl_main[[#This Row],[Price]]="",tbl_main[[#This Row],[Qty]]=""),"",tbl_main[[#This Row],[Price]]*tbl_main[[#This Row],[Qty]])</f>
        <v>160</v>
      </c>
      <c r="N2116" s="3">
        <f>_xlfn.LET(_xlpm.x,_xlfn.XLOOKUP(tbl_main[[#This Row],[Service]],tbl_service[Service],tbl_service[Profit],""),
               IF(tbl_main[[#This Row],[Qty]]="","",_xlpm.x*tbl_main[[#This Row],[Qty]]))</f>
        <v>72</v>
      </c>
    </row>
    <row r="2117" spans="1:14" x14ac:dyDescent="0.25">
      <c r="A2117" t="s">
        <v>2159</v>
      </c>
      <c r="B2117" s="1">
        <v>46364</v>
      </c>
      <c r="C2117">
        <f>IF(tbl_main[[#This Row],[Date]]="","",YEAR(B2117))</f>
        <v>2026</v>
      </c>
      <c r="D2117" t="str">
        <f>IF(tbl_main[[#This Row],[Date]]="","",TEXT(B2117,"mmm"))</f>
        <v>Dec</v>
      </c>
      <c r="E2117" t="str">
        <f>IF(tbl_main[[#This Row],[Date]]="","",TEXT(B2117,"DDD"))</f>
        <v>Tue</v>
      </c>
      <c r="F2117" t="s">
        <v>30</v>
      </c>
      <c r="G2117" t="s">
        <v>31</v>
      </c>
      <c r="H2117" s="3" t="s">
        <v>26</v>
      </c>
      <c r="I2117" s="3" t="s">
        <v>35</v>
      </c>
      <c r="J2117" s="3" t="s">
        <v>17</v>
      </c>
      <c r="K2117" s="3">
        <f>_xlfn.XLOOKUP(tbl_main[[#This Row],[Service]],tbl_service[Service],tbl_service[Price],"")</f>
        <v>200</v>
      </c>
      <c r="L2117" s="3">
        <v>2</v>
      </c>
      <c r="M2117" s="3">
        <f>IF(AND(tbl_main[[#This Row],[Price]]="",tbl_main[[#This Row],[Qty]]=""),"",tbl_main[[#This Row],[Price]]*tbl_main[[#This Row],[Qty]])</f>
        <v>400</v>
      </c>
      <c r="N2117" s="3">
        <f>_xlfn.LET(_xlpm.x,_xlfn.XLOOKUP(tbl_main[[#This Row],[Service]],tbl_service[Service],tbl_service[Profit],""),
               IF(tbl_main[[#This Row],[Qty]]="","",_xlpm.x*tbl_main[[#This Row],[Qty]]))</f>
        <v>180</v>
      </c>
    </row>
    <row r="2118" spans="1:14" x14ac:dyDescent="0.25">
      <c r="A2118" t="s">
        <v>2160</v>
      </c>
      <c r="B2118" s="1">
        <v>46364</v>
      </c>
      <c r="C2118">
        <f>IF(tbl_main[[#This Row],[Date]]="","",YEAR(B2118))</f>
        <v>2026</v>
      </c>
      <c r="D2118" t="str">
        <f>IF(tbl_main[[#This Row],[Date]]="","",TEXT(B2118,"mmm"))</f>
        <v>Dec</v>
      </c>
      <c r="E2118" t="str">
        <f>IF(tbl_main[[#This Row],[Date]]="","",TEXT(B2118,"DDD"))</f>
        <v>Tue</v>
      </c>
      <c r="F2118" t="s">
        <v>30</v>
      </c>
      <c r="G2118" t="s">
        <v>36</v>
      </c>
      <c r="H2118" s="3" t="s">
        <v>15</v>
      </c>
      <c r="I2118" s="3" t="s">
        <v>35</v>
      </c>
      <c r="J2118" s="3" t="s">
        <v>32</v>
      </c>
      <c r="K2118" s="3">
        <f>_xlfn.XLOOKUP(tbl_main[[#This Row],[Service]],tbl_service[Service],tbl_service[Price],"")</f>
        <v>500</v>
      </c>
      <c r="L2118" s="3">
        <v>2</v>
      </c>
      <c r="M2118" s="3">
        <f>IF(AND(tbl_main[[#This Row],[Price]]="",tbl_main[[#This Row],[Qty]]=""),"",tbl_main[[#This Row],[Price]]*tbl_main[[#This Row],[Qty]])</f>
        <v>1000</v>
      </c>
      <c r="N2118" s="3">
        <f>_xlfn.LET(_xlpm.x,_xlfn.XLOOKUP(tbl_main[[#This Row],[Service]],tbl_service[Service],tbl_service[Profit],""),
               IF(tbl_main[[#This Row],[Qty]]="","",_xlpm.x*tbl_main[[#This Row],[Qty]]))</f>
        <v>450</v>
      </c>
    </row>
    <row r="2119" spans="1:14" x14ac:dyDescent="0.25">
      <c r="A2119" t="s">
        <v>2161</v>
      </c>
      <c r="B2119" s="1">
        <v>46365</v>
      </c>
      <c r="C2119">
        <f>IF(tbl_main[[#This Row],[Date]]="","",YEAR(B2119))</f>
        <v>2026</v>
      </c>
      <c r="D2119" t="str">
        <f>IF(tbl_main[[#This Row],[Date]]="","",TEXT(B2119,"mmm"))</f>
        <v>Dec</v>
      </c>
      <c r="E2119" t="str">
        <f>IF(tbl_main[[#This Row],[Date]]="","",TEXT(B2119,"DDD"))</f>
        <v>Wed</v>
      </c>
      <c r="F2119" t="s">
        <v>27</v>
      </c>
      <c r="G2119" t="s">
        <v>40</v>
      </c>
      <c r="H2119" s="3" t="s">
        <v>22</v>
      </c>
      <c r="I2119" s="3" t="s">
        <v>35</v>
      </c>
      <c r="J2119" s="3" t="s">
        <v>25</v>
      </c>
      <c r="K2119" s="3">
        <f>_xlfn.XLOOKUP(tbl_main[[#This Row],[Service]],tbl_service[Service],tbl_service[Price],"")</f>
        <v>150</v>
      </c>
      <c r="L2119" s="3">
        <v>1</v>
      </c>
      <c r="M2119" s="3">
        <f>IF(AND(tbl_main[[#This Row],[Price]]="",tbl_main[[#This Row],[Qty]]=""),"",tbl_main[[#This Row],[Price]]*tbl_main[[#This Row],[Qty]])</f>
        <v>150</v>
      </c>
      <c r="N2119" s="3">
        <f>_xlfn.LET(_xlpm.x,_xlfn.XLOOKUP(tbl_main[[#This Row],[Service]],tbl_service[Service],tbl_service[Profit],""),
               IF(tbl_main[[#This Row],[Qty]]="","",_xlpm.x*tbl_main[[#This Row],[Qty]]))</f>
        <v>67</v>
      </c>
    </row>
    <row r="2120" spans="1:14" x14ac:dyDescent="0.25">
      <c r="A2120" t="s">
        <v>2162</v>
      </c>
      <c r="B2120" s="1">
        <v>46365</v>
      </c>
      <c r="C2120">
        <f>IF(tbl_main[[#This Row],[Date]]="","",YEAR(B2120))</f>
        <v>2026</v>
      </c>
      <c r="D2120" t="str">
        <f>IF(tbl_main[[#This Row],[Date]]="","",TEXT(B2120,"mmm"))</f>
        <v>Dec</v>
      </c>
      <c r="E2120" t="str">
        <f>IF(tbl_main[[#This Row],[Date]]="","",TEXT(B2120,"DDD"))</f>
        <v>Wed</v>
      </c>
      <c r="F2120" t="s">
        <v>13</v>
      </c>
      <c r="G2120" t="s">
        <v>14</v>
      </c>
      <c r="H2120" s="3" t="s">
        <v>15</v>
      </c>
      <c r="I2120" s="3" t="s">
        <v>35</v>
      </c>
      <c r="J2120" s="3" t="s">
        <v>17</v>
      </c>
      <c r="K2120" s="3">
        <f>_xlfn.XLOOKUP(tbl_main[[#This Row],[Service]],tbl_service[Service],tbl_service[Price],"")</f>
        <v>500</v>
      </c>
      <c r="L2120" s="3">
        <v>1</v>
      </c>
      <c r="M2120" s="3">
        <f>IF(AND(tbl_main[[#This Row],[Price]]="",tbl_main[[#This Row],[Qty]]=""),"",tbl_main[[#This Row],[Price]]*tbl_main[[#This Row],[Qty]])</f>
        <v>500</v>
      </c>
      <c r="N2120" s="3">
        <f>_xlfn.LET(_xlpm.x,_xlfn.XLOOKUP(tbl_main[[#This Row],[Service]],tbl_service[Service],tbl_service[Profit],""),
               IF(tbl_main[[#This Row],[Qty]]="","",_xlpm.x*tbl_main[[#This Row],[Qty]]))</f>
        <v>225</v>
      </c>
    </row>
    <row r="2121" spans="1:14" x14ac:dyDescent="0.25">
      <c r="A2121" t="s">
        <v>2163</v>
      </c>
      <c r="B2121" s="1">
        <v>46365</v>
      </c>
      <c r="C2121">
        <f>IF(tbl_main[[#This Row],[Date]]="","",YEAR(B2121))</f>
        <v>2026</v>
      </c>
      <c r="D2121" t="str">
        <f>IF(tbl_main[[#This Row],[Date]]="","",TEXT(B2121,"mmm"))</f>
        <v>Dec</v>
      </c>
      <c r="E2121" t="str">
        <f>IF(tbl_main[[#This Row],[Date]]="","",TEXT(B2121,"DDD"))</f>
        <v>Wed</v>
      </c>
      <c r="F2121" t="s">
        <v>20</v>
      </c>
      <c r="G2121" t="s">
        <v>29</v>
      </c>
      <c r="H2121" s="3" t="s">
        <v>15</v>
      </c>
      <c r="I2121" s="3" t="s">
        <v>38</v>
      </c>
      <c r="J2121" s="3" t="s">
        <v>17</v>
      </c>
      <c r="K2121" s="3">
        <f>_xlfn.XLOOKUP(tbl_main[[#This Row],[Service]],tbl_service[Service],tbl_service[Price],"")</f>
        <v>500</v>
      </c>
      <c r="L2121" s="3">
        <v>1</v>
      </c>
      <c r="M2121" s="3">
        <f>IF(AND(tbl_main[[#This Row],[Price]]="",tbl_main[[#This Row],[Qty]]=""),"",tbl_main[[#This Row],[Price]]*tbl_main[[#This Row],[Qty]])</f>
        <v>500</v>
      </c>
      <c r="N2121" s="3">
        <f>_xlfn.LET(_xlpm.x,_xlfn.XLOOKUP(tbl_main[[#This Row],[Service]],tbl_service[Service],tbl_service[Profit],""),
               IF(tbl_main[[#This Row],[Qty]]="","",_xlpm.x*tbl_main[[#This Row],[Qty]]))</f>
        <v>225</v>
      </c>
    </row>
    <row r="2122" spans="1:14" x14ac:dyDescent="0.25">
      <c r="A2122" t="s">
        <v>2164</v>
      </c>
      <c r="B2122" s="1">
        <v>46366</v>
      </c>
      <c r="C2122">
        <f>IF(tbl_main[[#This Row],[Date]]="","",YEAR(B2122))</f>
        <v>2026</v>
      </c>
      <c r="D2122" t="str">
        <f>IF(tbl_main[[#This Row],[Date]]="","",TEXT(B2122,"mmm"))</f>
        <v>Dec</v>
      </c>
      <c r="E2122" t="str">
        <f>IF(tbl_main[[#This Row],[Date]]="","",TEXT(B2122,"DDD"))</f>
        <v>Thu</v>
      </c>
      <c r="F2122" t="s">
        <v>13</v>
      </c>
      <c r="G2122" t="s">
        <v>14</v>
      </c>
      <c r="H2122" s="3" t="s">
        <v>15</v>
      </c>
      <c r="I2122" s="3" t="s">
        <v>16</v>
      </c>
      <c r="J2122" s="3" t="s">
        <v>32</v>
      </c>
      <c r="K2122" s="3">
        <f>_xlfn.XLOOKUP(tbl_main[[#This Row],[Service]],tbl_service[Service],tbl_service[Price],"")</f>
        <v>500</v>
      </c>
      <c r="L2122" s="3">
        <v>1</v>
      </c>
      <c r="M2122" s="3">
        <f>IF(AND(tbl_main[[#This Row],[Price]]="",tbl_main[[#This Row],[Qty]]=""),"",tbl_main[[#This Row],[Price]]*tbl_main[[#This Row],[Qty]])</f>
        <v>500</v>
      </c>
      <c r="N2122" s="3">
        <f>_xlfn.LET(_xlpm.x,_xlfn.XLOOKUP(tbl_main[[#This Row],[Service]],tbl_service[Service],tbl_service[Profit],""),
               IF(tbl_main[[#This Row],[Qty]]="","",_xlpm.x*tbl_main[[#This Row],[Qty]]))</f>
        <v>225</v>
      </c>
    </row>
    <row r="2123" spans="1:14" x14ac:dyDescent="0.25">
      <c r="A2123" t="s">
        <v>2165</v>
      </c>
      <c r="B2123" s="1">
        <v>46366</v>
      </c>
      <c r="C2123">
        <f>IF(tbl_main[[#This Row],[Date]]="","",YEAR(B2123))</f>
        <v>2026</v>
      </c>
      <c r="D2123" t="str">
        <f>IF(tbl_main[[#This Row],[Date]]="","",TEXT(B2123,"mmm"))</f>
        <v>Dec</v>
      </c>
      <c r="E2123" t="str">
        <f>IF(tbl_main[[#This Row],[Date]]="","",TEXT(B2123,"DDD"))</f>
        <v>Thu</v>
      </c>
      <c r="F2123" t="s">
        <v>30</v>
      </c>
      <c r="G2123" t="s">
        <v>36</v>
      </c>
      <c r="H2123" s="3" t="s">
        <v>24</v>
      </c>
      <c r="I2123" s="3" t="s">
        <v>19</v>
      </c>
      <c r="J2123" s="3" t="s">
        <v>32</v>
      </c>
      <c r="K2123" s="3">
        <f>_xlfn.XLOOKUP(tbl_main[[#This Row],[Service]],tbl_service[Service],tbl_service[Price],"")</f>
        <v>80</v>
      </c>
      <c r="L2123" s="3">
        <v>2</v>
      </c>
      <c r="M2123" s="3">
        <f>IF(AND(tbl_main[[#This Row],[Price]]="",tbl_main[[#This Row],[Qty]]=""),"",tbl_main[[#This Row],[Price]]*tbl_main[[#This Row],[Qty]])</f>
        <v>160</v>
      </c>
      <c r="N2123" s="3">
        <f>_xlfn.LET(_xlpm.x,_xlfn.XLOOKUP(tbl_main[[#This Row],[Service]],tbl_service[Service],tbl_service[Profit],""),
               IF(tbl_main[[#This Row],[Qty]]="","",_xlpm.x*tbl_main[[#This Row],[Qty]]))</f>
        <v>72</v>
      </c>
    </row>
    <row r="2124" spans="1:14" x14ac:dyDescent="0.25">
      <c r="A2124" t="s">
        <v>2166</v>
      </c>
      <c r="B2124" s="1">
        <v>46366</v>
      </c>
      <c r="C2124">
        <f>IF(tbl_main[[#This Row],[Date]]="","",YEAR(B2124))</f>
        <v>2026</v>
      </c>
      <c r="D2124" t="str">
        <f>IF(tbl_main[[#This Row],[Date]]="","",TEXT(B2124,"mmm"))</f>
        <v>Dec</v>
      </c>
      <c r="E2124" t="str">
        <f>IF(tbl_main[[#This Row],[Date]]="","",TEXT(B2124,"DDD"))</f>
        <v>Thu</v>
      </c>
      <c r="F2124" t="s">
        <v>27</v>
      </c>
      <c r="G2124" t="s">
        <v>40</v>
      </c>
      <c r="H2124" s="3" t="s">
        <v>22</v>
      </c>
      <c r="I2124" s="3" t="s">
        <v>43</v>
      </c>
      <c r="J2124" s="3" t="s">
        <v>32</v>
      </c>
      <c r="K2124" s="3">
        <f>_xlfn.XLOOKUP(tbl_main[[#This Row],[Service]],tbl_service[Service],tbl_service[Price],"")</f>
        <v>150</v>
      </c>
      <c r="L2124" s="3">
        <v>1</v>
      </c>
      <c r="M2124" s="3">
        <f>IF(AND(tbl_main[[#This Row],[Price]]="",tbl_main[[#This Row],[Qty]]=""),"",tbl_main[[#This Row],[Price]]*tbl_main[[#This Row],[Qty]])</f>
        <v>150</v>
      </c>
      <c r="N2124" s="3">
        <f>_xlfn.LET(_xlpm.x,_xlfn.XLOOKUP(tbl_main[[#This Row],[Service]],tbl_service[Service],tbl_service[Profit],""),
               IF(tbl_main[[#This Row],[Qty]]="","",_xlpm.x*tbl_main[[#This Row],[Qty]]))</f>
        <v>67</v>
      </c>
    </row>
    <row r="2125" spans="1:14" x14ac:dyDescent="0.25">
      <c r="A2125" t="s">
        <v>2167</v>
      </c>
      <c r="B2125" s="1">
        <v>46366</v>
      </c>
      <c r="C2125">
        <f>IF(tbl_main[[#This Row],[Date]]="","",YEAR(B2125))</f>
        <v>2026</v>
      </c>
      <c r="D2125" t="str">
        <f>IF(tbl_main[[#This Row],[Date]]="","",TEXT(B2125,"mmm"))</f>
        <v>Dec</v>
      </c>
      <c r="E2125" t="str">
        <f>IF(tbl_main[[#This Row],[Date]]="","",TEXT(B2125,"DDD"))</f>
        <v>Thu</v>
      </c>
      <c r="F2125" t="s">
        <v>20</v>
      </c>
      <c r="G2125" t="s">
        <v>29</v>
      </c>
      <c r="H2125" s="3" t="s">
        <v>34</v>
      </c>
      <c r="I2125" s="3" t="s">
        <v>42</v>
      </c>
      <c r="J2125" s="3" t="s">
        <v>32</v>
      </c>
      <c r="K2125" s="3">
        <f>_xlfn.XLOOKUP(tbl_main[[#This Row],[Service]],tbl_service[Service],tbl_service[Price],"")</f>
        <v>100</v>
      </c>
      <c r="L2125" s="3">
        <v>1</v>
      </c>
      <c r="M2125" s="3">
        <f>IF(AND(tbl_main[[#This Row],[Price]]="",tbl_main[[#This Row],[Qty]]=""),"",tbl_main[[#This Row],[Price]]*tbl_main[[#This Row],[Qty]])</f>
        <v>100</v>
      </c>
      <c r="N2125" s="3">
        <f>_xlfn.LET(_xlpm.x,_xlfn.XLOOKUP(tbl_main[[#This Row],[Service]],tbl_service[Service],tbl_service[Profit],""),
               IF(tbl_main[[#This Row],[Qty]]="","",_xlpm.x*tbl_main[[#This Row],[Qty]]))</f>
        <v>45</v>
      </c>
    </row>
    <row r="2126" spans="1:14" x14ac:dyDescent="0.25">
      <c r="A2126" t="s">
        <v>2168</v>
      </c>
      <c r="B2126" s="1">
        <v>46367</v>
      </c>
      <c r="C2126">
        <f>IF(tbl_main[[#This Row],[Date]]="","",YEAR(B2126))</f>
        <v>2026</v>
      </c>
      <c r="D2126" t="str">
        <f>IF(tbl_main[[#This Row],[Date]]="","",TEXT(B2126,"mmm"))</f>
        <v>Dec</v>
      </c>
      <c r="E2126" t="str">
        <f>IF(tbl_main[[#This Row],[Date]]="","",TEXT(B2126,"DDD"))</f>
        <v>Fri</v>
      </c>
      <c r="F2126" t="s">
        <v>30</v>
      </c>
      <c r="G2126" t="s">
        <v>31</v>
      </c>
      <c r="H2126" s="3" t="s">
        <v>18</v>
      </c>
      <c r="I2126" s="3" t="s">
        <v>41</v>
      </c>
      <c r="J2126" s="3" t="s">
        <v>32</v>
      </c>
      <c r="K2126" s="3">
        <f>_xlfn.XLOOKUP(tbl_main[[#This Row],[Service]],tbl_service[Service],tbl_service[Price],"")</f>
        <v>500</v>
      </c>
      <c r="L2126" s="3">
        <v>2</v>
      </c>
      <c r="M2126" s="3">
        <f>IF(AND(tbl_main[[#This Row],[Price]]="",tbl_main[[#This Row],[Qty]]=""),"",tbl_main[[#This Row],[Price]]*tbl_main[[#This Row],[Qty]])</f>
        <v>1000</v>
      </c>
      <c r="N2126" s="3">
        <f>_xlfn.LET(_xlpm.x,_xlfn.XLOOKUP(tbl_main[[#This Row],[Service]],tbl_service[Service],tbl_service[Profit],""),
               IF(tbl_main[[#This Row],[Qty]]="","",_xlpm.x*tbl_main[[#This Row],[Qty]]))</f>
        <v>314</v>
      </c>
    </row>
    <row r="2127" spans="1:14" x14ac:dyDescent="0.25">
      <c r="A2127" t="s">
        <v>2169</v>
      </c>
      <c r="B2127" s="1">
        <v>46367</v>
      </c>
      <c r="C2127">
        <f>IF(tbl_main[[#This Row],[Date]]="","",YEAR(B2127))</f>
        <v>2026</v>
      </c>
      <c r="D2127" t="str">
        <f>IF(tbl_main[[#This Row],[Date]]="","",TEXT(B2127,"mmm"))</f>
        <v>Dec</v>
      </c>
      <c r="E2127" t="str">
        <f>IF(tbl_main[[#This Row],[Date]]="","",TEXT(B2127,"DDD"))</f>
        <v>Fri</v>
      </c>
      <c r="F2127" t="s">
        <v>20</v>
      </c>
      <c r="G2127" t="s">
        <v>21</v>
      </c>
      <c r="H2127" s="3" t="s">
        <v>22</v>
      </c>
      <c r="I2127" s="3" t="s">
        <v>35</v>
      </c>
      <c r="J2127" s="3" t="s">
        <v>32</v>
      </c>
      <c r="K2127" s="3">
        <f>_xlfn.XLOOKUP(tbl_main[[#This Row],[Service]],tbl_service[Service],tbl_service[Price],"")</f>
        <v>150</v>
      </c>
      <c r="L2127" s="3">
        <v>1</v>
      </c>
      <c r="M2127" s="3">
        <f>IF(AND(tbl_main[[#This Row],[Price]]="",tbl_main[[#This Row],[Qty]]=""),"",tbl_main[[#This Row],[Price]]*tbl_main[[#This Row],[Qty]])</f>
        <v>150</v>
      </c>
      <c r="N2127" s="3">
        <f>_xlfn.LET(_xlpm.x,_xlfn.XLOOKUP(tbl_main[[#This Row],[Service]],tbl_service[Service],tbl_service[Profit],""),
               IF(tbl_main[[#This Row],[Qty]]="","",_xlpm.x*tbl_main[[#This Row],[Qty]]))</f>
        <v>67</v>
      </c>
    </row>
    <row r="2128" spans="1:14" x14ac:dyDescent="0.25">
      <c r="A2128" t="s">
        <v>2170</v>
      </c>
      <c r="B2128" s="1">
        <v>46367</v>
      </c>
      <c r="C2128">
        <f>IF(tbl_main[[#This Row],[Date]]="","",YEAR(B2128))</f>
        <v>2026</v>
      </c>
      <c r="D2128" t="str">
        <f>IF(tbl_main[[#This Row],[Date]]="","",TEXT(B2128,"mmm"))</f>
        <v>Dec</v>
      </c>
      <c r="E2128" t="str">
        <f>IF(tbl_main[[#This Row],[Date]]="","",TEXT(B2128,"DDD"))</f>
        <v>Fri</v>
      </c>
      <c r="F2128" t="s">
        <v>27</v>
      </c>
      <c r="G2128" t="s">
        <v>40</v>
      </c>
      <c r="H2128" s="3" t="s">
        <v>18</v>
      </c>
      <c r="I2128" s="3" t="s">
        <v>35</v>
      </c>
      <c r="J2128" s="3" t="s">
        <v>17</v>
      </c>
      <c r="K2128" s="3">
        <f>_xlfn.XLOOKUP(tbl_main[[#This Row],[Service]],tbl_service[Service],tbl_service[Price],"")</f>
        <v>500</v>
      </c>
      <c r="L2128" s="3">
        <v>1</v>
      </c>
      <c r="M2128" s="3">
        <f>IF(AND(tbl_main[[#This Row],[Price]]="",tbl_main[[#This Row],[Qty]]=""),"",tbl_main[[#This Row],[Price]]*tbl_main[[#This Row],[Qty]])</f>
        <v>500</v>
      </c>
      <c r="N2128" s="3">
        <f>_xlfn.LET(_xlpm.x,_xlfn.XLOOKUP(tbl_main[[#This Row],[Service]],tbl_service[Service],tbl_service[Profit],""),
               IF(tbl_main[[#This Row],[Qty]]="","",_xlpm.x*tbl_main[[#This Row],[Qty]]))</f>
        <v>157</v>
      </c>
    </row>
    <row r="2129" spans="1:14" x14ac:dyDescent="0.25">
      <c r="A2129" t="s">
        <v>2171</v>
      </c>
      <c r="B2129" s="1">
        <v>46367</v>
      </c>
      <c r="C2129">
        <f>IF(tbl_main[[#This Row],[Date]]="","",YEAR(B2129))</f>
        <v>2026</v>
      </c>
      <c r="D2129" t="str">
        <f>IF(tbl_main[[#This Row],[Date]]="","",TEXT(B2129,"mmm"))</f>
        <v>Dec</v>
      </c>
      <c r="E2129" t="str">
        <f>IF(tbl_main[[#This Row],[Date]]="","",TEXT(B2129,"DDD"))</f>
        <v>Fri</v>
      </c>
      <c r="F2129" t="s">
        <v>20</v>
      </c>
      <c r="G2129" t="s">
        <v>39</v>
      </c>
      <c r="H2129" s="3" t="s">
        <v>26</v>
      </c>
      <c r="I2129" s="3" t="s">
        <v>23</v>
      </c>
      <c r="J2129" s="3" t="s">
        <v>32</v>
      </c>
      <c r="K2129" s="3">
        <f>_xlfn.XLOOKUP(tbl_main[[#This Row],[Service]],tbl_service[Service],tbl_service[Price],"")</f>
        <v>200</v>
      </c>
      <c r="L2129" s="3">
        <v>2</v>
      </c>
      <c r="M2129" s="3">
        <f>IF(AND(tbl_main[[#This Row],[Price]]="",tbl_main[[#This Row],[Qty]]=""),"",tbl_main[[#This Row],[Price]]*tbl_main[[#This Row],[Qty]])</f>
        <v>400</v>
      </c>
      <c r="N2129" s="3">
        <f>_xlfn.LET(_xlpm.x,_xlfn.XLOOKUP(tbl_main[[#This Row],[Service]],tbl_service[Service],tbl_service[Profit],""),
               IF(tbl_main[[#This Row],[Qty]]="","",_xlpm.x*tbl_main[[#This Row],[Qty]]))</f>
        <v>180</v>
      </c>
    </row>
    <row r="2130" spans="1:14" x14ac:dyDescent="0.25">
      <c r="A2130" t="s">
        <v>2172</v>
      </c>
      <c r="B2130" s="1">
        <v>46368</v>
      </c>
      <c r="C2130">
        <f>IF(tbl_main[[#This Row],[Date]]="","",YEAR(B2130))</f>
        <v>2026</v>
      </c>
      <c r="D2130" t="str">
        <f>IF(tbl_main[[#This Row],[Date]]="","",TEXT(B2130,"mmm"))</f>
        <v>Dec</v>
      </c>
      <c r="E2130" t="str">
        <f>IF(tbl_main[[#This Row],[Date]]="","",TEXT(B2130,"DDD"))</f>
        <v>Sat</v>
      </c>
      <c r="F2130" t="s">
        <v>13</v>
      </c>
      <c r="G2130" t="s">
        <v>33</v>
      </c>
      <c r="H2130" s="3" t="s">
        <v>24</v>
      </c>
      <c r="I2130" s="3" t="s">
        <v>37</v>
      </c>
      <c r="J2130" s="3" t="s">
        <v>32</v>
      </c>
      <c r="K2130" s="3">
        <f>_xlfn.XLOOKUP(tbl_main[[#This Row],[Service]],tbl_service[Service],tbl_service[Price],"")</f>
        <v>80</v>
      </c>
      <c r="L2130" s="3">
        <v>1</v>
      </c>
      <c r="M2130" s="3">
        <f>IF(AND(tbl_main[[#This Row],[Price]]="",tbl_main[[#This Row],[Qty]]=""),"",tbl_main[[#This Row],[Price]]*tbl_main[[#This Row],[Qty]])</f>
        <v>80</v>
      </c>
      <c r="N2130" s="3">
        <f>_xlfn.LET(_xlpm.x,_xlfn.XLOOKUP(tbl_main[[#This Row],[Service]],tbl_service[Service],tbl_service[Profit],""),
               IF(tbl_main[[#This Row],[Qty]]="","",_xlpm.x*tbl_main[[#This Row],[Qty]]))</f>
        <v>36</v>
      </c>
    </row>
    <row r="2131" spans="1:14" x14ac:dyDescent="0.25">
      <c r="A2131" t="s">
        <v>2173</v>
      </c>
      <c r="B2131" s="1">
        <v>46368</v>
      </c>
      <c r="C2131">
        <f>IF(tbl_main[[#This Row],[Date]]="","",YEAR(B2131))</f>
        <v>2026</v>
      </c>
      <c r="D2131" t="str">
        <f>IF(tbl_main[[#This Row],[Date]]="","",TEXT(B2131,"mmm"))</f>
        <v>Dec</v>
      </c>
      <c r="E2131" t="str">
        <f>IF(tbl_main[[#This Row],[Date]]="","",TEXT(B2131,"DDD"))</f>
        <v>Sat</v>
      </c>
      <c r="F2131" t="s">
        <v>13</v>
      </c>
      <c r="G2131" t="s">
        <v>14</v>
      </c>
      <c r="H2131" s="3" t="s">
        <v>18</v>
      </c>
      <c r="I2131" s="3" t="s">
        <v>38</v>
      </c>
      <c r="J2131" s="3" t="s">
        <v>25</v>
      </c>
      <c r="K2131" s="3">
        <f>_xlfn.XLOOKUP(tbl_main[[#This Row],[Service]],tbl_service[Service],tbl_service[Price],"")</f>
        <v>500</v>
      </c>
      <c r="L2131" s="3">
        <v>1</v>
      </c>
      <c r="M2131" s="3">
        <f>IF(AND(tbl_main[[#This Row],[Price]]="",tbl_main[[#This Row],[Qty]]=""),"",tbl_main[[#This Row],[Price]]*tbl_main[[#This Row],[Qty]])</f>
        <v>500</v>
      </c>
      <c r="N2131" s="3">
        <f>_xlfn.LET(_xlpm.x,_xlfn.XLOOKUP(tbl_main[[#This Row],[Service]],tbl_service[Service],tbl_service[Profit],""),
               IF(tbl_main[[#This Row],[Qty]]="","",_xlpm.x*tbl_main[[#This Row],[Qty]]))</f>
        <v>157</v>
      </c>
    </row>
    <row r="2132" spans="1:14" x14ac:dyDescent="0.25">
      <c r="A2132" t="s">
        <v>2174</v>
      </c>
      <c r="B2132" s="1">
        <v>46368</v>
      </c>
      <c r="C2132">
        <f>IF(tbl_main[[#This Row],[Date]]="","",YEAR(B2132))</f>
        <v>2026</v>
      </c>
      <c r="D2132" t="str">
        <f>IF(tbl_main[[#This Row],[Date]]="","",TEXT(B2132,"mmm"))</f>
        <v>Dec</v>
      </c>
      <c r="E2132" t="str">
        <f>IF(tbl_main[[#This Row],[Date]]="","",TEXT(B2132,"DDD"))</f>
        <v>Sat</v>
      </c>
      <c r="F2132" t="s">
        <v>20</v>
      </c>
      <c r="G2132" t="s">
        <v>21</v>
      </c>
      <c r="H2132" s="3" t="s">
        <v>15</v>
      </c>
      <c r="I2132" s="3" t="s">
        <v>16</v>
      </c>
      <c r="J2132" s="3" t="s">
        <v>17</v>
      </c>
      <c r="K2132" s="3">
        <f>_xlfn.XLOOKUP(tbl_main[[#This Row],[Service]],tbl_service[Service],tbl_service[Price],"")</f>
        <v>500</v>
      </c>
      <c r="L2132" s="3">
        <v>1</v>
      </c>
      <c r="M2132" s="3">
        <f>IF(AND(tbl_main[[#This Row],[Price]]="",tbl_main[[#This Row],[Qty]]=""),"",tbl_main[[#This Row],[Price]]*tbl_main[[#This Row],[Qty]])</f>
        <v>500</v>
      </c>
      <c r="N2132" s="3">
        <f>_xlfn.LET(_xlpm.x,_xlfn.XLOOKUP(tbl_main[[#This Row],[Service]],tbl_service[Service],tbl_service[Profit],""),
               IF(tbl_main[[#This Row],[Qty]]="","",_xlpm.x*tbl_main[[#This Row],[Qty]]))</f>
        <v>225</v>
      </c>
    </row>
    <row r="2133" spans="1:14" x14ac:dyDescent="0.25">
      <c r="A2133" t="s">
        <v>2175</v>
      </c>
      <c r="B2133" s="1">
        <v>46369</v>
      </c>
      <c r="C2133">
        <f>IF(tbl_main[[#This Row],[Date]]="","",YEAR(B2133))</f>
        <v>2026</v>
      </c>
      <c r="D2133" t="str">
        <f>IF(tbl_main[[#This Row],[Date]]="","",TEXT(B2133,"mmm"))</f>
        <v>Dec</v>
      </c>
      <c r="E2133" t="str">
        <f>IF(tbl_main[[#This Row],[Date]]="","",TEXT(B2133,"DDD"))</f>
        <v>Sun</v>
      </c>
      <c r="F2133" t="s">
        <v>20</v>
      </c>
      <c r="G2133" t="s">
        <v>39</v>
      </c>
      <c r="H2133" s="3" t="s">
        <v>24</v>
      </c>
      <c r="I2133" s="3" t="s">
        <v>19</v>
      </c>
      <c r="J2133" s="3" t="s">
        <v>17</v>
      </c>
      <c r="K2133" s="3">
        <f>_xlfn.XLOOKUP(tbl_main[[#This Row],[Service]],tbl_service[Service],tbl_service[Price],"")</f>
        <v>80</v>
      </c>
      <c r="L2133" s="3">
        <v>2</v>
      </c>
      <c r="M2133" s="3">
        <f>IF(AND(tbl_main[[#This Row],[Price]]="",tbl_main[[#This Row],[Qty]]=""),"",tbl_main[[#This Row],[Price]]*tbl_main[[#This Row],[Qty]])</f>
        <v>160</v>
      </c>
      <c r="N2133" s="3">
        <f>_xlfn.LET(_xlpm.x,_xlfn.XLOOKUP(tbl_main[[#This Row],[Service]],tbl_service[Service],tbl_service[Profit],""),
               IF(tbl_main[[#This Row],[Qty]]="","",_xlpm.x*tbl_main[[#This Row],[Qty]]))</f>
        <v>72</v>
      </c>
    </row>
    <row r="2134" spans="1:14" x14ac:dyDescent="0.25">
      <c r="A2134" t="s">
        <v>2176</v>
      </c>
      <c r="B2134" s="1">
        <v>46369</v>
      </c>
      <c r="C2134">
        <f>IF(tbl_main[[#This Row],[Date]]="","",YEAR(B2134))</f>
        <v>2026</v>
      </c>
      <c r="D2134" t="str">
        <f>IF(tbl_main[[#This Row],[Date]]="","",TEXT(B2134,"mmm"))</f>
        <v>Dec</v>
      </c>
      <c r="E2134" t="str">
        <f>IF(tbl_main[[#This Row],[Date]]="","",TEXT(B2134,"DDD"))</f>
        <v>Sun</v>
      </c>
      <c r="F2134" t="s">
        <v>13</v>
      </c>
      <c r="G2134" t="s">
        <v>33</v>
      </c>
      <c r="H2134" s="3" t="s">
        <v>26</v>
      </c>
      <c r="I2134" s="3" t="s">
        <v>43</v>
      </c>
      <c r="J2134" s="3" t="s">
        <v>32</v>
      </c>
      <c r="K2134" s="3">
        <f>_xlfn.XLOOKUP(tbl_main[[#This Row],[Service]],tbl_service[Service],tbl_service[Price],"")</f>
        <v>200</v>
      </c>
      <c r="L2134" s="3">
        <v>2</v>
      </c>
      <c r="M2134" s="3">
        <f>IF(AND(tbl_main[[#This Row],[Price]]="",tbl_main[[#This Row],[Qty]]=""),"",tbl_main[[#This Row],[Price]]*tbl_main[[#This Row],[Qty]])</f>
        <v>400</v>
      </c>
      <c r="N2134" s="3">
        <f>_xlfn.LET(_xlpm.x,_xlfn.XLOOKUP(tbl_main[[#This Row],[Service]],tbl_service[Service],tbl_service[Profit],""),
               IF(tbl_main[[#This Row],[Qty]]="","",_xlpm.x*tbl_main[[#This Row],[Qty]]))</f>
        <v>180</v>
      </c>
    </row>
    <row r="2135" spans="1:14" x14ac:dyDescent="0.25">
      <c r="A2135" t="s">
        <v>2177</v>
      </c>
      <c r="B2135" s="1">
        <v>46369</v>
      </c>
      <c r="C2135">
        <f>IF(tbl_main[[#This Row],[Date]]="","",YEAR(B2135))</f>
        <v>2026</v>
      </c>
      <c r="D2135" t="str">
        <f>IF(tbl_main[[#This Row],[Date]]="","",TEXT(B2135,"mmm"))</f>
        <v>Dec</v>
      </c>
      <c r="E2135" t="str">
        <f>IF(tbl_main[[#This Row],[Date]]="","",TEXT(B2135,"DDD"))</f>
        <v>Sun</v>
      </c>
      <c r="F2135" t="s">
        <v>30</v>
      </c>
      <c r="G2135" t="s">
        <v>36</v>
      </c>
      <c r="H2135" s="3" t="s">
        <v>22</v>
      </c>
      <c r="I2135" s="3" t="s">
        <v>42</v>
      </c>
      <c r="J2135" s="3" t="s">
        <v>32</v>
      </c>
      <c r="K2135" s="3">
        <f>_xlfn.XLOOKUP(tbl_main[[#This Row],[Service]],tbl_service[Service],tbl_service[Price],"")</f>
        <v>150</v>
      </c>
      <c r="L2135" s="3">
        <v>2</v>
      </c>
      <c r="M2135" s="3">
        <f>IF(AND(tbl_main[[#This Row],[Price]]="",tbl_main[[#This Row],[Qty]]=""),"",tbl_main[[#This Row],[Price]]*tbl_main[[#This Row],[Qty]])</f>
        <v>300</v>
      </c>
      <c r="N2135" s="3">
        <f>_xlfn.LET(_xlpm.x,_xlfn.XLOOKUP(tbl_main[[#This Row],[Service]],tbl_service[Service],tbl_service[Profit],""),
               IF(tbl_main[[#This Row],[Qty]]="","",_xlpm.x*tbl_main[[#This Row],[Qty]]))</f>
        <v>134</v>
      </c>
    </row>
    <row r="2136" spans="1:14" x14ac:dyDescent="0.25">
      <c r="A2136" t="s">
        <v>2178</v>
      </c>
      <c r="B2136" s="1">
        <v>46369</v>
      </c>
      <c r="C2136">
        <f>IF(tbl_main[[#This Row],[Date]]="","",YEAR(B2136))</f>
        <v>2026</v>
      </c>
      <c r="D2136" t="str">
        <f>IF(tbl_main[[#This Row],[Date]]="","",TEXT(B2136,"mmm"))</f>
        <v>Dec</v>
      </c>
      <c r="E2136" t="str">
        <f>IF(tbl_main[[#This Row],[Date]]="","",TEXT(B2136,"DDD"))</f>
        <v>Sun</v>
      </c>
      <c r="F2136" t="s">
        <v>20</v>
      </c>
      <c r="G2136" t="s">
        <v>39</v>
      </c>
      <c r="H2136" s="3" t="s">
        <v>18</v>
      </c>
      <c r="I2136" s="3" t="s">
        <v>41</v>
      </c>
      <c r="J2136" s="3" t="s">
        <v>17</v>
      </c>
      <c r="K2136" s="3">
        <f>_xlfn.XLOOKUP(tbl_main[[#This Row],[Service]],tbl_service[Service],tbl_service[Price],"")</f>
        <v>500</v>
      </c>
      <c r="L2136" s="3">
        <v>2</v>
      </c>
      <c r="M2136" s="3">
        <f>IF(AND(tbl_main[[#This Row],[Price]]="",tbl_main[[#This Row],[Qty]]=""),"",tbl_main[[#This Row],[Price]]*tbl_main[[#This Row],[Qty]])</f>
        <v>1000</v>
      </c>
      <c r="N2136" s="3">
        <f>_xlfn.LET(_xlpm.x,_xlfn.XLOOKUP(tbl_main[[#This Row],[Service]],tbl_service[Service],tbl_service[Profit],""),
               IF(tbl_main[[#This Row],[Qty]]="","",_xlpm.x*tbl_main[[#This Row],[Qty]]))</f>
        <v>314</v>
      </c>
    </row>
    <row r="2137" spans="1:14" x14ac:dyDescent="0.25">
      <c r="A2137" t="s">
        <v>2179</v>
      </c>
      <c r="B2137" s="1">
        <v>46370</v>
      </c>
      <c r="C2137">
        <f>IF(tbl_main[[#This Row],[Date]]="","",YEAR(B2137))</f>
        <v>2026</v>
      </c>
      <c r="D2137" t="str">
        <f>IF(tbl_main[[#This Row],[Date]]="","",TEXT(B2137,"mmm"))</f>
        <v>Dec</v>
      </c>
      <c r="E2137" t="str">
        <f>IF(tbl_main[[#This Row],[Date]]="","",TEXT(B2137,"DDD"))</f>
        <v>Mon</v>
      </c>
      <c r="F2137" t="s">
        <v>30</v>
      </c>
      <c r="G2137" t="s">
        <v>36</v>
      </c>
      <c r="H2137" s="3" t="s">
        <v>18</v>
      </c>
      <c r="I2137" s="3" t="s">
        <v>35</v>
      </c>
      <c r="J2137" s="3" t="s">
        <v>32</v>
      </c>
      <c r="K2137" s="3">
        <f>_xlfn.XLOOKUP(tbl_main[[#This Row],[Service]],tbl_service[Service],tbl_service[Price],"")</f>
        <v>500</v>
      </c>
      <c r="L2137" s="3">
        <v>1</v>
      </c>
      <c r="M2137" s="3">
        <f>IF(AND(tbl_main[[#This Row],[Price]]="",tbl_main[[#This Row],[Qty]]=""),"",tbl_main[[#This Row],[Price]]*tbl_main[[#This Row],[Qty]])</f>
        <v>500</v>
      </c>
      <c r="N2137" s="3">
        <f>_xlfn.LET(_xlpm.x,_xlfn.XLOOKUP(tbl_main[[#This Row],[Service]],tbl_service[Service],tbl_service[Profit],""),
               IF(tbl_main[[#This Row],[Qty]]="","",_xlpm.x*tbl_main[[#This Row],[Qty]]))</f>
        <v>157</v>
      </c>
    </row>
    <row r="2138" spans="1:14" x14ac:dyDescent="0.25">
      <c r="A2138" t="s">
        <v>2180</v>
      </c>
      <c r="B2138" s="1">
        <v>46370</v>
      </c>
      <c r="C2138">
        <f>IF(tbl_main[[#This Row],[Date]]="","",YEAR(B2138))</f>
        <v>2026</v>
      </c>
      <c r="D2138" t="str">
        <f>IF(tbl_main[[#This Row],[Date]]="","",TEXT(B2138,"mmm"))</f>
        <v>Dec</v>
      </c>
      <c r="E2138" t="str">
        <f>IF(tbl_main[[#This Row],[Date]]="","",TEXT(B2138,"DDD"))</f>
        <v>Mon</v>
      </c>
      <c r="F2138" t="s">
        <v>27</v>
      </c>
      <c r="G2138" t="s">
        <v>28</v>
      </c>
      <c r="H2138" s="3" t="s">
        <v>34</v>
      </c>
      <c r="I2138" s="3" t="s">
        <v>35</v>
      </c>
      <c r="J2138" s="3" t="s">
        <v>32</v>
      </c>
      <c r="K2138" s="3">
        <f>_xlfn.XLOOKUP(tbl_main[[#This Row],[Service]],tbl_service[Service],tbl_service[Price],"")</f>
        <v>100</v>
      </c>
      <c r="L2138" s="3">
        <v>2</v>
      </c>
      <c r="M2138" s="3">
        <f>IF(AND(tbl_main[[#This Row],[Price]]="",tbl_main[[#This Row],[Qty]]=""),"",tbl_main[[#This Row],[Price]]*tbl_main[[#This Row],[Qty]])</f>
        <v>200</v>
      </c>
      <c r="N2138" s="3">
        <f>_xlfn.LET(_xlpm.x,_xlfn.XLOOKUP(tbl_main[[#This Row],[Service]],tbl_service[Service],tbl_service[Profit],""),
               IF(tbl_main[[#This Row],[Qty]]="","",_xlpm.x*tbl_main[[#This Row],[Qty]]))</f>
        <v>90</v>
      </c>
    </row>
    <row r="2139" spans="1:14" x14ac:dyDescent="0.25">
      <c r="A2139" t="s">
        <v>2181</v>
      </c>
      <c r="B2139" s="1">
        <v>46371</v>
      </c>
      <c r="C2139">
        <f>IF(tbl_main[[#This Row],[Date]]="","",YEAR(B2139))</f>
        <v>2026</v>
      </c>
      <c r="D2139" t="str">
        <f>IF(tbl_main[[#This Row],[Date]]="","",TEXT(B2139,"mmm"))</f>
        <v>Dec</v>
      </c>
      <c r="E2139" t="str">
        <f>IF(tbl_main[[#This Row],[Date]]="","",TEXT(B2139,"DDD"))</f>
        <v>Tue</v>
      </c>
      <c r="F2139" t="s">
        <v>13</v>
      </c>
      <c r="G2139" t="s">
        <v>33</v>
      </c>
      <c r="H2139" s="3" t="s">
        <v>18</v>
      </c>
      <c r="I2139" s="3" t="s">
        <v>23</v>
      </c>
      <c r="J2139" s="3" t="s">
        <v>32</v>
      </c>
      <c r="K2139" s="3">
        <f>_xlfn.XLOOKUP(tbl_main[[#This Row],[Service]],tbl_service[Service],tbl_service[Price],"")</f>
        <v>500</v>
      </c>
      <c r="L2139" s="3">
        <v>2</v>
      </c>
      <c r="M2139" s="3">
        <f>IF(AND(tbl_main[[#This Row],[Price]]="",tbl_main[[#This Row],[Qty]]=""),"",tbl_main[[#This Row],[Price]]*tbl_main[[#This Row],[Qty]])</f>
        <v>1000</v>
      </c>
      <c r="N2139" s="3">
        <f>_xlfn.LET(_xlpm.x,_xlfn.XLOOKUP(tbl_main[[#This Row],[Service]],tbl_service[Service],tbl_service[Profit],""),
               IF(tbl_main[[#This Row],[Qty]]="","",_xlpm.x*tbl_main[[#This Row],[Qty]]))</f>
        <v>314</v>
      </c>
    </row>
    <row r="2140" spans="1:14" x14ac:dyDescent="0.25">
      <c r="A2140" t="s">
        <v>2182</v>
      </c>
      <c r="B2140" s="1">
        <v>46371</v>
      </c>
      <c r="C2140">
        <f>IF(tbl_main[[#This Row],[Date]]="","",YEAR(B2140))</f>
        <v>2026</v>
      </c>
      <c r="D2140" t="str">
        <f>IF(tbl_main[[#This Row],[Date]]="","",TEXT(B2140,"mmm"))</f>
        <v>Dec</v>
      </c>
      <c r="E2140" t="str">
        <f>IF(tbl_main[[#This Row],[Date]]="","",TEXT(B2140,"DDD"))</f>
        <v>Tue</v>
      </c>
      <c r="F2140" t="s">
        <v>13</v>
      </c>
      <c r="G2140" t="s">
        <v>33</v>
      </c>
      <c r="H2140" s="3" t="s">
        <v>34</v>
      </c>
      <c r="I2140" s="3" t="s">
        <v>37</v>
      </c>
      <c r="J2140" s="3" t="s">
        <v>17</v>
      </c>
      <c r="K2140" s="3">
        <f>_xlfn.XLOOKUP(tbl_main[[#This Row],[Service]],tbl_service[Service],tbl_service[Price],"")</f>
        <v>100</v>
      </c>
      <c r="L2140" s="3">
        <v>2</v>
      </c>
      <c r="M2140" s="3">
        <f>IF(AND(tbl_main[[#This Row],[Price]]="",tbl_main[[#This Row],[Qty]]=""),"",tbl_main[[#This Row],[Price]]*tbl_main[[#This Row],[Qty]])</f>
        <v>200</v>
      </c>
      <c r="N2140" s="3">
        <f>_xlfn.LET(_xlpm.x,_xlfn.XLOOKUP(tbl_main[[#This Row],[Service]],tbl_service[Service],tbl_service[Profit],""),
               IF(tbl_main[[#This Row],[Qty]]="","",_xlpm.x*tbl_main[[#This Row],[Qty]]))</f>
        <v>90</v>
      </c>
    </row>
    <row r="2141" spans="1:14" x14ac:dyDescent="0.25">
      <c r="A2141" t="s">
        <v>2183</v>
      </c>
      <c r="B2141" s="1">
        <v>46371</v>
      </c>
      <c r="C2141">
        <f>IF(tbl_main[[#This Row],[Date]]="","",YEAR(B2141))</f>
        <v>2026</v>
      </c>
      <c r="D2141" t="str">
        <f>IF(tbl_main[[#This Row],[Date]]="","",TEXT(B2141,"mmm"))</f>
        <v>Dec</v>
      </c>
      <c r="E2141" t="str">
        <f>IF(tbl_main[[#This Row],[Date]]="","",TEXT(B2141,"DDD"))</f>
        <v>Tue</v>
      </c>
      <c r="F2141" t="s">
        <v>13</v>
      </c>
      <c r="G2141" t="s">
        <v>33</v>
      </c>
      <c r="H2141" s="3" t="s">
        <v>24</v>
      </c>
      <c r="I2141" s="3" t="s">
        <v>38</v>
      </c>
      <c r="J2141" s="3" t="s">
        <v>32</v>
      </c>
      <c r="K2141" s="3">
        <f>_xlfn.XLOOKUP(tbl_main[[#This Row],[Service]],tbl_service[Service],tbl_service[Price],"")</f>
        <v>80</v>
      </c>
      <c r="L2141" s="3">
        <v>1</v>
      </c>
      <c r="M2141" s="3">
        <f>IF(AND(tbl_main[[#This Row],[Price]]="",tbl_main[[#This Row],[Qty]]=""),"",tbl_main[[#This Row],[Price]]*tbl_main[[#This Row],[Qty]])</f>
        <v>80</v>
      </c>
      <c r="N2141" s="3">
        <f>_xlfn.LET(_xlpm.x,_xlfn.XLOOKUP(tbl_main[[#This Row],[Service]],tbl_service[Service],tbl_service[Profit],""),
               IF(tbl_main[[#This Row],[Qty]]="","",_xlpm.x*tbl_main[[#This Row],[Qty]]))</f>
        <v>36</v>
      </c>
    </row>
    <row r="2142" spans="1:14" x14ac:dyDescent="0.25">
      <c r="A2142" t="s">
        <v>2184</v>
      </c>
      <c r="B2142" s="1">
        <v>46371</v>
      </c>
      <c r="C2142">
        <f>IF(tbl_main[[#This Row],[Date]]="","",YEAR(B2142))</f>
        <v>2026</v>
      </c>
      <c r="D2142" t="str">
        <f>IF(tbl_main[[#This Row],[Date]]="","",TEXT(B2142,"mmm"))</f>
        <v>Dec</v>
      </c>
      <c r="E2142" t="str">
        <f>IF(tbl_main[[#This Row],[Date]]="","",TEXT(B2142,"DDD"))</f>
        <v>Tue</v>
      </c>
      <c r="F2142" t="s">
        <v>13</v>
      </c>
      <c r="G2142" t="s">
        <v>14</v>
      </c>
      <c r="H2142" s="3" t="s">
        <v>26</v>
      </c>
      <c r="I2142" s="3" t="s">
        <v>38</v>
      </c>
      <c r="J2142" s="3" t="s">
        <v>32</v>
      </c>
      <c r="K2142" s="3">
        <f>_xlfn.XLOOKUP(tbl_main[[#This Row],[Service]],tbl_service[Service],tbl_service[Price],"")</f>
        <v>200</v>
      </c>
      <c r="L2142" s="3">
        <v>2</v>
      </c>
      <c r="M2142" s="3">
        <f>IF(AND(tbl_main[[#This Row],[Price]]="",tbl_main[[#This Row],[Qty]]=""),"",tbl_main[[#This Row],[Price]]*tbl_main[[#This Row],[Qty]])</f>
        <v>400</v>
      </c>
      <c r="N2142" s="3">
        <f>_xlfn.LET(_xlpm.x,_xlfn.XLOOKUP(tbl_main[[#This Row],[Service]],tbl_service[Service],tbl_service[Profit],""),
               IF(tbl_main[[#This Row],[Qty]]="","",_xlpm.x*tbl_main[[#This Row],[Qty]]))</f>
        <v>180</v>
      </c>
    </row>
    <row r="2143" spans="1:14" x14ac:dyDescent="0.25">
      <c r="A2143" t="s">
        <v>2185</v>
      </c>
      <c r="B2143" s="1">
        <v>46372</v>
      </c>
      <c r="C2143">
        <f>IF(tbl_main[[#This Row],[Date]]="","",YEAR(B2143))</f>
        <v>2026</v>
      </c>
      <c r="D2143" t="str">
        <f>IF(tbl_main[[#This Row],[Date]]="","",TEXT(B2143,"mmm"))</f>
        <v>Dec</v>
      </c>
      <c r="E2143" t="str">
        <f>IF(tbl_main[[#This Row],[Date]]="","",TEXT(B2143,"DDD"))</f>
        <v>Wed</v>
      </c>
      <c r="F2143" t="s">
        <v>30</v>
      </c>
      <c r="G2143" t="s">
        <v>31</v>
      </c>
      <c r="H2143" s="3" t="s">
        <v>18</v>
      </c>
      <c r="I2143" s="3" t="s">
        <v>38</v>
      </c>
      <c r="J2143" s="3" t="s">
        <v>17</v>
      </c>
      <c r="K2143" s="3">
        <f>_xlfn.XLOOKUP(tbl_main[[#This Row],[Service]],tbl_service[Service],tbl_service[Price],"")</f>
        <v>500</v>
      </c>
      <c r="L2143" s="3">
        <v>1</v>
      </c>
      <c r="M2143" s="3">
        <f>IF(AND(tbl_main[[#This Row],[Price]]="",tbl_main[[#This Row],[Qty]]=""),"",tbl_main[[#This Row],[Price]]*tbl_main[[#This Row],[Qty]])</f>
        <v>500</v>
      </c>
      <c r="N2143" s="3">
        <f>_xlfn.LET(_xlpm.x,_xlfn.XLOOKUP(tbl_main[[#This Row],[Service]],tbl_service[Service],tbl_service[Profit],""),
               IF(tbl_main[[#This Row],[Qty]]="","",_xlpm.x*tbl_main[[#This Row],[Qty]]))</f>
        <v>157</v>
      </c>
    </row>
    <row r="2144" spans="1:14" x14ac:dyDescent="0.25">
      <c r="A2144" t="s">
        <v>2186</v>
      </c>
      <c r="B2144" s="1">
        <v>46372</v>
      </c>
      <c r="C2144">
        <f>IF(tbl_main[[#This Row],[Date]]="","",YEAR(B2144))</f>
        <v>2026</v>
      </c>
      <c r="D2144" t="str">
        <f>IF(tbl_main[[#This Row],[Date]]="","",TEXT(B2144,"mmm"))</f>
        <v>Dec</v>
      </c>
      <c r="E2144" t="str">
        <f>IF(tbl_main[[#This Row],[Date]]="","",TEXT(B2144,"DDD"))</f>
        <v>Wed</v>
      </c>
      <c r="F2144" t="s">
        <v>27</v>
      </c>
      <c r="G2144" t="s">
        <v>28</v>
      </c>
      <c r="H2144" s="3" t="s">
        <v>18</v>
      </c>
      <c r="I2144" s="3" t="s">
        <v>38</v>
      </c>
      <c r="J2144" s="3" t="s">
        <v>25</v>
      </c>
      <c r="K2144" s="3">
        <f>_xlfn.XLOOKUP(tbl_main[[#This Row],[Service]],tbl_service[Service],tbl_service[Price],"")</f>
        <v>500</v>
      </c>
      <c r="L2144" s="3">
        <v>2</v>
      </c>
      <c r="M2144" s="3">
        <f>IF(AND(tbl_main[[#This Row],[Price]]="",tbl_main[[#This Row],[Qty]]=""),"",tbl_main[[#This Row],[Price]]*tbl_main[[#This Row],[Qty]])</f>
        <v>1000</v>
      </c>
      <c r="N2144" s="3">
        <f>_xlfn.LET(_xlpm.x,_xlfn.XLOOKUP(tbl_main[[#This Row],[Service]],tbl_service[Service],tbl_service[Profit],""),
               IF(tbl_main[[#This Row],[Qty]]="","",_xlpm.x*tbl_main[[#This Row],[Qty]]))</f>
        <v>314</v>
      </c>
    </row>
    <row r="2145" spans="1:14" x14ac:dyDescent="0.25">
      <c r="A2145" t="s">
        <v>2187</v>
      </c>
      <c r="B2145" s="1">
        <v>46372</v>
      </c>
      <c r="C2145">
        <f>IF(tbl_main[[#This Row],[Date]]="","",YEAR(B2145))</f>
        <v>2026</v>
      </c>
      <c r="D2145" t="str">
        <f>IF(tbl_main[[#This Row],[Date]]="","",TEXT(B2145,"mmm"))</f>
        <v>Dec</v>
      </c>
      <c r="E2145" t="str">
        <f>IF(tbl_main[[#This Row],[Date]]="","",TEXT(B2145,"DDD"))</f>
        <v>Wed</v>
      </c>
      <c r="F2145" t="s">
        <v>20</v>
      </c>
      <c r="G2145" t="s">
        <v>29</v>
      </c>
      <c r="H2145" s="3" t="s">
        <v>34</v>
      </c>
      <c r="I2145" s="3" t="s">
        <v>38</v>
      </c>
      <c r="J2145" s="3" t="s">
        <v>32</v>
      </c>
      <c r="K2145" s="3">
        <f>_xlfn.XLOOKUP(tbl_main[[#This Row],[Service]],tbl_service[Service],tbl_service[Price],"")</f>
        <v>100</v>
      </c>
      <c r="L2145" s="3">
        <v>1</v>
      </c>
      <c r="M2145" s="3">
        <f>IF(AND(tbl_main[[#This Row],[Price]]="",tbl_main[[#This Row],[Qty]]=""),"",tbl_main[[#This Row],[Price]]*tbl_main[[#This Row],[Qty]])</f>
        <v>100</v>
      </c>
      <c r="N2145" s="3">
        <f>_xlfn.LET(_xlpm.x,_xlfn.XLOOKUP(tbl_main[[#This Row],[Service]],tbl_service[Service],tbl_service[Profit],""),
               IF(tbl_main[[#This Row],[Qty]]="","",_xlpm.x*tbl_main[[#This Row],[Qty]]))</f>
        <v>45</v>
      </c>
    </row>
    <row r="2146" spans="1:14" x14ac:dyDescent="0.25">
      <c r="A2146" t="s">
        <v>2188</v>
      </c>
      <c r="B2146" s="1">
        <v>46372</v>
      </c>
      <c r="C2146">
        <f>IF(tbl_main[[#This Row],[Date]]="","",YEAR(B2146))</f>
        <v>2026</v>
      </c>
      <c r="D2146" t="str">
        <f>IF(tbl_main[[#This Row],[Date]]="","",TEXT(B2146,"mmm"))</f>
        <v>Dec</v>
      </c>
      <c r="E2146" t="str">
        <f>IF(tbl_main[[#This Row],[Date]]="","",TEXT(B2146,"DDD"))</f>
        <v>Wed</v>
      </c>
      <c r="F2146" t="s">
        <v>13</v>
      </c>
      <c r="G2146" t="s">
        <v>33</v>
      </c>
      <c r="H2146" s="3" t="s">
        <v>22</v>
      </c>
      <c r="I2146" s="3" t="s">
        <v>38</v>
      </c>
      <c r="J2146" s="3" t="s">
        <v>25</v>
      </c>
      <c r="K2146" s="3">
        <f>_xlfn.XLOOKUP(tbl_main[[#This Row],[Service]],tbl_service[Service],tbl_service[Price],"")</f>
        <v>150</v>
      </c>
      <c r="L2146" s="3">
        <v>1</v>
      </c>
      <c r="M2146" s="3">
        <f>IF(AND(tbl_main[[#This Row],[Price]]="",tbl_main[[#This Row],[Qty]]=""),"",tbl_main[[#This Row],[Price]]*tbl_main[[#This Row],[Qty]])</f>
        <v>150</v>
      </c>
      <c r="N2146" s="3">
        <f>_xlfn.LET(_xlpm.x,_xlfn.XLOOKUP(tbl_main[[#This Row],[Service]],tbl_service[Service],tbl_service[Profit],""),
               IF(tbl_main[[#This Row],[Qty]]="","",_xlpm.x*tbl_main[[#This Row],[Qty]]))</f>
        <v>67</v>
      </c>
    </row>
    <row r="2147" spans="1:14" x14ac:dyDescent="0.25">
      <c r="A2147" t="s">
        <v>2189</v>
      </c>
      <c r="B2147" s="1">
        <v>46373</v>
      </c>
      <c r="C2147">
        <f>IF(tbl_main[[#This Row],[Date]]="","",YEAR(B2147))</f>
        <v>2026</v>
      </c>
      <c r="D2147" t="str">
        <f>IF(tbl_main[[#This Row],[Date]]="","",TEXT(B2147,"mmm"))</f>
        <v>Dec</v>
      </c>
      <c r="E2147" t="str">
        <f>IF(tbl_main[[#This Row],[Date]]="","",TEXT(B2147,"DDD"))</f>
        <v>Thu</v>
      </c>
      <c r="F2147" t="s">
        <v>20</v>
      </c>
      <c r="G2147" t="s">
        <v>21</v>
      </c>
      <c r="H2147" s="3" t="s">
        <v>18</v>
      </c>
      <c r="I2147" s="3" t="s">
        <v>38</v>
      </c>
      <c r="J2147" s="3" t="s">
        <v>17</v>
      </c>
      <c r="K2147" s="3">
        <f>_xlfn.XLOOKUP(tbl_main[[#This Row],[Service]],tbl_service[Service],tbl_service[Price],"")</f>
        <v>500</v>
      </c>
      <c r="L2147" s="3">
        <v>2</v>
      </c>
      <c r="M2147" s="3">
        <f>IF(AND(tbl_main[[#This Row],[Price]]="",tbl_main[[#This Row],[Qty]]=""),"",tbl_main[[#This Row],[Price]]*tbl_main[[#This Row],[Qty]])</f>
        <v>1000</v>
      </c>
      <c r="N2147" s="3">
        <f>_xlfn.LET(_xlpm.x,_xlfn.XLOOKUP(tbl_main[[#This Row],[Service]],tbl_service[Service],tbl_service[Profit],""),
               IF(tbl_main[[#This Row],[Qty]]="","",_xlpm.x*tbl_main[[#This Row],[Qty]]))</f>
        <v>314</v>
      </c>
    </row>
    <row r="2148" spans="1:14" x14ac:dyDescent="0.25">
      <c r="A2148" t="s">
        <v>2190</v>
      </c>
      <c r="B2148" s="1">
        <v>46373</v>
      </c>
      <c r="C2148">
        <f>IF(tbl_main[[#This Row],[Date]]="","",YEAR(B2148))</f>
        <v>2026</v>
      </c>
      <c r="D2148" t="str">
        <f>IF(tbl_main[[#This Row],[Date]]="","",TEXT(B2148,"mmm"))</f>
        <v>Dec</v>
      </c>
      <c r="E2148" t="str">
        <f>IF(tbl_main[[#This Row],[Date]]="","",TEXT(B2148,"DDD"))</f>
        <v>Thu</v>
      </c>
      <c r="F2148" t="s">
        <v>30</v>
      </c>
      <c r="G2148" t="s">
        <v>36</v>
      </c>
      <c r="H2148" s="3" t="s">
        <v>22</v>
      </c>
      <c r="I2148" s="3" t="s">
        <v>38</v>
      </c>
      <c r="J2148" s="3" t="s">
        <v>17</v>
      </c>
      <c r="K2148" s="3">
        <f>_xlfn.XLOOKUP(tbl_main[[#This Row],[Service]],tbl_service[Service],tbl_service[Price],"")</f>
        <v>150</v>
      </c>
      <c r="L2148" s="3">
        <v>1</v>
      </c>
      <c r="M2148" s="3">
        <f>IF(AND(tbl_main[[#This Row],[Price]]="",tbl_main[[#This Row],[Qty]]=""),"",tbl_main[[#This Row],[Price]]*tbl_main[[#This Row],[Qty]])</f>
        <v>150</v>
      </c>
      <c r="N2148" s="3">
        <f>_xlfn.LET(_xlpm.x,_xlfn.XLOOKUP(tbl_main[[#This Row],[Service]],tbl_service[Service],tbl_service[Profit],""),
               IF(tbl_main[[#This Row],[Qty]]="","",_xlpm.x*tbl_main[[#This Row],[Qty]]))</f>
        <v>67</v>
      </c>
    </row>
    <row r="2149" spans="1:14" x14ac:dyDescent="0.25">
      <c r="A2149" t="s">
        <v>2191</v>
      </c>
      <c r="B2149" s="1">
        <v>46373</v>
      </c>
      <c r="C2149">
        <f>IF(tbl_main[[#This Row],[Date]]="","",YEAR(B2149))</f>
        <v>2026</v>
      </c>
      <c r="D2149" t="str">
        <f>IF(tbl_main[[#This Row],[Date]]="","",TEXT(B2149,"mmm"))</f>
        <v>Dec</v>
      </c>
      <c r="E2149" t="str">
        <f>IF(tbl_main[[#This Row],[Date]]="","",TEXT(B2149,"DDD"))</f>
        <v>Thu</v>
      </c>
      <c r="F2149" t="s">
        <v>20</v>
      </c>
      <c r="G2149" t="s">
        <v>39</v>
      </c>
      <c r="H2149" s="3" t="s">
        <v>22</v>
      </c>
      <c r="I2149" s="3" t="s">
        <v>38</v>
      </c>
      <c r="J2149" s="3" t="s">
        <v>32</v>
      </c>
      <c r="K2149" s="3">
        <f>_xlfn.XLOOKUP(tbl_main[[#This Row],[Service]],tbl_service[Service],tbl_service[Price],"")</f>
        <v>150</v>
      </c>
      <c r="L2149" s="3">
        <v>1</v>
      </c>
      <c r="M2149" s="3">
        <f>IF(AND(tbl_main[[#This Row],[Price]]="",tbl_main[[#This Row],[Qty]]=""),"",tbl_main[[#This Row],[Price]]*tbl_main[[#This Row],[Qty]])</f>
        <v>150</v>
      </c>
      <c r="N2149" s="3">
        <f>_xlfn.LET(_xlpm.x,_xlfn.XLOOKUP(tbl_main[[#This Row],[Service]],tbl_service[Service],tbl_service[Profit],""),
               IF(tbl_main[[#This Row],[Qty]]="","",_xlpm.x*tbl_main[[#This Row],[Qty]]))</f>
        <v>67</v>
      </c>
    </row>
    <row r="2150" spans="1:14" x14ac:dyDescent="0.25">
      <c r="A2150" t="s">
        <v>2192</v>
      </c>
      <c r="B2150" s="1">
        <v>46373</v>
      </c>
      <c r="C2150">
        <f>IF(tbl_main[[#This Row],[Date]]="","",YEAR(B2150))</f>
        <v>2026</v>
      </c>
      <c r="D2150" t="str">
        <f>IF(tbl_main[[#This Row],[Date]]="","",TEXT(B2150,"mmm"))</f>
        <v>Dec</v>
      </c>
      <c r="E2150" t="str">
        <f>IF(tbl_main[[#This Row],[Date]]="","",TEXT(B2150,"DDD"))</f>
        <v>Thu</v>
      </c>
      <c r="F2150" t="s">
        <v>20</v>
      </c>
      <c r="G2150" t="s">
        <v>21</v>
      </c>
      <c r="H2150" s="3" t="s">
        <v>24</v>
      </c>
      <c r="I2150" s="3" t="s">
        <v>38</v>
      </c>
      <c r="J2150" s="3" t="s">
        <v>25</v>
      </c>
      <c r="K2150" s="3">
        <f>_xlfn.XLOOKUP(tbl_main[[#This Row],[Service]],tbl_service[Service],tbl_service[Price],"")</f>
        <v>80</v>
      </c>
      <c r="L2150" s="3">
        <v>1</v>
      </c>
      <c r="M2150" s="3">
        <f>IF(AND(tbl_main[[#This Row],[Price]]="",tbl_main[[#This Row],[Qty]]=""),"",tbl_main[[#This Row],[Price]]*tbl_main[[#This Row],[Qty]])</f>
        <v>80</v>
      </c>
      <c r="N2150" s="3">
        <f>_xlfn.LET(_xlpm.x,_xlfn.XLOOKUP(tbl_main[[#This Row],[Service]],tbl_service[Service],tbl_service[Profit],""),
               IF(tbl_main[[#This Row],[Qty]]="","",_xlpm.x*tbl_main[[#This Row],[Qty]]))</f>
        <v>36</v>
      </c>
    </row>
    <row r="2151" spans="1:14" x14ac:dyDescent="0.25">
      <c r="A2151" t="s">
        <v>2193</v>
      </c>
      <c r="B2151" s="1">
        <v>46374</v>
      </c>
      <c r="C2151">
        <f>IF(tbl_main[[#This Row],[Date]]="","",YEAR(B2151))</f>
        <v>2026</v>
      </c>
      <c r="D2151" t="str">
        <f>IF(tbl_main[[#This Row],[Date]]="","",TEXT(B2151,"mmm"))</f>
        <v>Dec</v>
      </c>
      <c r="E2151" t="str">
        <f>IF(tbl_main[[#This Row],[Date]]="","",TEXT(B2151,"DDD"))</f>
        <v>Fri</v>
      </c>
      <c r="F2151" t="s">
        <v>27</v>
      </c>
      <c r="G2151" t="s">
        <v>40</v>
      </c>
      <c r="H2151" s="3" t="s">
        <v>34</v>
      </c>
      <c r="I2151" s="3" t="s">
        <v>38</v>
      </c>
      <c r="J2151" s="3" t="s">
        <v>17</v>
      </c>
      <c r="K2151" s="3">
        <f>_xlfn.XLOOKUP(tbl_main[[#This Row],[Service]],tbl_service[Service],tbl_service[Price],"")</f>
        <v>100</v>
      </c>
      <c r="L2151" s="3">
        <v>2</v>
      </c>
      <c r="M2151" s="3">
        <f>IF(AND(tbl_main[[#This Row],[Price]]="",tbl_main[[#This Row],[Qty]]=""),"",tbl_main[[#This Row],[Price]]*tbl_main[[#This Row],[Qty]])</f>
        <v>200</v>
      </c>
      <c r="N2151" s="3">
        <f>_xlfn.LET(_xlpm.x,_xlfn.XLOOKUP(tbl_main[[#This Row],[Service]],tbl_service[Service],tbl_service[Profit],""),
               IF(tbl_main[[#This Row],[Qty]]="","",_xlpm.x*tbl_main[[#This Row],[Qty]]))</f>
        <v>90</v>
      </c>
    </row>
    <row r="2152" spans="1:14" x14ac:dyDescent="0.25">
      <c r="A2152" t="s">
        <v>2194</v>
      </c>
      <c r="B2152" s="1">
        <v>46374</v>
      </c>
      <c r="C2152">
        <f>IF(tbl_main[[#This Row],[Date]]="","",YEAR(B2152))</f>
        <v>2026</v>
      </c>
      <c r="D2152" t="str">
        <f>IF(tbl_main[[#This Row],[Date]]="","",TEXT(B2152,"mmm"))</f>
        <v>Dec</v>
      </c>
      <c r="E2152" t="str">
        <f>IF(tbl_main[[#This Row],[Date]]="","",TEXT(B2152,"DDD"))</f>
        <v>Fri</v>
      </c>
      <c r="F2152" t="s">
        <v>30</v>
      </c>
      <c r="G2152" t="s">
        <v>31</v>
      </c>
      <c r="H2152" s="3" t="s">
        <v>26</v>
      </c>
      <c r="I2152" s="3" t="s">
        <v>38</v>
      </c>
      <c r="J2152" s="3" t="s">
        <v>25</v>
      </c>
      <c r="K2152" s="3">
        <f>_xlfn.XLOOKUP(tbl_main[[#This Row],[Service]],tbl_service[Service],tbl_service[Price],"")</f>
        <v>200</v>
      </c>
      <c r="L2152" s="3">
        <v>1</v>
      </c>
      <c r="M2152" s="3">
        <f>IF(AND(tbl_main[[#This Row],[Price]]="",tbl_main[[#This Row],[Qty]]=""),"",tbl_main[[#This Row],[Price]]*tbl_main[[#This Row],[Qty]])</f>
        <v>200</v>
      </c>
      <c r="N2152" s="3">
        <f>_xlfn.LET(_xlpm.x,_xlfn.XLOOKUP(tbl_main[[#This Row],[Service]],tbl_service[Service],tbl_service[Profit],""),
               IF(tbl_main[[#This Row],[Qty]]="","",_xlpm.x*tbl_main[[#This Row],[Qty]]))</f>
        <v>90</v>
      </c>
    </row>
    <row r="2153" spans="1:14" x14ac:dyDescent="0.25">
      <c r="A2153" t="s">
        <v>2195</v>
      </c>
      <c r="B2153" s="1">
        <v>46375</v>
      </c>
      <c r="C2153">
        <f>IF(tbl_main[[#This Row],[Date]]="","",YEAR(B2153))</f>
        <v>2026</v>
      </c>
      <c r="D2153" t="str">
        <f>IF(tbl_main[[#This Row],[Date]]="","",TEXT(B2153,"mmm"))</f>
        <v>Dec</v>
      </c>
      <c r="E2153" t="str">
        <f>IF(tbl_main[[#This Row],[Date]]="","",TEXT(B2153,"DDD"))</f>
        <v>Sat</v>
      </c>
      <c r="F2153" t="s">
        <v>30</v>
      </c>
      <c r="G2153" t="s">
        <v>31</v>
      </c>
      <c r="H2153" s="3" t="s">
        <v>24</v>
      </c>
      <c r="I2153" s="3" t="s">
        <v>38</v>
      </c>
      <c r="J2153" s="3" t="s">
        <v>17</v>
      </c>
      <c r="K2153" s="3">
        <f>_xlfn.XLOOKUP(tbl_main[[#This Row],[Service]],tbl_service[Service],tbl_service[Price],"")</f>
        <v>80</v>
      </c>
      <c r="L2153" s="3">
        <v>1</v>
      </c>
      <c r="M2153" s="3">
        <f>IF(AND(tbl_main[[#This Row],[Price]]="",tbl_main[[#This Row],[Qty]]=""),"",tbl_main[[#This Row],[Price]]*tbl_main[[#This Row],[Qty]])</f>
        <v>80</v>
      </c>
      <c r="N2153" s="3">
        <f>_xlfn.LET(_xlpm.x,_xlfn.XLOOKUP(tbl_main[[#This Row],[Service]],tbl_service[Service],tbl_service[Profit],""),
               IF(tbl_main[[#This Row],[Qty]]="","",_xlpm.x*tbl_main[[#This Row],[Qty]]))</f>
        <v>36</v>
      </c>
    </row>
    <row r="2154" spans="1:14" x14ac:dyDescent="0.25">
      <c r="A2154" t="s">
        <v>2196</v>
      </c>
      <c r="B2154" s="1">
        <v>46375</v>
      </c>
      <c r="C2154">
        <f>IF(tbl_main[[#This Row],[Date]]="","",YEAR(B2154))</f>
        <v>2026</v>
      </c>
      <c r="D2154" t="str">
        <f>IF(tbl_main[[#This Row],[Date]]="","",TEXT(B2154,"mmm"))</f>
        <v>Dec</v>
      </c>
      <c r="E2154" t="str">
        <f>IF(tbl_main[[#This Row],[Date]]="","",TEXT(B2154,"DDD"))</f>
        <v>Sat</v>
      </c>
      <c r="F2154" t="s">
        <v>30</v>
      </c>
      <c r="G2154" t="s">
        <v>31</v>
      </c>
      <c r="H2154" s="3" t="s">
        <v>26</v>
      </c>
      <c r="I2154" s="3" t="s">
        <v>38</v>
      </c>
      <c r="J2154" s="3" t="s">
        <v>17</v>
      </c>
      <c r="K2154" s="3">
        <f>_xlfn.XLOOKUP(tbl_main[[#This Row],[Service]],tbl_service[Service],tbl_service[Price],"")</f>
        <v>200</v>
      </c>
      <c r="L2154" s="3">
        <v>1</v>
      </c>
      <c r="M2154" s="3">
        <f>IF(AND(tbl_main[[#This Row],[Price]]="",tbl_main[[#This Row],[Qty]]=""),"",tbl_main[[#This Row],[Price]]*tbl_main[[#This Row],[Qty]])</f>
        <v>200</v>
      </c>
      <c r="N2154" s="3">
        <f>_xlfn.LET(_xlpm.x,_xlfn.XLOOKUP(tbl_main[[#This Row],[Service]],tbl_service[Service],tbl_service[Profit],""),
               IF(tbl_main[[#This Row],[Qty]]="","",_xlpm.x*tbl_main[[#This Row],[Qty]]))</f>
        <v>90</v>
      </c>
    </row>
    <row r="2155" spans="1:14" x14ac:dyDescent="0.25">
      <c r="A2155" t="s">
        <v>2197</v>
      </c>
      <c r="B2155" s="1">
        <v>46375</v>
      </c>
      <c r="C2155">
        <f>IF(tbl_main[[#This Row],[Date]]="","",YEAR(B2155))</f>
        <v>2026</v>
      </c>
      <c r="D2155" t="str">
        <f>IF(tbl_main[[#This Row],[Date]]="","",TEXT(B2155,"mmm"))</f>
        <v>Dec</v>
      </c>
      <c r="E2155" t="str">
        <f>IF(tbl_main[[#This Row],[Date]]="","",TEXT(B2155,"DDD"))</f>
        <v>Sat</v>
      </c>
      <c r="F2155" t="s">
        <v>27</v>
      </c>
      <c r="G2155" t="s">
        <v>28</v>
      </c>
      <c r="H2155" s="3" t="s">
        <v>24</v>
      </c>
      <c r="I2155" s="3" t="s">
        <v>42</v>
      </c>
      <c r="J2155" s="3" t="s">
        <v>17</v>
      </c>
      <c r="K2155" s="3">
        <f>_xlfn.XLOOKUP(tbl_main[[#This Row],[Service]],tbl_service[Service],tbl_service[Price],"")</f>
        <v>80</v>
      </c>
      <c r="L2155" s="3">
        <v>1</v>
      </c>
      <c r="M2155" s="3">
        <f>IF(AND(tbl_main[[#This Row],[Price]]="",tbl_main[[#This Row],[Qty]]=""),"",tbl_main[[#This Row],[Price]]*tbl_main[[#This Row],[Qty]])</f>
        <v>80</v>
      </c>
      <c r="N2155" s="3">
        <f>_xlfn.LET(_xlpm.x,_xlfn.XLOOKUP(tbl_main[[#This Row],[Service]],tbl_service[Service],tbl_service[Profit],""),
               IF(tbl_main[[#This Row],[Qty]]="","",_xlpm.x*tbl_main[[#This Row],[Qty]]))</f>
        <v>36</v>
      </c>
    </row>
    <row r="2156" spans="1:14" x14ac:dyDescent="0.25">
      <c r="A2156" t="s">
        <v>2198</v>
      </c>
      <c r="B2156" s="1">
        <v>46376</v>
      </c>
      <c r="C2156">
        <f>IF(tbl_main[[#This Row],[Date]]="","",YEAR(B2156))</f>
        <v>2026</v>
      </c>
      <c r="D2156" t="str">
        <f>IF(tbl_main[[#This Row],[Date]]="","",TEXT(B2156,"mmm"))</f>
        <v>Dec</v>
      </c>
      <c r="E2156" t="str">
        <f>IF(tbl_main[[#This Row],[Date]]="","",TEXT(B2156,"DDD"))</f>
        <v>Sun</v>
      </c>
      <c r="F2156" t="s">
        <v>13</v>
      </c>
      <c r="G2156" t="s">
        <v>33</v>
      </c>
      <c r="H2156" s="3" t="s">
        <v>22</v>
      </c>
      <c r="I2156" s="3" t="s">
        <v>41</v>
      </c>
      <c r="J2156" s="3" t="s">
        <v>25</v>
      </c>
      <c r="K2156" s="3">
        <f>_xlfn.XLOOKUP(tbl_main[[#This Row],[Service]],tbl_service[Service],tbl_service[Price],"")</f>
        <v>150</v>
      </c>
      <c r="L2156" s="3">
        <v>1</v>
      </c>
      <c r="M2156" s="3">
        <f>IF(AND(tbl_main[[#This Row],[Price]]="",tbl_main[[#This Row],[Qty]]=""),"",tbl_main[[#This Row],[Price]]*tbl_main[[#This Row],[Qty]])</f>
        <v>150</v>
      </c>
      <c r="N2156" s="3">
        <f>_xlfn.LET(_xlpm.x,_xlfn.XLOOKUP(tbl_main[[#This Row],[Service]],tbl_service[Service],tbl_service[Profit],""),
               IF(tbl_main[[#This Row],[Qty]]="","",_xlpm.x*tbl_main[[#This Row],[Qty]]))</f>
        <v>67</v>
      </c>
    </row>
    <row r="2157" spans="1:14" x14ac:dyDescent="0.25">
      <c r="A2157" t="s">
        <v>2199</v>
      </c>
      <c r="B2157" s="1">
        <v>46376</v>
      </c>
      <c r="C2157">
        <f>IF(tbl_main[[#This Row],[Date]]="","",YEAR(B2157))</f>
        <v>2026</v>
      </c>
      <c r="D2157" t="str">
        <f>IF(tbl_main[[#This Row],[Date]]="","",TEXT(B2157,"mmm"))</f>
        <v>Dec</v>
      </c>
      <c r="E2157" t="str">
        <f>IF(tbl_main[[#This Row],[Date]]="","",TEXT(B2157,"DDD"))</f>
        <v>Sun</v>
      </c>
      <c r="F2157" t="s">
        <v>27</v>
      </c>
      <c r="G2157" t="s">
        <v>28</v>
      </c>
      <c r="H2157" s="3" t="s">
        <v>24</v>
      </c>
      <c r="I2157" s="3" t="s">
        <v>35</v>
      </c>
      <c r="J2157" s="3" t="s">
        <v>32</v>
      </c>
      <c r="K2157" s="3">
        <f>_xlfn.XLOOKUP(tbl_main[[#This Row],[Service]],tbl_service[Service],tbl_service[Price],"")</f>
        <v>80</v>
      </c>
      <c r="L2157" s="3">
        <v>2</v>
      </c>
      <c r="M2157" s="3">
        <f>IF(AND(tbl_main[[#This Row],[Price]]="",tbl_main[[#This Row],[Qty]]=""),"",tbl_main[[#This Row],[Price]]*tbl_main[[#This Row],[Qty]])</f>
        <v>160</v>
      </c>
      <c r="N2157" s="3">
        <f>_xlfn.LET(_xlpm.x,_xlfn.XLOOKUP(tbl_main[[#This Row],[Service]],tbl_service[Service],tbl_service[Profit],""),
               IF(tbl_main[[#This Row],[Qty]]="","",_xlpm.x*tbl_main[[#This Row],[Qty]]))</f>
        <v>72</v>
      </c>
    </row>
    <row r="2158" spans="1:14" x14ac:dyDescent="0.25">
      <c r="A2158" t="s">
        <v>2200</v>
      </c>
      <c r="B2158" s="1">
        <v>46376</v>
      </c>
      <c r="C2158">
        <f>IF(tbl_main[[#This Row],[Date]]="","",YEAR(B2158))</f>
        <v>2026</v>
      </c>
      <c r="D2158" t="str">
        <f>IF(tbl_main[[#This Row],[Date]]="","",TEXT(B2158,"mmm"))</f>
        <v>Dec</v>
      </c>
      <c r="E2158" t="str">
        <f>IF(tbl_main[[#This Row],[Date]]="","",TEXT(B2158,"DDD"))</f>
        <v>Sun</v>
      </c>
      <c r="F2158" t="s">
        <v>20</v>
      </c>
      <c r="G2158" t="s">
        <v>39</v>
      </c>
      <c r="H2158" s="3" t="s">
        <v>15</v>
      </c>
      <c r="I2158" s="3" t="s">
        <v>35</v>
      </c>
      <c r="J2158" s="3" t="s">
        <v>17</v>
      </c>
      <c r="K2158" s="3">
        <f>_xlfn.XLOOKUP(tbl_main[[#This Row],[Service]],tbl_service[Service],tbl_service[Price],"")</f>
        <v>500</v>
      </c>
      <c r="L2158" s="3">
        <v>2</v>
      </c>
      <c r="M2158" s="3">
        <f>IF(AND(tbl_main[[#This Row],[Price]]="",tbl_main[[#This Row],[Qty]]=""),"",tbl_main[[#This Row],[Price]]*tbl_main[[#This Row],[Qty]])</f>
        <v>1000</v>
      </c>
      <c r="N2158" s="3">
        <f>_xlfn.LET(_xlpm.x,_xlfn.XLOOKUP(tbl_main[[#This Row],[Service]],tbl_service[Service],tbl_service[Profit],""),
               IF(tbl_main[[#This Row],[Qty]]="","",_xlpm.x*tbl_main[[#This Row],[Qty]]))</f>
        <v>450</v>
      </c>
    </row>
    <row r="2159" spans="1:14" x14ac:dyDescent="0.25">
      <c r="A2159" t="s">
        <v>2201</v>
      </c>
      <c r="B2159" s="1">
        <v>46377</v>
      </c>
      <c r="C2159">
        <f>IF(tbl_main[[#This Row],[Date]]="","",YEAR(B2159))</f>
        <v>2026</v>
      </c>
      <c r="D2159" t="str">
        <f>IF(tbl_main[[#This Row],[Date]]="","",TEXT(B2159,"mmm"))</f>
        <v>Dec</v>
      </c>
      <c r="E2159" t="str">
        <f>IF(tbl_main[[#This Row],[Date]]="","",TEXT(B2159,"DDD"))</f>
        <v>Mon</v>
      </c>
      <c r="F2159" t="s">
        <v>20</v>
      </c>
      <c r="G2159" t="s">
        <v>21</v>
      </c>
      <c r="H2159" s="3" t="s">
        <v>15</v>
      </c>
      <c r="I2159" s="3" t="s">
        <v>23</v>
      </c>
      <c r="J2159" s="3" t="s">
        <v>32</v>
      </c>
      <c r="K2159" s="3">
        <f>_xlfn.XLOOKUP(tbl_main[[#This Row],[Service]],tbl_service[Service],tbl_service[Price],"")</f>
        <v>500</v>
      </c>
      <c r="L2159" s="3">
        <v>2</v>
      </c>
      <c r="M2159" s="3">
        <f>IF(AND(tbl_main[[#This Row],[Price]]="",tbl_main[[#This Row],[Qty]]=""),"",tbl_main[[#This Row],[Price]]*tbl_main[[#This Row],[Qty]])</f>
        <v>1000</v>
      </c>
      <c r="N2159" s="3">
        <f>_xlfn.LET(_xlpm.x,_xlfn.XLOOKUP(tbl_main[[#This Row],[Service]],tbl_service[Service],tbl_service[Profit],""),
               IF(tbl_main[[#This Row],[Qty]]="","",_xlpm.x*tbl_main[[#This Row],[Qty]]))</f>
        <v>450</v>
      </c>
    </row>
    <row r="2160" spans="1:14" x14ac:dyDescent="0.25">
      <c r="A2160" t="s">
        <v>2202</v>
      </c>
      <c r="B2160" s="1">
        <v>46377</v>
      </c>
      <c r="C2160">
        <f>IF(tbl_main[[#This Row],[Date]]="","",YEAR(B2160))</f>
        <v>2026</v>
      </c>
      <c r="D2160" t="str">
        <f>IF(tbl_main[[#This Row],[Date]]="","",TEXT(B2160,"mmm"))</f>
        <v>Dec</v>
      </c>
      <c r="E2160" t="str">
        <f>IF(tbl_main[[#This Row],[Date]]="","",TEXT(B2160,"DDD"))</f>
        <v>Mon</v>
      </c>
      <c r="F2160" t="s">
        <v>20</v>
      </c>
      <c r="G2160" t="s">
        <v>21</v>
      </c>
      <c r="H2160" s="3" t="s">
        <v>34</v>
      </c>
      <c r="I2160" s="3" t="s">
        <v>37</v>
      </c>
      <c r="J2160" s="3" t="s">
        <v>25</v>
      </c>
      <c r="K2160" s="3">
        <f>_xlfn.XLOOKUP(tbl_main[[#This Row],[Service]],tbl_service[Service],tbl_service[Price],"")</f>
        <v>100</v>
      </c>
      <c r="L2160" s="3">
        <v>2</v>
      </c>
      <c r="M2160" s="3">
        <f>IF(AND(tbl_main[[#This Row],[Price]]="",tbl_main[[#This Row],[Qty]]=""),"",tbl_main[[#This Row],[Price]]*tbl_main[[#This Row],[Qty]])</f>
        <v>200</v>
      </c>
      <c r="N2160" s="3">
        <f>_xlfn.LET(_xlpm.x,_xlfn.XLOOKUP(tbl_main[[#This Row],[Service]],tbl_service[Service],tbl_service[Profit],""),
               IF(tbl_main[[#This Row],[Qty]]="","",_xlpm.x*tbl_main[[#This Row],[Qty]]))</f>
        <v>90</v>
      </c>
    </row>
    <row r="2161" spans="1:14" x14ac:dyDescent="0.25">
      <c r="A2161" t="s">
        <v>2203</v>
      </c>
      <c r="B2161" s="1">
        <v>46378</v>
      </c>
      <c r="C2161">
        <f>IF(tbl_main[[#This Row],[Date]]="","",YEAR(B2161))</f>
        <v>2026</v>
      </c>
      <c r="D2161" t="str">
        <f>IF(tbl_main[[#This Row],[Date]]="","",TEXT(B2161,"mmm"))</f>
        <v>Dec</v>
      </c>
      <c r="E2161" t="str">
        <f>IF(tbl_main[[#This Row],[Date]]="","",TEXT(B2161,"DDD"))</f>
        <v>Tue</v>
      </c>
      <c r="F2161" t="s">
        <v>30</v>
      </c>
      <c r="G2161" t="s">
        <v>31</v>
      </c>
      <c r="H2161" s="3" t="s">
        <v>34</v>
      </c>
      <c r="I2161" s="3" t="s">
        <v>38</v>
      </c>
      <c r="J2161" s="3" t="s">
        <v>32</v>
      </c>
      <c r="K2161" s="3">
        <f>_xlfn.XLOOKUP(tbl_main[[#This Row],[Service]],tbl_service[Service],tbl_service[Price],"")</f>
        <v>100</v>
      </c>
      <c r="L2161" s="3">
        <v>2</v>
      </c>
      <c r="M2161" s="3">
        <f>IF(AND(tbl_main[[#This Row],[Price]]="",tbl_main[[#This Row],[Qty]]=""),"",tbl_main[[#This Row],[Price]]*tbl_main[[#This Row],[Qty]])</f>
        <v>200</v>
      </c>
      <c r="N2161" s="3">
        <f>_xlfn.LET(_xlpm.x,_xlfn.XLOOKUP(tbl_main[[#This Row],[Service]],tbl_service[Service],tbl_service[Profit],""),
               IF(tbl_main[[#This Row],[Qty]]="","",_xlpm.x*tbl_main[[#This Row],[Qty]]))</f>
        <v>90</v>
      </c>
    </row>
    <row r="2162" spans="1:14" x14ac:dyDescent="0.25">
      <c r="A2162" t="s">
        <v>2204</v>
      </c>
      <c r="B2162" s="1">
        <v>46378</v>
      </c>
      <c r="C2162">
        <f>IF(tbl_main[[#This Row],[Date]]="","",YEAR(B2162))</f>
        <v>2026</v>
      </c>
      <c r="D2162" t="str">
        <f>IF(tbl_main[[#This Row],[Date]]="","",TEXT(B2162,"mmm"))</f>
        <v>Dec</v>
      </c>
      <c r="E2162" t="str">
        <f>IF(tbl_main[[#This Row],[Date]]="","",TEXT(B2162,"DDD"))</f>
        <v>Tue</v>
      </c>
      <c r="F2162" t="s">
        <v>20</v>
      </c>
      <c r="G2162" t="s">
        <v>21</v>
      </c>
      <c r="H2162" s="3" t="s">
        <v>24</v>
      </c>
      <c r="I2162" s="3" t="s">
        <v>16</v>
      </c>
      <c r="J2162" s="3" t="s">
        <v>32</v>
      </c>
      <c r="K2162" s="3">
        <f>_xlfn.XLOOKUP(tbl_main[[#This Row],[Service]],tbl_service[Service],tbl_service[Price],"")</f>
        <v>80</v>
      </c>
      <c r="L2162" s="3">
        <v>1</v>
      </c>
      <c r="M2162" s="3">
        <f>IF(AND(tbl_main[[#This Row],[Price]]="",tbl_main[[#This Row],[Qty]]=""),"",tbl_main[[#This Row],[Price]]*tbl_main[[#This Row],[Qty]])</f>
        <v>80</v>
      </c>
      <c r="N2162" s="3">
        <f>_xlfn.LET(_xlpm.x,_xlfn.XLOOKUP(tbl_main[[#This Row],[Service]],tbl_service[Service],tbl_service[Profit],""),
               IF(tbl_main[[#This Row],[Qty]]="","",_xlpm.x*tbl_main[[#This Row],[Qty]]))</f>
        <v>36</v>
      </c>
    </row>
    <row r="2163" spans="1:14" x14ac:dyDescent="0.25">
      <c r="A2163" t="s">
        <v>2205</v>
      </c>
      <c r="B2163" s="1">
        <v>46378</v>
      </c>
      <c r="C2163">
        <f>IF(tbl_main[[#This Row],[Date]]="","",YEAR(B2163))</f>
        <v>2026</v>
      </c>
      <c r="D2163" t="str">
        <f>IF(tbl_main[[#This Row],[Date]]="","",TEXT(B2163,"mmm"))</f>
        <v>Dec</v>
      </c>
      <c r="E2163" t="str">
        <f>IF(tbl_main[[#This Row],[Date]]="","",TEXT(B2163,"DDD"))</f>
        <v>Tue</v>
      </c>
      <c r="F2163" t="s">
        <v>13</v>
      </c>
      <c r="G2163" t="s">
        <v>33</v>
      </c>
      <c r="H2163" s="3" t="s">
        <v>24</v>
      </c>
      <c r="I2163" s="3" t="s">
        <v>19</v>
      </c>
      <c r="J2163" s="3" t="s">
        <v>25</v>
      </c>
      <c r="K2163" s="3">
        <f>_xlfn.XLOOKUP(tbl_main[[#This Row],[Service]],tbl_service[Service],tbl_service[Price],"")</f>
        <v>80</v>
      </c>
      <c r="L2163" s="3">
        <v>1</v>
      </c>
      <c r="M2163" s="3">
        <f>IF(AND(tbl_main[[#This Row],[Price]]="",tbl_main[[#This Row],[Qty]]=""),"",tbl_main[[#This Row],[Price]]*tbl_main[[#This Row],[Qty]])</f>
        <v>80</v>
      </c>
      <c r="N2163" s="3">
        <f>_xlfn.LET(_xlpm.x,_xlfn.XLOOKUP(tbl_main[[#This Row],[Service]],tbl_service[Service],tbl_service[Profit],""),
               IF(tbl_main[[#This Row],[Qty]]="","",_xlpm.x*tbl_main[[#This Row],[Qty]]))</f>
        <v>36</v>
      </c>
    </row>
    <row r="2164" spans="1:14" x14ac:dyDescent="0.25">
      <c r="A2164" t="s">
        <v>2206</v>
      </c>
      <c r="B2164" s="1">
        <v>46378</v>
      </c>
      <c r="C2164">
        <f>IF(tbl_main[[#This Row],[Date]]="","",YEAR(B2164))</f>
        <v>2026</v>
      </c>
      <c r="D2164" t="str">
        <f>IF(tbl_main[[#This Row],[Date]]="","",TEXT(B2164,"mmm"))</f>
        <v>Dec</v>
      </c>
      <c r="E2164" t="str">
        <f>IF(tbl_main[[#This Row],[Date]]="","",TEXT(B2164,"DDD"))</f>
        <v>Tue</v>
      </c>
      <c r="F2164" t="s">
        <v>30</v>
      </c>
      <c r="G2164" t="s">
        <v>36</v>
      </c>
      <c r="H2164" s="3" t="s">
        <v>22</v>
      </c>
      <c r="I2164" s="3" t="s">
        <v>43</v>
      </c>
      <c r="J2164" s="3" t="s">
        <v>32</v>
      </c>
      <c r="K2164" s="3">
        <f>_xlfn.XLOOKUP(tbl_main[[#This Row],[Service]],tbl_service[Service],tbl_service[Price],"")</f>
        <v>150</v>
      </c>
      <c r="L2164" s="3">
        <v>2</v>
      </c>
      <c r="M2164" s="3">
        <f>IF(AND(tbl_main[[#This Row],[Price]]="",tbl_main[[#This Row],[Qty]]=""),"",tbl_main[[#This Row],[Price]]*tbl_main[[#This Row],[Qty]])</f>
        <v>300</v>
      </c>
      <c r="N2164" s="3">
        <f>_xlfn.LET(_xlpm.x,_xlfn.XLOOKUP(tbl_main[[#This Row],[Service]],tbl_service[Service],tbl_service[Profit],""),
               IF(tbl_main[[#This Row],[Qty]]="","",_xlpm.x*tbl_main[[#This Row],[Qty]]))</f>
        <v>134</v>
      </c>
    </row>
    <row r="2165" spans="1:14" x14ac:dyDescent="0.25">
      <c r="A2165" t="s">
        <v>2207</v>
      </c>
      <c r="B2165" s="1">
        <v>46379</v>
      </c>
      <c r="C2165">
        <f>IF(tbl_main[[#This Row],[Date]]="","",YEAR(B2165))</f>
        <v>2026</v>
      </c>
      <c r="D2165" t="str">
        <f>IF(tbl_main[[#This Row],[Date]]="","",TEXT(B2165,"mmm"))</f>
        <v>Dec</v>
      </c>
      <c r="E2165" t="str">
        <f>IF(tbl_main[[#This Row],[Date]]="","",TEXT(B2165,"DDD"))</f>
        <v>Wed</v>
      </c>
      <c r="F2165" t="s">
        <v>13</v>
      </c>
      <c r="G2165" t="s">
        <v>14</v>
      </c>
      <c r="H2165" s="3" t="s">
        <v>34</v>
      </c>
      <c r="I2165" s="3" t="s">
        <v>42</v>
      </c>
      <c r="J2165" s="3" t="s">
        <v>32</v>
      </c>
      <c r="K2165" s="3">
        <f>_xlfn.XLOOKUP(tbl_main[[#This Row],[Service]],tbl_service[Service],tbl_service[Price],"")</f>
        <v>100</v>
      </c>
      <c r="L2165" s="3">
        <v>1</v>
      </c>
      <c r="M2165" s="3">
        <f>IF(AND(tbl_main[[#This Row],[Price]]="",tbl_main[[#This Row],[Qty]]=""),"",tbl_main[[#This Row],[Price]]*tbl_main[[#This Row],[Qty]])</f>
        <v>100</v>
      </c>
      <c r="N2165" s="3">
        <f>_xlfn.LET(_xlpm.x,_xlfn.XLOOKUP(tbl_main[[#This Row],[Service]],tbl_service[Service],tbl_service[Profit],""),
               IF(tbl_main[[#This Row],[Qty]]="","",_xlpm.x*tbl_main[[#This Row],[Qty]]))</f>
        <v>45</v>
      </c>
    </row>
    <row r="2166" spans="1:14" x14ac:dyDescent="0.25">
      <c r="A2166" t="s">
        <v>2208</v>
      </c>
      <c r="B2166" s="1">
        <v>46379</v>
      </c>
      <c r="C2166">
        <f>IF(tbl_main[[#This Row],[Date]]="","",YEAR(B2166))</f>
        <v>2026</v>
      </c>
      <c r="D2166" t="str">
        <f>IF(tbl_main[[#This Row],[Date]]="","",TEXT(B2166,"mmm"))</f>
        <v>Dec</v>
      </c>
      <c r="E2166" t="str">
        <f>IF(tbl_main[[#This Row],[Date]]="","",TEXT(B2166,"DDD"))</f>
        <v>Wed</v>
      </c>
      <c r="F2166" t="s">
        <v>27</v>
      </c>
      <c r="G2166" t="s">
        <v>28</v>
      </c>
      <c r="H2166" s="3" t="s">
        <v>22</v>
      </c>
      <c r="I2166" s="3" t="s">
        <v>41</v>
      </c>
      <c r="J2166" s="3" t="s">
        <v>17</v>
      </c>
      <c r="K2166" s="3">
        <f>_xlfn.XLOOKUP(tbl_main[[#This Row],[Service]],tbl_service[Service],tbl_service[Price],"")</f>
        <v>150</v>
      </c>
      <c r="L2166" s="3">
        <v>2</v>
      </c>
      <c r="M2166" s="3">
        <f>IF(AND(tbl_main[[#This Row],[Price]]="",tbl_main[[#This Row],[Qty]]=""),"",tbl_main[[#This Row],[Price]]*tbl_main[[#This Row],[Qty]])</f>
        <v>300</v>
      </c>
      <c r="N2166" s="3">
        <f>_xlfn.LET(_xlpm.x,_xlfn.XLOOKUP(tbl_main[[#This Row],[Service]],tbl_service[Service],tbl_service[Profit],""),
               IF(tbl_main[[#This Row],[Qty]]="","",_xlpm.x*tbl_main[[#This Row],[Qty]]))</f>
        <v>134</v>
      </c>
    </row>
    <row r="2167" spans="1:14" x14ac:dyDescent="0.25">
      <c r="A2167" t="s">
        <v>2209</v>
      </c>
      <c r="B2167" s="1">
        <v>46379</v>
      </c>
      <c r="C2167">
        <f>IF(tbl_main[[#This Row],[Date]]="","",YEAR(B2167))</f>
        <v>2026</v>
      </c>
      <c r="D2167" t="str">
        <f>IF(tbl_main[[#This Row],[Date]]="","",TEXT(B2167,"mmm"))</f>
        <v>Dec</v>
      </c>
      <c r="E2167" t="str">
        <f>IF(tbl_main[[#This Row],[Date]]="","",TEXT(B2167,"DDD"))</f>
        <v>Wed</v>
      </c>
      <c r="F2167" t="s">
        <v>27</v>
      </c>
      <c r="G2167" t="s">
        <v>40</v>
      </c>
      <c r="H2167" s="3" t="s">
        <v>24</v>
      </c>
      <c r="I2167" s="3" t="s">
        <v>35</v>
      </c>
      <c r="J2167" s="3" t="s">
        <v>25</v>
      </c>
      <c r="K2167" s="3">
        <f>_xlfn.XLOOKUP(tbl_main[[#This Row],[Service]],tbl_service[Service],tbl_service[Price],"")</f>
        <v>80</v>
      </c>
      <c r="L2167" s="3">
        <v>2</v>
      </c>
      <c r="M2167" s="3">
        <f>IF(AND(tbl_main[[#This Row],[Price]]="",tbl_main[[#This Row],[Qty]]=""),"",tbl_main[[#This Row],[Price]]*tbl_main[[#This Row],[Qty]])</f>
        <v>160</v>
      </c>
      <c r="N2167" s="3">
        <f>_xlfn.LET(_xlpm.x,_xlfn.XLOOKUP(tbl_main[[#This Row],[Service]],tbl_service[Service],tbl_service[Profit],""),
               IF(tbl_main[[#This Row],[Qty]]="","",_xlpm.x*tbl_main[[#This Row],[Qty]]))</f>
        <v>72</v>
      </c>
    </row>
    <row r="2168" spans="1:14" x14ac:dyDescent="0.25">
      <c r="A2168" t="s">
        <v>2210</v>
      </c>
      <c r="B2168" s="1">
        <v>46379</v>
      </c>
      <c r="C2168">
        <f>IF(tbl_main[[#This Row],[Date]]="","",YEAR(B2168))</f>
        <v>2026</v>
      </c>
      <c r="D2168" t="str">
        <f>IF(tbl_main[[#This Row],[Date]]="","",TEXT(B2168,"mmm"))</f>
        <v>Dec</v>
      </c>
      <c r="E2168" t="str">
        <f>IF(tbl_main[[#This Row],[Date]]="","",TEXT(B2168,"DDD"))</f>
        <v>Wed</v>
      </c>
      <c r="F2168" t="s">
        <v>13</v>
      </c>
      <c r="G2168" t="s">
        <v>14</v>
      </c>
      <c r="H2168" s="3" t="s">
        <v>15</v>
      </c>
      <c r="I2168" s="3" t="s">
        <v>35</v>
      </c>
      <c r="J2168" s="3" t="s">
        <v>25</v>
      </c>
      <c r="K2168" s="3">
        <f>_xlfn.XLOOKUP(tbl_main[[#This Row],[Service]],tbl_service[Service],tbl_service[Price],"")</f>
        <v>500</v>
      </c>
      <c r="L2168" s="3">
        <v>2</v>
      </c>
      <c r="M2168" s="3">
        <f>IF(AND(tbl_main[[#This Row],[Price]]="",tbl_main[[#This Row],[Qty]]=""),"",tbl_main[[#This Row],[Price]]*tbl_main[[#This Row],[Qty]])</f>
        <v>1000</v>
      </c>
      <c r="N2168" s="3">
        <f>_xlfn.LET(_xlpm.x,_xlfn.XLOOKUP(tbl_main[[#This Row],[Service]],tbl_service[Service],tbl_service[Profit],""),
               IF(tbl_main[[#This Row],[Qty]]="","",_xlpm.x*tbl_main[[#This Row],[Qty]]))</f>
        <v>450</v>
      </c>
    </row>
    <row r="2169" spans="1:14" x14ac:dyDescent="0.25">
      <c r="A2169" t="s">
        <v>2211</v>
      </c>
      <c r="B2169" s="1">
        <v>46380</v>
      </c>
      <c r="C2169">
        <f>IF(tbl_main[[#This Row],[Date]]="","",YEAR(B2169))</f>
        <v>2026</v>
      </c>
      <c r="D2169" t="str">
        <f>IF(tbl_main[[#This Row],[Date]]="","",TEXT(B2169,"mmm"))</f>
        <v>Dec</v>
      </c>
      <c r="E2169" t="str">
        <f>IF(tbl_main[[#This Row],[Date]]="","",TEXT(B2169,"DDD"))</f>
        <v>Thu</v>
      </c>
      <c r="F2169" t="s">
        <v>30</v>
      </c>
      <c r="G2169" t="s">
        <v>31</v>
      </c>
      <c r="H2169" s="3" t="s">
        <v>34</v>
      </c>
      <c r="I2169" s="3" t="s">
        <v>23</v>
      </c>
      <c r="J2169" s="3" t="s">
        <v>25</v>
      </c>
      <c r="K2169" s="3">
        <f>_xlfn.XLOOKUP(tbl_main[[#This Row],[Service]],tbl_service[Service],tbl_service[Price],"")</f>
        <v>100</v>
      </c>
      <c r="L2169" s="3">
        <v>1</v>
      </c>
      <c r="M2169" s="3">
        <f>IF(AND(tbl_main[[#This Row],[Price]]="",tbl_main[[#This Row],[Qty]]=""),"",tbl_main[[#This Row],[Price]]*tbl_main[[#This Row],[Qty]])</f>
        <v>100</v>
      </c>
      <c r="N2169" s="3">
        <f>_xlfn.LET(_xlpm.x,_xlfn.XLOOKUP(tbl_main[[#This Row],[Service]],tbl_service[Service],tbl_service[Profit],""),
               IF(tbl_main[[#This Row],[Qty]]="","",_xlpm.x*tbl_main[[#This Row],[Qty]]))</f>
        <v>45</v>
      </c>
    </row>
    <row r="2170" spans="1:14" x14ac:dyDescent="0.25">
      <c r="A2170" t="s">
        <v>2212</v>
      </c>
      <c r="B2170" s="1">
        <v>46380</v>
      </c>
      <c r="C2170">
        <f>IF(tbl_main[[#This Row],[Date]]="","",YEAR(B2170))</f>
        <v>2026</v>
      </c>
      <c r="D2170" t="str">
        <f>IF(tbl_main[[#This Row],[Date]]="","",TEXT(B2170,"mmm"))</f>
        <v>Dec</v>
      </c>
      <c r="E2170" t="str">
        <f>IF(tbl_main[[#This Row],[Date]]="","",TEXT(B2170,"DDD"))</f>
        <v>Thu</v>
      </c>
      <c r="F2170" t="s">
        <v>13</v>
      </c>
      <c r="G2170" t="s">
        <v>14</v>
      </c>
      <c r="H2170" s="3" t="s">
        <v>34</v>
      </c>
      <c r="I2170" s="3" t="s">
        <v>37</v>
      </c>
      <c r="J2170" s="3" t="s">
        <v>17</v>
      </c>
      <c r="K2170" s="3">
        <f>_xlfn.XLOOKUP(tbl_main[[#This Row],[Service]],tbl_service[Service],tbl_service[Price],"")</f>
        <v>100</v>
      </c>
      <c r="L2170" s="3">
        <v>2</v>
      </c>
      <c r="M2170" s="3">
        <f>IF(AND(tbl_main[[#This Row],[Price]]="",tbl_main[[#This Row],[Qty]]=""),"",tbl_main[[#This Row],[Price]]*tbl_main[[#This Row],[Qty]])</f>
        <v>200</v>
      </c>
      <c r="N2170" s="3">
        <f>_xlfn.LET(_xlpm.x,_xlfn.XLOOKUP(tbl_main[[#This Row],[Service]],tbl_service[Service],tbl_service[Profit],""),
               IF(tbl_main[[#This Row],[Qty]]="","",_xlpm.x*tbl_main[[#This Row],[Qty]]))</f>
        <v>90</v>
      </c>
    </row>
    <row r="2171" spans="1:14" x14ac:dyDescent="0.25">
      <c r="A2171" t="s">
        <v>2213</v>
      </c>
      <c r="B2171" s="1">
        <v>46380</v>
      </c>
      <c r="C2171">
        <f>IF(tbl_main[[#This Row],[Date]]="","",YEAR(B2171))</f>
        <v>2026</v>
      </c>
      <c r="D2171" t="str">
        <f>IF(tbl_main[[#This Row],[Date]]="","",TEXT(B2171,"mmm"))</f>
        <v>Dec</v>
      </c>
      <c r="E2171" t="str">
        <f>IF(tbl_main[[#This Row],[Date]]="","",TEXT(B2171,"DDD"))</f>
        <v>Thu</v>
      </c>
      <c r="F2171" t="s">
        <v>20</v>
      </c>
      <c r="G2171" t="s">
        <v>21</v>
      </c>
      <c r="H2171" s="3" t="s">
        <v>24</v>
      </c>
      <c r="I2171" s="3" t="s">
        <v>38</v>
      </c>
      <c r="J2171" s="3" t="s">
        <v>25</v>
      </c>
      <c r="K2171" s="3">
        <f>_xlfn.XLOOKUP(tbl_main[[#This Row],[Service]],tbl_service[Service],tbl_service[Price],"")</f>
        <v>80</v>
      </c>
      <c r="L2171" s="3">
        <v>1</v>
      </c>
      <c r="M2171" s="3">
        <f>IF(AND(tbl_main[[#This Row],[Price]]="",tbl_main[[#This Row],[Qty]]=""),"",tbl_main[[#This Row],[Price]]*tbl_main[[#This Row],[Qty]])</f>
        <v>80</v>
      </c>
      <c r="N2171" s="3">
        <f>_xlfn.LET(_xlpm.x,_xlfn.XLOOKUP(tbl_main[[#This Row],[Service]],tbl_service[Service],tbl_service[Profit],""),
               IF(tbl_main[[#This Row],[Qty]]="","",_xlpm.x*tbl_main[[#This Row],[Qty]]))</f>
        <v>36</v>
      </c>
    </row>
    <row r="2172" spans="1:14" x14ac:dyDescent="0.25">
      <c r="A2172" t="s">
        <v>2214</v>
      </c>
      <c r="B2172" s="1">
        <v>46381</v>
      </c>
      <c r="C2172">
        <f>IF(tbl_main[[#This Row],[Date]]="","",YEAR(B2172))</f>
        <v>2026</v>
      </c>
      <c r="D2172" t="str">
        <f>IF(tbl_main[[#This Row],[Date]]="","",TEXT(B2172,"mmm"))</f>
        <v>Dec</v>
      </c>
      <c r="E2172" t="str">
        <f>IF(tbl_main[[#This Row],[Date]]="","",TEXT(B2172,"DDD"))</f>
        <v>Fri</v>
      </c>
      <c r="F2172" t="s">
        <v>30</v>
      </c>
      <c r="G2172" t="s">
        <v>36</v>
      </c>
      <c r="H2172" s="3" t="s">
        <v>18</v>
      </c>
      <c r="I2172" s="3" t="s">
        <v>38</v>
      </c>
      <c r="J2172" s="3" t="s">
        <v>32</v>
      </c>
      <c r="K2172" s="3">
        <f>_xlfn.XLOOKUP(tbl_main[[#This Row],[Service]],tbl_service[Service],tbl_service[Price],"")</f>
        <v>500</v>
      </c>
      <c r="L2172" s="3">
        <v>2</v>
      </c>
      <c r="M2172" s="3">
        <f>IF(AND(tbl_main[[#This Row],[Price]]="",tbl_main[[#This Row],[Qty]]=""),"",tbl_main[[#This Row],[Price]]*tbl_main[[#This Row],[Qty]])</f>
        <v>1000</v>
      </c>
      <c r="N2172" s="3">
        <f>_xlfn.LET(_xlpm.x,_xlfn.XLOOKUP(tbl_main[[#This Row],[Service]],tbl_service[Service],tbl_service[Profit],""),
               IF(tbl_main[[#This Row],[Qty]]="","",_xlpm.x*tbl_main[[#This Row],[Qty]]))</f>
        <v>314</v>
      </c>
    </row>
    <row r="2173" spans="1:14" x14ac:dyDescent="0.25">
      <c r="A2173" t="s">
        <v>2215</v>
      </c>
      <c r="B2173" s="1">
        <v>46381</v>
      </c>
      <c r="C2173">
        <f>IF(tbl_main[[#This Row],[Date]]="","",YEAR(B2173))</f>
        <v>2026</v>
      </c>
      <c r="D2173" t="str">
        <f>IF(tbl_main[[#This Row],[Date]]="","",TEXT(B2173,"mmm"))</f>
        <v>Dec</v>
      </c>
      <c r="E2173" t="str">
        <f>IF(tbl_main[[#This Row],[Date]]="","",TEXT(B2173,"DDD"))</f>
        <v>Fri</v>
      </c>
      <c r="F2173" t="s">
        <v>20</v>
      </c>
      <c r="G2173" t="s">
        <v>21</v>
      </c>
      <c r="H2173" s="3" t="s">
        <v>24</v>
      </c>
      <c r="I2173" s="3" t="s">
        <v>38</v>
      </c>
      <c r="J2173" s="3" t="s">
        <v>25</v>
      </c>
      <c r="K2173" s="3">
        <f>_xlfn.XLOOKUP(tbl_main[[#This Row],[Service]],tbl_service[Service],tbl_service[Price],"")</f>
        <v>80</v>
      </c>
      <c r="L2173" s="3">
        <v>2</v>
      </c>
      <c r="M2173" s="3">
        <f>IF(AND(tbl_main[[#This Row],[Price]]="",tbl_main[[#This Row],[Qty]]=""),"",tbl_main[[#This Row],[Price]]*tbl_main[[#This Row],[Qty]])</f>
        <v>160</v>
      </c>
      <c r="N2173" s="3">
        <f>_xlfn.LET(_xlpm.x,_xlfn.XLOOKUP(tbl_main[[#This Row],[Service]],tbl_service[Service],tbl_service[Profit],""),
               IF(tbl_main[[#This Row],[Qty]]="","",_xlpm.x*tbl_main[[#This Row],[Qty]]))</f>
        <v>72</v>
      </c>
    </row>
    <row r="2174" spans="1:14" x14ac:dyDescent="0.25">
      <c r="A2174" t="s">
        <v>2216</v>
      </c>
      <c r="B2174" s="1">
        <v>46381</v>
      </c>
      <c r="C2174">
        <f>IF(tbl_main[[#This Row],[Date]]="","",YEAR(B2174))</f>
        <v>2026</v>
      </c>
      <c r="D2174" t="str">
        <f>IF(tbl_main[[#This Row],[Date]]="","",TEXT(B2174,"mmm"))</f>
        <v>Dec</v>
      </c>
      <c r="E2174" t="str">
        <f>IF(tbl_main[[#This Row],[Date]]="","",TEXT(B2174,"DDD"))</f>
        <v>Fri</v>
      </c>
      <c r="F2174" t="s">
        <v>13</v>
      </c>
      <c r="G2174" t="s">
        <v>33</v>
      </c>
      <c r="H2174" s="3" t="s">
        <v>26</v>
      </c>
      <c r="I2174" s="3" t="s">
        <v>38</v>
      </c>
      <c r="J2174" s="3" t="s">
        <v>17</v>
      </c>
      <c r="K2174" s="3">
        <f>_xlfn.XLOOKUP(tbl_main[[#This Row],[Service]],tbl_service[Service],tbl_service[Price],"")</f>
        <v>200</v>
      </c>
      <c r="L2174" s="3">
        <v>1</v>
      </c>
      <c r="M2174" s="3">
        <f>IF(AND(tbl_main[[#This Row],[Price]]="",tbl_main[[#This Row],[Qty]]=""),"",tbl_main[[#This Row],[Price]]*tbl_main[[#This Row],[Qty]])</f>
        <v>200</v>
      </c>
      <c r="N2174" s="3">
        <f>_xlfn.LET(_xlpm.x,_xlfn.XLOOKUP(tbl_main[[#This Row],[Service]],tbl_service[Service],tbl_service[Profit],""),
               IF(tbl_main[[#This Row],[Qty]]="","",_xlpm.x*tbl_main[[#This Row],[Qty]]))</f>
        <v>90</v>
      </c>
    </row>
    <row r="2175" spans="1:14" x14ac:dyDescent="0.25">
      <c r="A2175" t="s">
        <v>2217</v>
      </c>
      <c r="B2175" s="1">
        <v>46382</v>
      </c>
      <c r="C2175">
        <f>IF(tbl_main[[#This Row],[Date]]="","",YEAR(B2175))</f>
        <v>2026</v>
      </c>
      <c r="D2175" t="str">
        <f>IF(tbl_main[[#This Row],[Date]]="","",TEXT(B2175,"mmm"))</f>
        <v>Dec</v>
      </c>
      <c r="E2175" t="str">
        <f>IF(tbl_main[[#This Row],[Date]]="","",TEXT(B2175,"DDD"))</f>
        <v>Sat</v>
      </c>
      <c r="F2175" t="s">
        <v>27</v>
      </c>
      <c r="G2175" t="s">
        <v>28</v>
      </c>
      <c r="H2175" s="3" t="s">
        <v>22</v>
      </c>
      <c r="I2175" s="3" t="s">
        <v>38</v>
      </c>
      <c r="J2175" s="3" t="s">
        <v>17</v>
      </c>
      <c r="K2175" s="3">
        <f>_xlfn.XLOOKUP(tbl_main[[#This Row],[Service]],tbl_service[Service],tbl_service[Price],"")</f>
        <v>150</v>
      </c>
      <c r="L2175" s="3">
        <v>2</v>
      </c>
      <c r="M2175" s="3">
        <f>IF(AND(tbl_main[[#This Row],[Price]]="",tbl_main[[#This Row],[Qty]]=""),"",tbl_main[[#This Row],[Price]]*tbl_main[[#This Row],[Qty]])</f>
        <v>300</v>
      </c>
      <c r="N2175" s="3">
        <f>_xlfn.LET(_xlpm.x,_xlfn.XLOOKUP(tbl_main[[#This Row],[Service]],tbl_service[Service],tbl_service[Profit],""),
               IF(tbl_main[[#This Row],[Qty]]="","",_xlpm.x*tbl_main[[#This Row],[Qty]]))</f>
        <v>134</v>
      </c>
    </row>
    <row r="2176" spans="1:14" x14ac:dyDescent="0.25">
      <c r="A2176" t="s">
        <v>2218</v>
      </c>
      <c r="B2176" s="1">
        <v>46382</v>
      </c>
      <c r="C2176">
        <f>IF(tbl_main[[#This Row],[Date]]="","",YEAR(B2176))</f>
        <v>2026</v>
      </c>
      <c r="D2176" t="str">
        <f>IF(tbl_main[[#This Row],[Date]]="","",TEXT(B2176,"mmm"))</f>
        <v>Dec</v>
      </c>
      <c r="E2176" t="str">
        <f>IF(tbl_main[[#This Row],[Date]]="","",TEXT(B2176,"DDD"))</f>
        <v>Sat</v>
      </c>
      <c r="F2176" t="s">
        <v>20</v>
      </c>
      <c r="G2176" t="s">
        <v>39</v>
      </c>
      <c r="H2176" s="3" t="s">
        <v>24</v>
      </c>
      <c r="I2176" s="3" t="s">
        <v>41</v>
      </c>
      <c r="J2176" s="3" t="s">
        <v>32</v>
      </c>
      <c r="K2176" s="3">
        <f>_xlfn.XLOOKUP(tbl_main[[#This Row],[Service]],tbl_service[Service],tbl_service[Price],"")</f>
        <v>80</v>
      </c>
      <c r="L2176" s="3">
        <v>2</v>
      </c>
      <c r="M2176" s="3">
        <f>IF(AND(tbl_main[[#This Row],[Price]]="",tbl_main[[#This Row],[Qty]]=""),"",tbl_main[[#This Row],[Price]]*tbl_main[[#This Row],[Qty]])</f>
        <v>160</v>
      </c>
      <c r="N2176" s="3">
        <f>_xlfn.LET(_xlpm.x,_xlfn.XLOOKUP(tbl_main[[#This Row],[Service]],tbl_service[Service],tbl_service[Profit],""),
               IF(tbl_main[[#This Row],[Qty]]="","",_xlpm.x*tbl_main[[#This Row],[Qty]]))</f>
        <v>72</v>
      </c>
    </row>
    <row r="2177" spans="1:14" x14ac:dyDescent="0.25">
      <c r="A2177" t="s">
        <v>2219</v>
      </c>
      <c r="B2177" s="1">
        <v>46382</v>
      </c>
      <c r="C2177">
        <f>IF(tbl_main[[#This Row],[Date]]="","",YEAR(B2177))</f>
        <v>2026</v>
      </c>
      <c r="D2177" t="str">
        <f>IF(tbl_main[[#This Row],[Date]]="","",TEXT(B2177,"mmm"))</f>
        <v>Dec</v>
      </c>
      <c r="E2177" t="str">
        <f>IF(tbl_main[[#This Row],[Date]]="","",TEXT(B2177,"DDD"))</f>
        <v>Sat</v>
      </c>
      <c r="F2177" t="s">
        <v>20</v>
      </c>
      <c r="G2177" t="s">
        <v>21</v>
      </c>
      <c r="H2177" s="3" t="s">
        <v>22</v>
      </c>
      <c r="I2177" s="3" t="s">
        <v>35</v>
      </c>
      <c r="J2177" s="3" t="s">
        <v>17</v>
      </c>
      <c r="K2177" s="3">
        <f>_xlfn.XLOOKUP(tbl_main[[#This Row],[Service]],tbl_service[Service],tbl_service[Price],"")</f>
        <v>150</v>
      </c>
      <c r="L2177" s="3">
        <v>2</v>
      </c>
      <c r="M2177" s="3">
        <f>IF(AND(tbl_main[[#This Row],[Price]]="",tbl_main[[#This Row],[Qty]]=""),"",tbl_main[[#This Row],[Price]]*tbl_main[[#This Row],[Qty]])</f>
        <v>300</v>
      </c>
      <c r="N2177" s="3">
        <f>_xlfn.LET(_xlpm.x,_xlfn.XLOOKUP(tbl_main[[#This Row],[Service]],tbl_service[Service],tbl_service[Profit],""),
               IF(tbl_main[[#This Row],[Qty]]="","",_xlpm.x*tbl_main[[#This Row],[Qty]]))</f>
        <v>134</v>
      </c>
    </row>
    <row r="2178" spans="1:14" x14ac:dyDescent="0.25">
      <c r="A2178" t="s">
        <v>2220</v>
      </c>
      <c r="B2178" s="1">
        <v>46383</v>
      </c>
      <c r="C2178">
        <f>IF(tbl_main[[#This Row],[Date]]="","",YEAR(B2178))</f>
        <v>2026</v>
      </c>
      <c r="D2178" t="str">
        <f>IF(tbl_main[[#This Row],[Date]]="","",TEXT(B2178,"mmm"))</f>
        <v>Dec</v>
      </c>
      <c r="E2178" t="str">
        <f>IF(tbl_main[[#This Row],[Date]]="","",TEXT(B2178,"DDD"))</f>
        <v>Sun</v>
      </c>
      <c r="F2178" t="s">
        <v>30</v>
      </c>
      <c r="G2178" t="s">
        <v>36</v>
      </c>
      <c r="H2178" s="3" t="s">
        <v>26</v>
      </c>
      <c r="I2178" s="3" t="s">
        <v>35</v>
      </c>
      <c r="J2178" s="3" t="s">
        <v>17</v>
      </c>
      <c r="K2178" s="3">
        <f>_xlfn.XLOOKUP(tbl_main[[#This Row],[Service]],tbl_service[Service],tbl_service[Price],"")</f>
        <v>200</v>
      </c>
      <c r="L2178" s="3">
        <v>1</v>
      </c>
      <c r="M2178" s="3">
        <f>IF(AND(tbl_main[[#This Row],[Price]]="",tbl_main[[#This Row],[Qty]]=""),"",tbl_main[[#This Row],[Price]]*tbl_main[[#This Row],[Qty]])</f>
        <v>200</v>
      </c>
      <c r="N2178" s="3">
        <f>_xlfn.LET(_xlpm.x,_xlfn.XLOOKUP(tbl_main[[#This Row],[Service]],tbl_service[Service],tbl_service[Profit],""),
               IF(tbl_main[[#This Row],[Qty]]="","",_xlpm.x*tbl_main[[#This Row],[Qty]]))</f>
        <v>90</v>
      </c>
    </row>
    <row r="2179" spans="1:14" x14ac:dyDescent="0.25">
      <c r="A2179" t="s">
        <v>2221</v>
      </c>
      <c r="B2179" s="1">
        <v>46383</v>
      </c>
      <c r="C2179">
        <f>IF(tbl_main[[#This Row],[Date]]="","",YEAR(B2179))</f>
        <v>2026</v>
      </c>
      <c r="D2179" t="str">
        <f>IF(tbl_main[[#This Row],[Date]]="","",TEXT(B2179,"mmm"))</f>
        <v>Dec</v>
      </c>
      <c r="E2179" t="str">
        <f>IF(tbl_main[[#This Row],[Date]]="","",TEXT(B2179,"DDD"))</f>
        <v>Sun</v>
      </c>
      <c r="F2179" t="s">
        <v>27</v>
      </c>
      <c r="G2179" t="s">
        <v>40</v>
      </c>
      <c r="H2179" s="3" t="s">
        <v>18</v>
      </c>
      <c r="I2179" s="3" t="s">
        <v>23</v>
      </c>
      <c r="J2179" s="3" t="s">
        <v>17</v>
      </c>
      <c r="K2179" s="3">
        <f>_xlfn.XLOOKUP(tbl_main[[#This Row],[Service]],tbl_service[Service],tbl_service[Price],"")</f>
        <v>500</v>
      </c>
      <c r="L2179" s="3">
        <v>1</v>
      </c>
      <c r="M2179" s="3">
        <f>IF(AND(tbl_main[[#This Row],[Price]]="",tbl_main[[#This Row],[Qty]]=""),"",tbl_main[[#This Row],[Price]]*tbl_main[[#This Row],[Qty]])</f>
        <v>500</v>
      </c>
      <c r="N2179" s="3">
        <f>_xlfn.LET(_xlpm.x,_xlfn.XLOOKUP(tbl_main[[#This Row],[Service]],tbl_service[Service],tbl_service[Profit],""),
               IF(tbl_main[[#This Row],[Qty]]="","",_xlpm.x*tbl_main[[#This Row],[Qty]]))</f>
        <v>157</v>
      </c>
    </row>
    <row r="2180" spans="1:14" x14ac:dyDescent="0.25">
      <c r="A2180" t="s">
        <v>2222</v>
      </c>
      <c r="B2180" s="1">
        <v>46384</v>
      </c>
      <c r="C2180">
        <f>IF(tbl_main[[#This Row],[Date]]="","",YEAR(B2180))</f>
        <v>2026</v>
      </c>
      <c r="D2180" t="str">
        <f>IF(tbl_main[[#This Row],[Date]]="","",TEXT(B2180,"mmm"))</f>
        <v>Dec</v>
      </c>
      <c r="E2180" t="str">
        <f>IF(tbl_main[[#This Row],[Date]]="","",TEXT(B2180,"DDD"))</f>
        <v>Mon</v>
      </c>
      <c r="F2180" t="s">
        <v>13</v>
      </c>
      <c r="G2180" t="s">
        <v>33</v>
      </c>
      <c r="H2180" s="3" t="s">
        <v>18</v>
      </c>
      <c r="I2180" s="3" t="s">
        <v>37</v>
      </c>
      <c r="J2180" s="3" t="s">
        <v>32</v>
      </c>
      <c r="K2180" s="3">
        <f>_xlfn.XLOOKUP(tbl_main[[#This Row],[Service]],tbl_service[Service],tbl_service[Price],"")</f>
        <v>500</v>
      </c>
      <c r="L2180" s="3">
        <v>1</v>
      </c>
      <c r="M2180" s="3">
        <f>IF(AND(tbl_main[[#This Row],[Price]]="",tbl_main[[#This Row],[Qty]]=""),"",tbl_main[[#This Row],[Price]]*tbl_main[[#This Row],[Qty]])</f>
        <v>500</v>
      </c>
      <c r="N2180" s="3">
        <f>_xlfn.LET(_xlpm.x,_xlfn.XLOOKUP(tbl_main[[#This Row],[Service]],tbl_service[Service],tbl_service[Profit],""),
               IF(tbl_main[[#This Row],[Qty]]="","",_xlpm.x*tbl_main[[#This Row],[Qty]]))</f>
        <v>157</v>
      </c>
    </row>
    <row r="2181" spans="1:14" x14ac:dyDescent="0.25">
      <c r="A2181" t="s">
        <v>2223</v>
      </c>
      <c r="B2181" s="1">
        <v>46384</v>
      </c>
      <c r="C2181">
        <f>IF(tbl_main[[#This Row],[Date]]="","",YEAR(B2181))</f>
        <v>2026</v>
      </c>
      <c r="D2181" t="str">
        <f>IF(tbl_main[[#This Row],[Date]]="","",TEXT(B2181,"mmm"))</f>
        <v>Dec</v>
      </c>
      <c r="E2181" t="str">
        <f>IF(tbl_main[[#This Row],[Date]]="","",TEXT(B2181,"DDD"))</f>
        <v>Mon</v>
      </c>
      <c r="F2181" t="s">
        <v>30</v>
      </c>
      <c r="G2181" t="s">
        <v>36</v>
      </c>
      <c r="H2181" s="3" t="s">
        <v>26</v>
      </c>
      <c r="I2181" s="3" t="s">
        <v>37</v>
      </c>
      <c r="J2181" s="3" t="s">
        <v>32</v>
      </c>
      <c r="K2181" s="3">
        <f>_xlfn.XLOOKUP(tbl_main[[#This Row],[Service]],tbl_service[Service],tbl_service[Price],"")</f>
        <v>200</v>
      </c>
      <c r="L2181" s="3">
        <v>1</v>
      </c>
      <c r="M2181" s="3">
        <f>IF(AND(tbl_main[[#This Row],[Price]]="",tbl_main[[#This Row],[Qty]]=""),"",tbl_main[[#This Row],[Price]]*tbl_main[[#This Row],[Qty]])</f>
        <v>200</v>
      </c>
      <c r="N2181" s="3">
        <f>_xlfn.LET(_xlpm.x,_xlfn.XLOOKUP(tbl_main[[#This Row],[Service]],tbl_service[Service],tbl_service[Profit],""),
               IF(tbl_main[[#This Row],[Qty]]="","",_xlpm.x*tbl_main[[#This Row],[Qty]]))</f>
        <v>90</v>
      </c>
    </row>
    <row r="2182" spans="1:14" x14ac:dyDescent="0.25">
      <c r="A2182" t="s">
        <v>2224</v>
      </c>
      <c r="B2182" s="1">
        <v>46384</v>
      </c>
      <c r="C2182">
        <f>IF(tbl_main[[#This Row],[Date]]="","",YEAR(B2182))</f>
        <v>2026</v>
      </c>
      <c r="D2182" t="str">
        <f>IF(tbl_main[[#This Row],[Date]]="","",TEXT(B2182,"mmm"))</f>
        <v>Dec</v>
      </c>
      <c r="E2182" t="str">
        <f>IF(tbl_main[[#This Row],[Date]]="","",TEXT(B2182,"DDD"))</f>
        <v>Mon</v>
      </c>
      <c r="F2182" t="s">
        <v>20</v>
      </c>
      <c r="G2182" t="s">
        <v>39</v>
      </c>
      <c r="H2182" s="3" t="s">
        <v>24</v>
      </c>
      <c r="I2182" s="3" t="s">
        <v>37</v>
      </c>
      <c r="J2182" s="3" t="s">
        <v>17</v>
      </c>
      <c r="K2182" s="3">
        <f>_xlfn.XLOOKUP(tbl_main[[#This Row],[Service]],tbl_service[Service],tbl_service[Price],"")</f>
        <v>80</v>
      </c>
      <c r="L2182" s="3">
        <v>2</v>
      </c>
      <c r="M2182" s="3">
        <f>IF(AND(tbl_main[[#This Row],[Price]]="",tbl_main[[#This Row],[Qty]]=""),"",tbl_main[[#This Row],[Price]]*tbl_main[[#This Row],[Qty]])</f>
        <v>160</v>
      </c>
      <c r="N2182" s="3">
        <f>_xlfn.LET(_xlpm.x,_xlfn.XLOOKUP(tbl_main[[#This Row],[Service]],tbl_service[Service],tbl_service[Profit],""),
               IF(tbl_main[[#This Row],[Qty]]="","",_xlpm.x*tbl_main[[#This Row],[Qty]]))</f>
        <v>72</v>
      </c>
    </row>
    <row r="2183" spans="1:14" x14ac:dyDescent="0.25">
      <c r="A2183" t="s">
        <v>2225</v>
      </c>
      <c r="B2183" s="1">
        <v>46385</v>
      </c>
      <c r="C2183">
        <f>IF(tbl_main[[#This Row],[Date]]="","",YEAR(B2183))</f>
        <v>2026</v>
      </c>
      <c r="D2183" t="str">
        <f>IF(tbl_main[[#This Row],[Date]]="","",TEXT(B2183,"mmm"))</f>
        <v>Dec</v>
      </c>
      <c r="E2183" t="str">
        <f>IF(tbl_main[[#This Row],[Date]]="","",TEXT(B2183,"DDD"))</f>
        <v>Tue</v>
      </c>
      <c r="F2183" t="s">
        <v>30</v>
      </c>
      <c r="G2183" t="s">
        <v>36</v>
      </c>
      <c r="H2183" s="3" t="s">
        <v>24</v>
      </c>
      <c r="I2183" s="3" t="s">
        <v>37</v>
      </c>
      <c r="J2183" s="3" t="s">
        <v>25</v>
      </c>
      <c r="K2183" s="3">
        <f>_xlfn.XLOOKUP(tbl_main[[#This Row],[Service]],tbl_service[Service],tbl_service[Price],"")</f>
        <v>80</v>
      </c>
      <c r="L2183" s="3">
        <v>2</v>
      </c>
      <c r="M2183" s="3">
        <f>IF(AND(tbl_main[[#This Row],[Price]]="",tbl_main[[#This Row],[Qty]]=""),"",tbl_main[[#This Row],[Price]]*tbl_main[[#This Row],[Qty]])</f>
        <v>160</v>
      </c>
      <c r="N2183" s="3">
        <f>_xlfn.LET(_xlpm.x,_xlfn.XLOOKUP(tbl_main[[#This Row],[Service]],tbl_service[Service],tbl_service[Profit],""),
               IF(tbl_main[[#This Row],[Qty]]="","",_xlpm.x*tbl_main[[#This Row],[Qty]]))</f>
        <v>72</v>
      </c>
    </row>
    <row r="2184" spans="1:14" x14ac:dyDescent="0.25">
      <c r="A2184" t="s">
        <v>2226</v>
      </c>
      <c r="B2184" s="1">
        <v>46385</v>
      </c>
      <c r="C2184">
        <f>IF(tbl_main[[#This Row],[Date]]="","",YEAR(B2184))</f>
        <v>2026</v>
      </c>
      <c r="D2184" t="str">
        <f>IF(tbl_main[[#This Row],[Date]]="","",TEXT(B2184,"mmm"))</f>
        <v>Dec</v>
      </c>
      <c r="E2184" t="str">
        <f>IF(tbl_main[[#This Row],[Date]]="","",TEXT(B2184,"DDD"))</f>
        <v>Tue</v>
      </c>
      <c r="F2184" t="s">
        <v>30</v>
      </c>
      <c r="G2184" t="s">
        <v>36</v>
      </c>
      <c r="H2184" s="3" t="s">
        <v>22</v>
      </c>
      <c r="I2184" s="3" t="s">
        <v>37</v>
      </c>
      <c r="J2184" s="3" t="s">
        <v>17</v>
      </c>
      <c r="K2184" s="3">
        <f>_xlfn.XLOOKUP(tbl_main[[#This Row],[Service]],tbl_service[Service],tbl_service[Price],"")</f>
        <v>150</v>
      </c>
      <c r="L2184" s="3">
        <v>2</v>
      </c>
      <c r="M2184" s="3">
        <f>IF(AND(tbl_main[[#This Row],[Price]]="",tbl_main[[#This Row],[Qty]]=""),"",tbl_main[[#This Row],[Price]]*tbl_main[[#This Row],[Qty]])</f>
        <v>300</v>
      </c>
      <c r="N2184" s="3">
        <f>_xlfn.LET(_xlpm.x,_xlfn.XLOOKUP(tbl_main[[#This Row],[Service]],tbl_service[Service],tbl_service[Profit],""),
               IF(tbl_main[[#This Row],[Qty]]="","",_xlpm.x*tbl_main[[#This Row],[Qty]]))</f>
        <v>134</v>
      </c>
    </row>
    <row r="2185" spans="1:14" x14ac:dyDescent="0.25">
      <c r="A2185" t="s">
        <v>2227</v>
      </c>
      <c r="B2185" s="1">
        <v>46385</v>
      </c>
      <c r="C2185">
        <f>IF(tbl_main[[#This Row],[Date]]="","",YEAR(B2185))</f>
        <v>2026</v>
      </c>
      <c r="D2185" t="str">
        <f>IF(tbl_main[[#This Row],[Date]]="","",TEXT(B2185,"mmm"))</f>
        <v>Dec</v>
      </c>
      <c r="E2185" t="str">
        <f>IF(tbl_main[[#This Row],[Date]]="","",TEXT(B2185,"DDD"))</f>
        <v>Tue</v>
      </c>
      <c r="F2185" t="s">
        <v>13</v>
      </c>
      <c r="G2185" t="s">
        <v>33</v>
      </c>
      <c r="H2185" s="3" t="s">
        <v>34</v>
      </c>
      <c r="I2185" s="3" t="s">
        <v>37</v>
      </c>
      <c r="J2185" s="3" t="s">
        <v>32</v>
      </c>
      <c r="K2185" s="3">
        <f>_xlfn.XLOOKUP(tbl_main[[#This Row],[Service]],tbl_service[Service],tbl_service[Price],"")</f>
        <v>100</v>
      </c>
      <c r="L2185" s="3">
        <v>1</v>
      </c>
      <c r="M2185" s="3">
        <f>IF(AND(tbl_main[[#This Row],[Price]]="",tbl_main[[#This Row],[Qty]]=""),"",tbl_main[[#This Row],[Price]]*tbl_main[[#This Row],[Qty]])</f>
        <v>100</v>
      </c>
      <c r="N2185" s="3">
        <f>_xlfn.LET(_xlpm.x,_xlfn.XLOOKUP(tbl_main[[#This Row],[Service]],tbl_service[Service],tbl_service[Profit],""),
               IF(tbl_main[[#This Row],[Qty]]="","",_xlpm.x*tbl_main[[#This Row],[Qty]]))</f>
        <v>45</v>
      </c>
    </row>
    <row r="2186" spans="1:14" x14ac:dyDescent="0.25">
      <c r="A2186" t="s">
        <v>2228</v>
      </c>
      <c r="B2186" s="1">
        <v>46385</v>
      </c>
      <c r="C2186">
        <f>IF(tbl_main[[#This Row],[Date]]="","",YEAR(B2186))</f>
        <v>2026</v>
      </c>
      <c r="D2186" t="str">
        <f>IF(tbl_main[[#This Row],[Date]]="","",TEXT(B2186,"mmm"))</f>
        <v>Dec</v>
      </c>
      <c r="E2186" t="str">
        <f>IF(tbl_main[[#This Row],[Date]]="","",TEXT(B2186,"DDD"))</f>
        <v>Tue</v>
      </c>
      <c r="F2186" t="s">
        <v>13</v>
      </c>
      <c r="G2186" t="s">
        <v>14</v>
      </c>
      <c r="H2186" s="3" t="s">
        <v>26</v>
      </c>
      <c r="I2186" s="3" t="s">
        <v>37</v>
      </c>
      <c r="J2186" s="3" t="s">
        <v>17</v>
      </c>
      <c r="K2186" s="3">
        <f>_xlfn.XLOOKUP(tbl_main[[#This Row],[Service]],tbl_service[Service],tbl_service[Price],"")</f>
        <v>200</v>
      </c>
      <c r="L2186" s="3">
        <v>2</v>
      </c>
      <c r="M2186" s="3">
        <f>IF(AND(tbl_main[[#This Row],[Price]]="",tbl_main[[#This Row],[Qty]]=""),"",tbl_main[[#This Row],[Price]]*tbl_main[[#This Row],[Qty]])</f>
        <v>400</v>
      </c>
      <c r="N2186" s="3">
        <f>_xlfn.LET(_xlpm.x,_xlfn.XLOOKUP(tbl_main[[#This Row],[Service]],tbl_service[Service],tbl_service[Profit],""),
               IF(tbl_main[[#This Row],[Qty]]="","",_xlpm.x*tbl_main[[#This Row],[Qty]]))</f>
        <v>180</v>
      </c>
    </row>
    <row r="2187" spans="1:14" x14ac:dyDescent="0.25">
      <c r="A2187" t="s">
        <v>2229</v>
      </c>
      <c r="B2187" s="1">
        <v>46386</v>
      </c>
      <c r="C2187">
        <f>IF(tbl_main[[#This Row],[Date]]="","",YEAR(B2187))</f>
        <v>2026</v>
      </c>
      <c r="D2187" t="str">
        <f>IF(tbl_main[[#This Row],[Date]]="","",TEXT(B2187,"mmm"))</f>
        <v>Dec</v>
      </c>
      <c r="E2187" t="str">
        <f>IF(tbl_main[[#This Row],[Date]]="","",TEXT(B2187,"DDD"))</f>
        <v>Wed</v>
      </c>
      <c r="F2187" t="s">
        <v>20</v>
      </c>
      <c r="G2187" t="s">
        <v>39</v>
      </c>
      <c r="H2187" s="3" t="s">
        <v>26</v>
      </c>
      <c r="I2187" s="3" t="s">
        <v>37</v>
      </c>
      <c r="J2187" s="3" t="s">
        <v>25</v>
      </c>
      <c r="K2187" s="3">
        <f>_xlfn.XLOOKUP(tbl_main[[#This Row],[Service]],tbl_service[Service],tbl_service[Price],"")</f>
        <v>200</v>
      </c>
      <c r="L2187" s="3">
        <v>2</v>
      </c>
      <c r="M2187" s="3">
        <f>IF(AND(tbl_main[[#This Row],[Price]]="",tbl_main[[#This Row],[Qty]]=""),"",tbl_main[[#This Row],[Price]]*tbl_main[[#This Row],[Qty]])</f>
        <v>400</v>
      </c>
      <c r="N2187" s="3">
        <f>_xlfn.LET(_xlpm.x,_xlfn.XLOOKUP(tbl_main[[#This Row],[Service]],tbl_service[Service],tbl_service[Profit],""),
               IF(tbl_main[[#This Row],[Qty]]="","",_xlpm.x*tbl_main[[#This Row],[Qty]]))</f>
        <v>180</v>
      </c>
    </row>
    <row r="2188" spans="1:14" x14ac:dyDescent="0.25">
      <c r="A2188" t="s">
        <v>2230</v>
      </c>
      <c r="B2188" s="1">
        <v>46386</v>
      </c>
      <c r="C2188">
        <f>IF(tbl_main[[#This Row],[Date]]="","",YEAR(B2188))</f>
        <v>2026</v>
      </c>
      <c r="D2188" t="str">
        <f>IF(tbl_main[[#This Row],[Date]]="","",TEXT(B2188,"mmm"))</f>
        <v>Dec</v>
      </c>
      <c r="E2188" t="str">
        <f>IF(tbl_main[[#This Row],[Date]]="","",TEXT(B2188,"DDD"))</f>
        <v>Wed</v>
      </c>
      <c r="F2188" t="s">
        <v>27</v>
      </c>
      <c r="G2188" t="s">
        <v>40</v>
      </c>
      <c r="H2188" s="3" t="s">
        <v>15</v>
      </c>
      <c r="I2188" s="3" t="s">
        <v>37</v>
      </c>
      <c r="J2188" s="3" t="s">
        <v>17</v>
      </c>
      <c r="K2188" s="3">
        <f>_xlfn.XLOOKUP(tbl_main[[#This Row],[Service]],tbl_service[Service],tbl_service[Price],"")</f>
        <v>500</v>
      </c>
      <c r="L2188" s="3">
        <v>2</v>
      </c>
      <c r="M2188" s="3">
        <f>IF(AND(tbl_main[[#This Row],[Price]]="",tbl_main[[#This Row],[Qty]]=""),"",tbl_main[[#This Row],[Price]]*tbl_main[[#This Row],[Qty]])</f>
        <v>1000</v>
      </c>
      <c r="N2188" s="3">
        <f>_xlfn.LET(_xlpm.x,_xlfn.XLOOKUP(tbl_main[[#This Row],[Service]],tbl_service[Service],tbl_service[Profit],""),
               IF(tbl_main[[#This Row],[Qty]]="","",_xlpm.x*tbl_main[[#This Row],[Qty]]))</f>
        <v>450</v>
      </c>
    </row>
    <row r="2189" spans="1:14" x14ac:dyDescent="0.25">
      <c r="A2189" t="s">
        <v>2231</v>
      </c>
      <c r="B2189" s="1">
        <v>46386</v>
      </c>
      <c r="C2189">
        <f>IF(tbl_main[[#This Row],[Date]]="","",YEAR(B2189))</f>
        <v>2026</v>
      </c>
      <c r="D2189" t="str">
        <f>IF(tbl_main[[#This Row],[Date]]="","",TEXT(B2189,"mmm"))</f>
        <v>Dec</v>
      </c>
      <c r="E2189" t="str">
        <f>IF(tbl_main[[#This Row],[Date]]="","",TEXT(B2189,"DDD"))</f>
        <v>Wed</v>
      </c>
      <c r="F2189" t="s">
        <v>20</v>
      </c>
      <c r="G2189" t="s">
        <v>21</v>
      </c>
      <c r="H2189" s="3" t="s">
        <v>22</v>
      </c>
      <c r="I2189" s="3" t="s">
        <v>37</v>
      </c>
      <c r="J2189" s="3" t="s">
        <v>25</v>
      </c>
      <c r="K2189" s="3">
        <f>_xlfn.XLOOKUP(tbl_main[[#This Row],[Service]],tbl_service[Service],tbl_service[Price],"")</f>
        <v>150</v>
      </c>
      <c r="L2189" s="3">
        <v>2</v>
      </c>
      <c r="M2189" s="3">
        <f>IF(AND(tbl_main[[#This Row],[Price]]="",tbl_main[[#This Row],[Qty]]=""),"",tbl_main[[#This Row],[Price]]*tbl_main[[#This Row],[Qty]])</f>
        <v>300</v>
      </c>
      <c r="N2189" s="3">
        <f>_xlfn.LET(_xlpm.x,_xlfn.XLOOKUP(tbl_main[[#This Row],[Service]],tbl_service[Service],tbl_service[Profit],""),
               IF(tbl_main[[#This Row],[Qty]]="","",_xlpm.x*tbl_main[[#This Row],[Qty]]))</f>
        <v>134</v>
      </c>
    </row>
    <row r="2190" spans="1:14" x14ac:dyDescent="0.25">
      <c r="A2190" t="s">
        <v>2232</v>
      </c>
      <c r="B2190" s="1">
        <v>46386</v>
      </c>
      <c r="C2190">
        <f>IF(tbl_main[[#This Row],[Date]]="","",YEAR(B2190))</f>
        <v>2026</v>
      </c>
      <c r="D2190" t="str">
        <f>IF(tbl_main[[#This Row],[Date]]="","",TEXT(B2190,"mmm"))</f>
        <v>Dec</v>
      </c>
      <c r="E2190" t="str">
        <f>IF(tbl_main[[#This Row],[Date]]="","",TEXT(B2190,"DDD"))</f>
        <v>Wed</v>
      </c>
      <c r="F2190" t="s">
        <v>20</v>
      </c>
      <c r="G2190" t="s">
        <v>21</v>
      </c>
      <c r="H2190" s="3" t="s">
        <v>24</v>
      </c>
      <c r="I2190" s="3" t="s">
        <v>37</v>
      </c>
      <c r="J2190" s="3" t="s">
        <v>17</v>
      </c>
      <c r="K2190" s="3">
        <f>_xlfn.XLOOKUP(tbl_main[[#This Row],[Service]],tbl_service[Service],tbl_service[Price],"")</f>
        <v>80</v>
      </c>
      <c r="L2190" s="3">
        <v>1</v>
      </c>
      <c r="M2190" s="3">
        <f>IF(AND(tbl_main[[#This Row],[Price]]="",tbl_main[[#This Row],[Qty]]=""),"",tbl_main[[#This Row],[Price]]*tbl_main[[#This Row],[Qty]])</f>
        <v>80</v>
      </c>
      <c r="N2190" s="3">
        <f>_xlfn.LET(_xlpm.x,_xlfn.XLOOKUP(tbl_main[[#This Row],[Service]],tbl_service[Service],tbl_service[Profit],""),
               IF(tbl_main[[#This Row],[Qty]]="","",_xlpm.x*tbl_main[[#This Row],[Qty]]))</f>
        <v>36</v>
      </c>
    </row>
    <row r="2191" spans="1:14" x14ac:dyDescent="0.25">
      <c r="A2191" t="s">
        <v>2233</v>
      </c>
      <c r="B2191" s="1">
        <v>46387</v>
      </c>
      <c r="C2191">
        <f>IF(tbl_main[[#This Row],[Date]]="","",YEAR(B2191))</f>
        <v>2026</v>
      </c>
      <c r="D2191" t="str">
        <f>IF(tbl_main[[#This Row],[Date]]="","",TEXT(B2191,"mmm"))</f>
        <v>Dec</v>
      </c>
      <c r="E2191" t="str">
        <f>IF(tbl_main[[#This Row],[Date]]="","",TEXT(B2191,"DDD"))</f>
        <v>Thu</v>
      </c>
      <c r="F2191" t="s">
        <v>30</v>
      </c>
      <c r="G2191" t="s">
        <v>36</v>
      </c>
      <c r="H2191" s="3" t="s">
        <v>26</v>
      </c>
      <c r="I2191" s="3" t="s">
        <v>38</v>
      </c>
      <c r="J2191" s="3" t="s">
        <v>25</v>
      </c>
      <c r="K2191" s="3">
        <f>_xlfn.XLOOKUP(tbl_main[[#This Row],[Service]],tbl_service[Service],tbl_service[Price],"")</f>
        <v>200</v>
      </c>
      <c r="L2191" s="3">
        <v>1</v>
      </c>
      <c r="M2191" s="3">
        <f>IF(AND(tbl_main[[#This Row],[Price]]="",tbl_main[[#This Row],[Qty]]=""),"",tbl_main[[#This Row],[Price]]*tbl_main[[#This Row],[Qty]])</f>
        <v>200</v>
      </c>
      <c r="N2191" s="3">
        <f>_xlfn.LET(_xlpm.x,_xlfn.XLOOKUP(tbl_main[[#This Row],[Service]],tbl_service[Service],tbl_service[Profit],""),
               IF(tbl_main[[#This Row],[Qty]]="","",_xlpm.x*tbl_main[[#This Row],[Qty]]))</f>
        <v>90</v>
      </c>
    </row>
    <row r="2192" spans="1:14" x14ac:dyDescent="0.25">
      <c r="A2192" t="s">
        <v>2234</v>
      </c>
      <c r="B2192" s="1">
        <v>46387</v>
      </c>
      <c r="C2192">
        <f>IF(tbl_main[[#This Row],[Date]]="","",YEAR(B2192))</f>
        <v>2026</v>
      </c>
      <c r="D2192" t="str">
        <f>IF(tbl_main[[#This Row],[Date]]="","",TEXT(B2192,"mmm"))</f>
        <v>Dec</v>
      </c>
      <c r="E2192" t="str">
        <f>IF(tbl_main[[#This Row],[Date]]="","",TEXT(B2192,"DDD"))</f>
        <v>Thu</v>
      </c>
      <c r="F2192" t="s">
        <v>27</v>
      </c>
      <c r="G2192" t="s">
        <v>40</v>
      </c>
      <c r="H2192" s="3" t="s">
        <v>22</v>
      </c>
      <c r="I2192" s="3" t="s">
        <v>16</v>
      </c>
      <c r="J2192" s="3" t="s">
        <v>25</v>
      </c>
      <c r="K2192" s="3">
        <f>_xlfn.XLOOKUP(tbl_main[[#This Row],[Service]],tbl_service[Service],tbl_service[Price],"")</f>
        <v>150</v>
      </c>
      <c r="L2192" s="3">
        <v>1</v>
      </c>
      <c r="M2192" s="3">
        <f>IF(AND(tbl_main[[#This Row],[Price]]="",tbl_main[[#This Row],[Qty]]=""),"",tbl_main[[#This Row],[Price]]*tbl_main[[#This Row],[Qty]])</f>
        <v>150</v>
      </c>
      <c r="N2192" s="3">
        <f>_xlfn.LET(_xlpm.x,_xlfn.XLOOKUP(tbl_main[[#This Row],[Service]],tbl_service[Service],tbl_service[Profit],""),
               IF(tbl_main[[#This Row],[Qty]]="","",_xlpm.x*tbl_main[[#This Row],[Qty]]))</f>
        <v>67</v>
      </c>
    </row>
    <row r="2193" spans="1:14" x14ac:dyDescent="0.25">
      <c r="A2193" t="s">
        <v>2235</v>
      </c>
      <c r="B2193" s="1">
        <v>46387</v>
      </c>
      <c r="C2193">
        <f>IF(tbl_main[[#This Row],[Date]]="","",YEAR(B2193))</f>
        <v>2026</v>
      </c>
      <c r="D2193" t="str">
        <f>IF(tbl_main[[#This Row],[Date]]="","",TEXT(B2193,"mmm"))</f>
        <v>Dec</v>
      </c>
      <c r="E2193" t="str">
        <f>IF(tbl_main[[#This Row],[Date]]="","",TEXT(B2193,"DDD"))</f>
        <v>Thu</v>
      </c>
      <c r="F2193" t="s">
        <v>30</v>
      </c>
      <c r="G2193" t="s">
        <v>31</v>
      </c>
      <c r="H2193" s="3" t="s">
        <v>34</v>
      </c>
      <c r="I2193" s="3" t="s">
        <v>19</v>
      </c>
      <c r="J2193" s="3" t="s">
        <v>25</v>
      </c>
      <c r="K2193" s="3">
        <f>_xlfn.XLOOKUP(tbl_main[[#This Row],[Service]],tbl_service[Service],tbl_service[Price],"")</f>
        <v>100</v>
      </c>
      <c r="L2193" s="3">
        <v>2</v>
      </c>
      <c r="M2193" s="3">
        <f>IF(AND(tbl_main[[#This Row],[Price]]="",tbl_main[[#This Row],[Qty]]=""),"",tbl_main[[#This Row],[Price]]*tbl_main[[#This Row],[Qty]])</f>
        <v>200</v>
      </c>
      <c r="N2193" s="3">
        <f>_xlfn.LET(_xlpm.x,_xlfn.XLOOKUP(tbl_main[[#This Row],[Service]],tbl_service[Service],tbl_service[Profit],""),
               IF(tbl_main[[#This Row],[Qty]]="","",_xlpm.x*tbl_main[[#This Row],[Qty]]))</f>
        <v>90</v>
      </c>
    </row>
  </sheetData>
  <phoneticPr fontId="1" type="noConversion"/>
  <dataValidations count="1">
    <dataValidation type="list" allowBlank="1" showInputMessage="1" showErrorMessage="1" sqref="G2:G2193" xr:uid="{39793056-1769-4D03-941F-CD980330DC1B}">
      <formula1>_xlfn.IFS(F2="New York",NY,F2="Chicago",CH,F2="Dallas",DA,F2="Los Angeles",LA)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C3F7498-3378-4F00-983E-9FE6DD070DD1}">
          <x14:formula1>
            <xm:f>_xlfn.ANCHORARRAY('Important Details'!$S$2)</xm:f>
          </x14:formula1>
          <xm:sqref>F2:F2193</xm:sqref>
        </x14:dataValidation>
        <x14:dataValidation type="list" allowBlank="1" showInputMessage="1" showErrorMessage="1" xr:uid="{248DCDBA-6858-4AA4-89C2-42E640996774}">
          <x14:formula1>
            <xm:f>_xlfn.ANCHORARRAY('Important Details'!$P$2)</xm:f>
          </x14:formula1>
          <xm:sqref>H2:H2193</xm:sqref>
        </x14:dataValidation>
        <x14:dataValidation type="list" allowBlank="1" showInputMessage="1" showErrorMessage="1" xr:uid="{065E987D-4B5A-4FF4-9192-BEA3ACBBE1F3}">
          <x14:formula1>
            <xm:f>_xlfn.ANCHORARRAY('Important Details'!$Q$2)</xm:f>
          </x14:formula1>
          <xm:sqref>I2:I2193</xm:sqref>
        </x14:dataValidation>
        <x14:dataValidation type="list" allowBlank="1" showInputMessage="1" showErrorMessage="1" xr:uid="{D0D296D1-E5CA-447C-9720-66D3D1C029DA}">
          <x14:formula1>
            <xm:f>_xlfn.ANCHORARRAY('Important Details'!$R$2)</xm:f>
          </x14:formula1>
          <xm:sqref>J2:J2193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CA3B84BC-FB26-4B05-9974-C1E7C692F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48940-EB95-4F77-8FD9-802974C7E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69415-9D3A-4852-89FD-D7D8BE17B6E5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4.xml><?xml version="1.0" encoding="utf-8"?>
<ds:datastoreItem xmlns:ds="http://schemas.openxmlformats.org/officeDocument/2006/customXml" ds:itemID="{A438C69E-464D-4480-A636-49BB5B445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Important Details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ADMIN</cp:lastModifiedBy>
  <dcterms:created xsi:type="dcterms:W3CDTF">2026-03-26T13:02:24Z</dcterms:created>
  <dcterms:modified xsi:type="dcterms:W3CDTF">2026-04-07T13:16:40Z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