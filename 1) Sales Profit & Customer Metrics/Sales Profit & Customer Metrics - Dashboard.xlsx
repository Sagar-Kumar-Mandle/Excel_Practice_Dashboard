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VCE\Sagar BCC\2) Pratice Project Dashboard\1) Excel\1) Sales Profit &amp; Customer Metrics\"/>
    </mc:Choice>
  </mc:AlternateContent>
  <xr:revisionPtr revIDLastSave="0" documentId="13_ncr:1_{940F269A-1A82-46E8-A146-CCC83CA8DE8A}" xr6:coauthVersionLast="47" xr6:coauthVersionMax="47" xr10:uidLastSave="{00000000-0000-0000-0000-000000000000}"/>
  <bookViews>
    <workbookView xWindow="-120" yWindow="-120" windowWidth="20730" windowHeight="11160" activeTab="2" xr2:uid="{BCE64C4F-A7B2-411A-A9BF-D7BB2C6F11BB}"/>
  </bookViews>
  <sheets>
    <sheet name="Data" sheetId="1" r:id="rId1"/>
    <sheet name="Pivot Table" sheetId="2" r:id="rId2"/>
    <sheet name="Dashboard" sheetId="3" r:id="rId3"/>
  </sheets>
  <definedNames>
    <definedName name="_xlchart.v2.0" hidden="1">'Pivot Table'!$T$19:$T$23</definedName>
    <definedName name="_xlchart.v2.1" hidden="1">'Pivot Table'!$U$19:$U$23</definedName>
    <definedName name="Slicer_Month">#N/A</definedName>
    <definedName name="Slicer_Quarter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6" i="2" l="1"/>
  <c r="W19" i="2" a="1"/>
  <c r="W19" i="2" s="1"/>
  <c r="T19" i="2" a="1"/>
  <c r="T19" i="2" s="1"/>
  <c r="B21" i="2"/>
  <c r="B22" i="2" s="1"/>
  <c r="B19" i="2"/>
  <c r="B17" i="2"/>
  <c r="A16" i="2" a="1"/>
  <c r="A16" i="2" s="1"/>
  <c r="B15" i="2"/>
  <c r="A14" i="2" a="1"/>
  <c r="A14" i="2" s="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<sst xmlns="http://schemas.openxmlformats.org/spreadsheetml/2006/main" count="306" uniqueCount="77">
  <si>
    <t>Date</t>
  </si>
  <si>
    <t>Region</t>
  </si>
  <si>
    <t>Sales</t>
  </si>
  <si>
    <t>Profit</t>
  </si>
  <si>
    <t>Target Sales</t>
  </si>
  <si>
    <t>No of Customers</t>
  </si>
  <si>
    <t>Sales Completion Rate</t>
  </si>
  <si>
    <t>Profit Completion Rate</t>
  </si>
  <si>
    <t>Customer Completion Rate</t>
  </si>
  <si>
    <t>Country</t>
  </si>
  <si>
    <t>Customer Satisfaction</t>
  </si>
  <si>
    <t>Score</t>
  </si>
  <si>
    <t>East</t>
  </si>
  <si>
    <t>Argentina</t>
  </si>
  <si>
    <t>Speed</t>
  </si>
  <si>
    <t>West</t>
  </si>
  <si>
    <t>Colombia</t>
  </si>
  <si>
    <t>Quality</t>
  </si>
  <si>
    <t>South</t>
  </si>
  <si>
    <t>Brazil</t>
  </si>
  <si>
    <t>Hygiene</t>
  </si>
  <si>
    <t>Ecuador</t>
  </si>
  <si>
    <t>Peru</t>
  </si>
  <si>
    <t>Service</t>
  </si>
  <si>
    <t>North</t>
  </si>
  <si>
    <t>Availability</t>
  </si>
  <si>
    <t>Month</t>
  </si>
  <si>
    <t>Year</t>
  </si>
  <si>
    <t>Sum of Sales</t>
  </si>
  <si>
    <t>Customer</t>
  </si>
  <si>
    <t>Sum of Profit</t>
  </si>
  <si>
    <t>Sum of Target Sales</t>
  </si>
  <si>
    <t>Sum of No of Customers</t>
  </si>
  <si>
    <t>Total</t>
  </si>
  <si>
    <t>Row Labels</t>
  </si>
  <si>
    <t>Jan</t>
  </si>
  <si>
    <t>Feb</t>
  </si>
  <si>
    <t>Mar</t>
  </si>
  <si>
    <t>Apr</t>
  </si>
  <si>
    <t>May</t>
  </si>
  <si>
    <t>Jun</t>
  </si>
  <si>
    <t>Jul</t>
  </si>
  <si>
    <t>Aug</t>
  </si>
  <si>
    <t>Sep</t>
  </si>
  <si>
    <t>Oct</t>
  </si>
  <si>
    <t>Nov</t>
  </si>
  <si>
    <t>Dec</t>
  </si>
  <si>
    <t>Sales vs Target Sales by Month</t>
  </si>
  <si>
    <t>Customer per Month</t>
  </si>
  <si>
    <t>Comparsion</t>
  </si>
  <si>
    <t>Sum of Score</t>
  </si>
  <si>
    <t>Customer Satisfication by Score</t>
  </si>
  <si>
    <t>Sales vs Profit by Region</t>
  </si>
  <si>
    <t>Total Sales by Country</t>
  </si>
  <si>
    <t>Quarters</t>
  </si>
  <si>
    <t>jan</t>
  </si>
  <si>
    <t>feb</t>
  </si>
  <si>
    <t>mar</t>
  </si>
  <si>
    <t>apr</t>
  </si>
  <si>
    <t>may</t>
  </si>
  <si>
    <t>jun</t>
  </si>
  <si>
    <t>jul</t>
  </si>
  <si>
    <t>aug</t>
  </si>
  <si>
    <t>sep</t>
  </si>
  <si>
    <t>oct</t>
  </si>
  <si>
    <t>nov</t>
  </si>
  <si>
    <t>dec</t>
  </si>
  <si>
    <t>Q4</t>
  </si>
  <si>
    <t>Q1</t>
  </si>
  <si>
    <t>Q2</t>
  </si>
  <si>
    <t>Q3</t>
  </si>
  <si>
    <t>Values</t>
  </si>
  <si>
    <t xml:space="preserve"> Sales Completion Rate</t>
  </si>
  <si>
    <t xml:space="preserve"> Profit Completion Rate</t>
  </si>
  <si>
    <t xml:space="preserve"> Customer Completion Rate</t>
  </si>
  <si>
    <t>Pending</t>
  </si>
  <si>
    <t>Sales VS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</si>
</sst>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quot;$&quot;#,##0.0,&quot;K&quot;"/>
    <numFmt numFmtId="166" formatCode="&quot;$&quot;#,##0,&quot;K&quot;"/>
  </numFmts>
  <fonts count="5" x14ac:knownFonts="1">
    <font>
      <sz val="11"/>
      <color theme="1"/>
      <name val="Aptos Narrow"/>
      <family val="2"/>
      <scheme val="minor"/>
    </font>
    <font>
      <b/>
      <sz val="14"/>
      <color theme="1"/>
      <name val="Aptos Narrow"/>
      <family val="2"/>
      <scheme val="minor"/>
    </font>
    <font>
      <b/>
      <sz val="16"/>
      <color theme="0"/>
      <name val="Aptos Narrow"/>
      <family val="2"/>
      <scheme val="minor"/>
    </font>
    <font>
      <sz val="8"/>
      <name val="Aptos Narrow"/>
      <family val="2"/>
      <scheme val="minor"/>
    </font>
    <font>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7030A0"/>
        <bgColor indexed="64"/>
      </patternFill>
    </fill>
    <fill>
      <patternFill patternType="solid">
        <fgColor theme="0" tint="-0.3499862666707357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2">
    <xf numFmtId="0" fontId="0" fillId="0" borderId="0"/>
    <xf numFmtId="9" fontId="4" fillId="0" borderId="0" applyFont="0" applyFill="0" applyBorder="0" applyAlignment="0" applyProtection="0"/>
  </cellStyleXfs>
  <cellXfs count="17">
    <xf numFmtId="0" fontId="0" fillId="0" borderId="0" xfId="0"/>
    <xf numFmtId="14" fontId="0" fillId="0" borderId="0" xfId="0" applyNumberFormat="1"/>
    <xf numFmtId="1" fontId="0" fillId="0" borderId="0" xfId="0" applyNumberFormat="1"/>
    <xf numFmtId="0" fontId="0" fillId="0" borderId="0" xfId="0" applyNumberFormat="1"/>
    <xf numFmtId="0" fontId="0" fillId="0" borderId="0" xfId="0" pivotButton="1"/>
    <xf numFmtId="0" fontId="1" fillId="2" borderId="1" xfId="0" applyFont="1" applyFill="1" applyBorder="1" applyAlignment="1">
      <alignment horizontal="center" vertical="center"/>
    </xf>
    <xf numFmtId="0" fontId="0" fillId="0" borderId="0" xfId="0" applyAlignment="1">
      <alignment horizontal="left"/>
    </xf>
    <xf numFmtId="0" fontId="1" fillId="2" borderId="2" xfId="0" applyFont="1" applyFill="1" applyBorder="1" applyAlignment="1">
      <alignment horizontal="center" vertical="center"/>
    </xf>
    <xf numFmtId="0" fontId="0" fillId="4" borderId="3" xfId="0" applyFont="1" applyFill="1" applyBorder="1"/>
    <xf numFmtId="0" fontId="0" fillId="4" borderId="4" xfId="0" applyFont="1" applyFill="1" applyBorder="1"/>
    <xf numFmtId="9" fontId="0" fillId="0" borderId="0" xfId="0" applyNumberFormat="1"/>
    <xf numFmtId="9" fontId="0" fillId="0" borderId="0" xfId="1" applyFont="1"/>
    <xf numFmtId="165" fontId="0" fillId="0" borderId="0" xfId="0" applyNumberFormat="1"/>
    <xf numFmtId="166" fontId="0" fillId="0" borderId="0" xfId="0" applyNumberFormat="1"/>
    <xf numFmtId="0" fontId="1" fillId="2" borderId="1" xfId="0" applyFont="1" applyFill="1" applyBorder="1" applyAlignment="1">
      <alignment horizontal="center" vertical="center"/>
    </xf>
    <xf numFmtId="0" fontId="2" fillId="3" borderId="0" xfId="0" applyFont="1" applyFill="1" applyAlignment="1">
      <alignment horizontal="center"/>
    </xf>
    <xf numFmtId="2" fontId="0" fillId="0" borderId="0" xfId="0" applyNumberFormat="1"/>
  </cellXfs>
  <cellStyles count="2">
    <cellStyle name="Normal" xfId="0" builtinId="0"/>
    <cellStyle name="Percent" xfId="1" builtinId="5"/>
  </cellStyles>
  <dxfs count="26">
    <dxf>
      <numFmt numFmtId="164" formatCode="&quot;$&quot;#,##0"/>
    </dxf>
    <dxf>
      <numFmt numFmtId="166" formatCode="&quot;$&quot;#,##0,&quot;K&quot;"/>
    </dxf>
    <dxf>
      <numFmt numFmtId="164" formatCode="&quot;$&quot;#,##0"/>
    </dxf>
    <dxf>
      <numFmt numFmtId="164" formatCode="&quot;$&quot;#,##0"/>
    </dxf>
    <dxf>
      <numFmt numFmtId="166" formatCode="&quot;$&quot;#,##0,&quot;K&quot;"/>
    </dxf>
    <dxf>
      <numFmt numFmtId="164" formatCode="&quot;$&quot;#,##0"/>
    </dxf>
    <dxf>
      <numFmt numFmtId="166" formatCode="&quot;$&quot;#,##0,&quot;K&quot;"/>
    </dxf>
    <dxf>
      <numFmt numFmtId="164" formatCode="&quot;$&quot;#,##0"/>
    </dxf>
    <dxf>
      <numFmt numFmtId="164" formatCode="&quot;$&quot;#,##0"/>
    </dxf>
    <dxf>
      <numFmt numFmtId="13" formatCode="0%"/>
    </dxf>
    <dxf>
      <numFmt numFmtId="0" formatCode="General"/>
    </dxf>
    <dxf>
      <numFmt numFmtId="166" formatCode="&quot;$&quot;#,##0,&quot;K&quot;"/>
    </dxf>
    <dxf>
      <numFmt numFmtId="166" formatCode="&quot;$&quot;#,##0,&quot;K&quot;"/>
    </dxf>
    <dxf>
      <numFmt numFmtId="165" formatCode="&quot;$&quot;#,##0.0,&quot;K&quot;"/>
    </dxf>
    <dxf>
      <numFmt numFmtId="0" formatCode="General"/>
    </dxf>
    <dxf>
      <numFmt numFmtId="1" formatCode="0"/>
    </dxf>
    <dxf>
      <numFmt numFmtId="1" formatCode="0"/>
    </dxf>
    <dxf>
      <numFmt numFmtId="1" formatCode="0"/>
    </dxf>
    <dxf>
      <numFmt numFmtId="0" formatCode="General"/>
    </dxf>
    <dxf>
      <numFmt numFmtId="0" formatCode="General"/>
    </dxf>
    <dxf>
      <numFmt numFmtId="167" formatCode="m/d/yyyy"/>
    </dxf>
    <dxf>
      <numFmt numFmtId="167" formatCode="m/d/yyyy"/>
    </dxf>
    <dxf>
      <numFmt numFmtId="167" formatCode="m/d/yyyy"/>
    </dxf>
    <dxf>
      <numFmt numFmtId="167" formatCode="m/d/yyyy"/>
    </dxf>
    <dxf>
      <font>
        <b/>
        <i val="0"/>
        <color auto="1"/>
      </font>
    </dxf>
    <dxf>
      <fill>
        <patternFill>
          <bgColor theme="0"/>
        </patternFill>
      </fill>
    </dxf>
  </dxfs>
  <tableStyles count="1" defaultTableStyle="TableStyleMedium2" defaultPivotStyle="PivotStyleLight16">
    <tableStyle name="Slicer Style 1" pivot="0" table="0" count="4" xr9:uid="{BC14653D-020C-4978-8082-CD1C64231B1B}">
      <tableStyleElement type="wholeTable" dxfId="25"/>
      <tableStyleElement type="headerRow" dxfId="24"/>
    </tableStyle>
  </tableStyles>
  <extLst>
    <ext xmlns:x14="http://schemas.microsoft.com/office/spreadsheetml/2009/9/main" uri="{46F421CA-312F-682f-3DD2-61675219B42D}">
      <x14:dxfs count="2">
        <dxf>
          <font>
            <b/>
            <i val="0"/>
            <color theme="0"/>
          </font>
          <fill>
            <patternFill>
              <bgColor theme="3"/>
            </patternFill>
          </fill>
        </dxf>
        <dxf>
          <font>
            <b/>
            <i val="0"/>
            <color theme="0"/>
          </font>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2"/>
              </a:solidFill>
              <a:ln w="19050">
                <a:noFill/>
              </a:ln>
              <a:effectLst/>
            </c:spPr>
            <c:extLst>
              <c:ext xmlns:c16="http://schemas.microsoft.com/office/drawing/2014/chart" uri="{C3380CC4-5D6E-409C-BE32-E72D297353CC}">
                <c16:uniqueId val="{00000001-8D18-4FE7-8DB8-F234E97191F6}"/>
              </c:ext>
            </c:extLst>
          </c:dPt>
          <c:dPt>
            <c:idx val="1"/>
            <c:bubble3D val="0"/>
            <c:spPr>
              <a:solidFill>
                <a:schemeClr val="bg2">
                  <a:lumMod val="75000"/>
                </a:schemeClr>
              </a:solidFill>
              <a:ln w="19050">
                <a:noFill/>
              </a:ln>
              <a:effectLst/>
            </c:spPr>
            <c:extLst>
              <c:ext xmlns:c16="http://schemas.microsoft.com/office/drawing/2014/chart" uri="{C3380CC4-5D6E-409C-BE32-E72D297353CC}">
                <c16:uniqueId val="{00000003-8D18-4FE7-8DB8-F234E97191F6}"/>
              </c:ext>
            </c:extLst>
          </c:dPt>
          <c:cat>
            <c:strRef>
              <c:f>'Pivot Table'!$A$14:$A$15</c:f>
              <c:strCache>
                <c:ptCount val="2"/>
                <c:pt idx="0">
                  <c:v> Sales Completion Rate</c:v>
                </c:pt>
                <c:pt idx="1">
                  <c:v>Pending</c:v>
                </c:pt>
              </c:strCache>
            </c:strRef>
          </c:cat>
          <c:val>
            <c:numRef>
              <c:f>'Pivot Table'!$B$14:$B$15</c:f>
              <c:numCache>
                <c:formatCode>0%</c:formatCode>
                <c:ptCount val="2"/>
                <c:pt idx="0">
                  <c:v>0.85555555555555574</c:v>
                </c:pt>
                <c:pt idx="1">
                  <c:v>0.14444444444444426</c:v>
                </c:pt>
              </c:numCache>
            </c:numRef>
          </c:val>
          <c:extLst>
            <c:ext xmlns:c16="http://schemas.microsoft.com/office/drawing/2014/chart" uri="{C3380CC4-5D6E-409C-BE32-E72D297353CC}">
              <c16:uniqueId val="{00000004-8D18-4FE7-8DB8-F234E97191F6}"/>
            </c:ext>
          </c:extLst>
        </c:ser>
        <c:dLbls>
          <c:showLegendKey val="0"/>
          <c:showVal val="0"/>
          <c:showCatName val="0"/>
          <c:showSerName val="0"/>
          <c:showPercent val="0"/>
          <c:showBubbleSize val="0"/>
          <c:showLeaderLines val="1"/>
        </c:dLbls>
        <c:firstSliceAng val="0"/>
        <c:holeSize val="62"/>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tx2"/>
            </a:solidFill>
            <a:ln>
              <a:noFill/>
            </a:ln>
          </c:spPr>
          <c:dPt>
            <c:idx val="0"/>
            <c:bubble3D val="0"/>
            <c:spPr>
              <a:solidFill>
                <a:schemeClr val="tx2"/>
              </a:solidFill>
              <a:ln w="19050">
                <a:noFill/>
              </a:ln>
              <a:effectLst/>
            </c:spPr>
            <c:extLst>
              <c:ext xmlns:c16="http://schemas.microsoft.com/office/drawing/2014/chart" uri="{C3380CC4-5D6E-409C-BE32-E72D297353CC}">
                <c16:uniqueId val="{00000001-8D18-4FE7-8DB8-F234E97191F6}"/>
              </c:ext>
            </c:extLst>
          </c:dPt>
          <c:dPt>
            <c:idx val="1"/>
            <c:bubble3D val="0"/>
            <c:spPr>
              <a:solidFill>
                <a:schemeClr val="bg2">
                  <a:lumMod val="75000"/>
                </a:schemeClr>
              </a:solidFill>
              <a:ln w="19050">
                <a:noFill/>
              </a:ln>
              <a:effectLst/>
            </c:spPr>
            <c:extLst>
              <c:ext xmlns:c16="http://schemas.microsoft.com/office/drawing/2014/chart" uri="{C3380CC4-5D6E-409C-BE32-E72D297353CC}">
                <c16:uniqueId val="{00000003-8D18-4FE7-8DB8-F234E97191F6}"/>
              </c:ext>
            </c:extLst>
          </c:dPt>
          <c:cat>
            <c:strRef>
              <c:f>'Pivot Table'!$A$16:$A$17</c:f>
              <c:strCache>
                <c:ptCount val="2"/>
                <c:pt idx="0">
                  <c:v> Profit Completion Rate</c:v>
                </c:pt>
                <c:pt idx="1">
                  <c:v>Pending</c:v>
                </c:pt>
              </c:strCache>
            </c:strRef>
          </c:cat>
          <c:val>
            <c:numRef>
              <c:f>'Pivot Table'!$B$16:$B$17</c:f>
              <c:numCache>
                <c:formatCode>0%</c:formatCode>
                <c:ptCount val="2"/>
                <c:pt idx="0">
                  <c:v>0.85492063492063519</c:v>
                </c:pt>
                <c:pt idx="1">
                  <c:v>0.14507936507936481</c:v>
                </c:pt>
              </c:numCache>
            </c:numRef>
          </c:val>
          <c:extLst>
            <c:ext xmlns:c16="http://schemas.microsoft.com/office/drawing/2014/chart" uri="{C3380CC4-5D6E-409C-BE32-E72D297353CC}">
              <c16:uniqueId val="{00000004-8D18-4FE7-8DB8-F234E97191F6}"/>
            </c:ext>
          </c:extLst>
        </c:ser>
        <c:dLbls>
          <c:showLegendKey val="0"/>
          <c:showVal val="0"/>
          <c:showCatName val="0"/>
          <c:showSerName val="0"/>
          <c:showPercent val="0"/>
          <c:showBubbleSize val="0"/>
          <c:showLeaderLines val="1"/>
        </c:dLbls>
        <c:firstSliceAng val="0"/>
        <c:holeSize val="62"/>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tx2"/>
            </a:solidFill>
            <a:ln>
              <a:noFill/>
            </a:ln>
          </c:spPr>
          <c:dPt>
            <c:idx val="0"/>
            <c:bubble3D val="0"/>
            <c:spPr>
              <a:solidFill>
                <a:schemeClr val="tx2"/>
              </a:solidFill>
              <a:ln w="19050">
                <a:noFill/>
              </a:ln>
              <a:effectLst/>
            </c:spPr>
            <c:extLst>
              <c:ext xmlns:c16="http://schemas.microsoft.com/office/drawing/2014/chart" uri="{C3380CC4-5D6E-409C-BE32-E72D297353CC}">
                <c16:uniqueId val="{00000001-8D18-4FE7-8DB8-F234E97191F6}"/>
              </c:ext>
            </c:extLst>
          </c:dPt>
          <c:dPt>
            <c:idx val="1"/>
            <c:bubble3D val="0"/>
            <c:spPr>
              <a:solidFill>
                <a:schemeClr val="bg2">
                  <a:lumMod val="75000"/>
                </a:schemeClr>
              </a:solidFill>
              <a:ln w="19050">
                <a:noFill/>
              </a:ln>
              <a:effectLst/>
            </c:spPr>
            <c:extLst>
              <c:ext xmlns:c16="http://schemas.microsoft.com/office/drawing/2014/chart" uri="{C3380CC4-5D6E-409C-BE32-E72D297353CC}">
                <c16:uniqueId val="{00000003-8D18-4FE7-8DB8-F234E97191F6}"/>
              </c:ext>
            </c:extLst>
          </c:dPt>
          <c:cat>
            <c:strRef>
              <c:f>'Pivot Table'!$A$18:$A$19</c:f>
              <c:strCache>
                <c:ptCount val="2"/>
                <c:pt idx="0">
                  <c:v> Customer Completion Rate</c:v>
                </c:pt>
                <c:pt idx="1">
                  <c:v>Pending</c:v>
                </c:pt>
              </c:strCache>
            </c:strRef>
          </c:cat>
          <c:val>
            <c:numRef>
              <c:f>'Pivot Table'!$B$18:$B$19</c:f>
              <c:numCache>
                <c:formatCode>0%</c:formatCode>
                <c:ptCount val="2"/>
                <c:pt idx="0">
                  <c:v>0.8447619047619046</c:v>
                </c:pt>
                <c:pt idx="1">
                  <c:v>0.1552380952380954</c:v>
                </c:pt>
              </c:numCache>
            </c:numRef>
          </c:val>
          <c:extLst>
            <c:ext xmlns:c16="http://schemas.microsoft.com/office/drawing/2014/chart" uri="{C3380CC4-5D6E-409C-BE32-E72D297353CC}">
              <c16:uniqueId val="{00000004-8D18-4FE7-8DB8-F234E97191F6}"/>
            </c:ext>
          </c:extLst>
        </c:ser>
        <c:dLbls>
          <c:showLegendKey val="0"/>
          <c:showVal val="0"/>
          <c:showCatName val="0"/>
          <c:showSerName val="0"/>
          <c:showPercent val="0"/>
          <c:showBubbleSize val="0"/>
          <c:showLeaderLines val="1"/>
        </c:dLbls>
        <c:firstSliceAng val="0"/>
        <c:holeSize val="62"/>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 Metrics - Dashboard.xlsx]Pivot Table!PivotTable6</c:name>
    <c:fmtId val="10"/>
  </c:pivotSource>
  <c:chart>
    <c:title>
      <c:tx>
        <c:strRef>
          <c:f>'Pivot Table'!$I$3:$K$3</c:f>
          <c:strCache>
            <c:ptCount val="3"/>
            <c:pt idx="0">
              <c:v>Sales vs Target Sales by Month</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solidFill>
          <a:ln>
            <a:noFill/>
          </a:ln>
          <a:effectLst/>
        </c:spPr>
        <c:dLbl>
          <c:idx val="0"/>
          <c:layout>
            <c:manualLayout>
              <c:x val="0"/>
              <c:y val="-0.1992910757399961"/>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tx2"/>
          </a:solidFill>
          <a:ln>
            <a:noFill/>
          </a:ln>
          <a:effectLst/>
        </c:spPr>
        <c:dLbl>
          <c:idx val="0"/>
          <c:layout>
            <c:manualLayout>
              <c:x val="8.5836909871244496E-3"/>
              <c:y val="-0.36464503095911299"/>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tx2"/>
          </a:solidFill>
          <a:ln>
            <a:noFill/>
          </a:ln>
          <a:effectLst/>
        </c:spPr>
        <c:dLbl>
          <c:idx val="0"/>
          <c:layout>
            <c:manualLayout>
              <c:x val="0"/>
              <c:y val="-0.20512055091825976"/>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tx2"/>
          </a:solidFill>
          <a:ln>
            <a:noFill/>
          </a:ln>
          <a:effectLst/>
        </c:spPr>
        <c:dLbl>
          <c:idx val="0"/>
          <c:layout>
            <c:manualLayout>
              <c:x val="2.8612303290414878E-3"/>
              <c:y val="-0.11129284805064603"/>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tx2"/>
          </a:solidFill>
          <a:ln>
            <a:noFill/>
          </a:ln>
          <a:effectLst/>
        </c:spPr>
        <c:dLbl>
          <c:idx val="0"/>
          <c:layout>
            <c:manualLayout>
              <c:x val="1.7167381974248927E-2"/>
              <c:y val="-0.21313575073502078"/>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tx2"/>
          </a:solidFill>
          <a:ln>
            <a:noFill/>
          </a:ln>
          <a:effectLst/>
        </c:spPr>
        <c:dLbl>
          <c:idx val="0"/>
          <c:layout>
            <c:manualLayout>
              <c:x val="-2.8612303290414878E-3"/>
              <c:y val="-0.11078255775967927"/>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tx2"/>
          </a:solidFill>
          <a:ln>
            <a:noFill/>
          </a:ln>
          <a:effectLst/>
        </c:spPr>
        <c:dLbl>
          <c:idx val="0"/>
          <c:layout>
            <c:manualLayout>
              <c:x val="1.4306151645207335E-2"/>
              <c:y val="-0.27528302524416215"/>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tx2"/>
          </a:solidFill>
          <a:ln>
            <a:noFill/>
          </a:ln>
          <a:effectLst/>
        </c:spPr>
        <c:dLbl>
          <c:idx val="0"/>
          <c:layout>
            <c:manualLayout>
              <c:x val="-5.7224606580830806E-3"/>
              <c:y val="6.8489292915638765E-3"/>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tx2"/>
          </a:solidFill>
          <a:ln>
            <a:noFill/>
          </a:ln>
          <a:effectLst/>
        </c:spPr>
        <c:dLbl>
          <c:idx val="0"/>
          <c:layout>
            <c:manualLayout>
              <c:x val="0"/>
              <c:y val="-0.15863231688313648"/>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tx2"/>
          </a:solidFill>
          <a:ln>
            <a:noFill/>
          </a:ln>
          <a:effectLst/>
        </c:spPr>
        <c:dLbl>
          <c:idx val="0"/>
          <c:layout>
            <c:manualLayout>
              <c:x val="-8.5836909871244635E-3"/>
              <c:y val="-0.30378568558758484"/>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tx2"/>
          </a:solidFill>
          <a:ln>
            <a:noFill/>
          </a:ln>
          <a:effectLst/>
        </c:spPr>
        <c:dLbl>
          <c:idx val="0"/>
          <c:layout>
            <c:manualLayout>
              <c:x val="2.8612303290413829E-3"/>
              <c:y val="-0.20520390959713727"/>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col"/>
        <c:grouping val="stacked"/>
        <c:varyColors val="0"/>
        <c:ser>
          <c:idx val="0"/>
          <c:order val="0"/>
          <c:tx>
            <c:strRef>
              <c:f>'Pivot Table'!$I$3:$K$3</c:f>
              <c:strCache>
                <c:ptCount val="1"/>
                <c:pt idx="0">
                  <c:v>Sum of Sales</c:v>
                </c:pt>
              </c:strCache>
            </c:strRef>
          </c:tx>
          <c:spPr>
            <a:solidFill>
              <a:schemeClr val="tx2"/>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0-2618-49C2-B93A-46F77355AF58}"/>
              </c:ext>
            </c:extLst>
          </c:dPt>
          <c:dPt>
            <c:idx val="1"/>
            <c:invertIfNegative val="0"/>
            <c:bubble3D val="0"/>
            <c:spPr>
              <a:solidFill>
                <a:schemeClr val="tx2"/>
              </a:solidFill>
              <a:ln>
                <a:noFill/>
              </a:ln>
              <a:effectLst/>
            </c:spPr>
            <c:extLst>
              <c:ext xmlns:c16="http://schemas.microsoft.com/office/drawing/2014/chart" uri="{C3380CC4-5D6E-409C-BE32-E72D297353CC}">
                <c16:uniqueId val="{00000001-2618-49C2-B93A-46F77355AF58}"/>
              </c:ext>
            </c:extLst>
          </c:dPt>
          <c:dPt>
            <c:idx val="2"/>
            <c:invertIfNegative val="0"/>
            <c:bubble3D val="0"/>
            <c:spPr>
              <a:solidFill>
                <a:schemeClr val="tx2"/>
              </a:solidFill>
              <a:ln>
                <a:noFill/>
              </a:ln>
              <a:effectLst/>
            </c:spPr>
            <c:extLst>
              <c:ext xmlns:c16="http://schemas.microsoft.com/office/drawing/2014/chart" uri="{C3380CC4-5D6E-409C-BE32-E72D297353CC}">
                <c16:uniqueId val="{00000002-2618-49C2-B93A-46F77355AF58}"/>
              </c:ext>
            </c:extLst>
          </c:dPt>
          <c:dPt>
            <c:idx val="3"/>
            <c:invertIfNegative val="0"/>
            <c:bubble3D val="0"/>
            <c:spPr>
              <a:solidFill>
                <a:schemeClr val="tx2"/>
              </a:solidFill>
              <a:ln>
                <a:noFill/>
              </a:ln>
              <a:effectLst/>
            </c:spPr>
            <c:extLst>
              <c:ext xmlns:c16="http://schemas.microsoft.com/office/drawing/2014/chart" uri="{C3380CC4-5D6E-409C-BE32-E72D297353CC}">
                <c16:uniqueId val="{00000003-2618-49C2-B93A-46F77355AF58}"/>
              </c:ext>
            </c:extLst>
          </c:dPt>
          <c:dPt>
            <c:idx val="4"/>
            <c:invertIfNegative val="0"/>
            <c:bubble3D val="0"/>
            <c:spPr>
              <a:solidFill>
                <a:schemeClr val="tx2"/>
              </a:solidFill>
              <a:ln>
                <a:noFill/>
              </a:ln>
              <a:effectLst/>
            </c:spPr>
            <c:extLst>
              <c:ext xmlns:c16="http://schemas.microsoft.com/office/drawing/2014/chart" uri="{C3380CC4-5D6E-409C-BE32-E72D297353CC}">
                <c16:uniqueId val="{00000004-2618-49C2-B93A-46F77355AF58}"/>
              </c:ext>
            </c:extLst>
          </c:dPt>
          <c:dPt>
            <c:idx val="5"/>
            <c:invertIfNegative val="0"/>
            <c:bubble3D val="0"/>
            <c:spPr>
              <a:solidFill>
                <a:schemeClr val="tx2"/>
              </a:solidFill>
              <a:ln>
                <a:noFill/>
              </a:ln>
              <a:effectLst/>
            </c:spPr>
            <c:extLst>
              <c:ext xmlns:c16="http://schemas.microsoft.com/office/drawing/2014/chart" uri="{C3380CC4-5D6E-409C-BE32-E72D297353CC}">
                <c16:uniqueId val="{00000005-2618-49C2-B93A-46F77355AF58}"/>
              </c:ext>
            </c:extLst>
          </c:dPt>
          <c:dPt>
            <c:idx val="6"/>
            <c:invertIfNegative val="0"/>
            <c:bubble3D val="0"/>
            <c:spPr>
              <a:solidFill>
                <a:schemeClr val="tx2"/>
              </a:solidFill>
              <a:ln>
                <a:noFill/>
              </a:ln>
              <a:effectLst/>
            </c:spPr>
            <c:extLst>
              <c:ext xmlns:c16="http://schemas.microsoft.com/office/drawing/2014/chart" uri="{C3380CC4-5D6E-409C-BE32-E72D297353CC}">
                <c16:uniqueId val="{00000006-2618-49C2-B93A-46F77355AF58}"/>
              </c:ext>
            </c:extLst>
          </c:dPt>
          <c:dPt>
            <c:idx val="7"/>
            <c:invertIfNegative val="0"/>
            <c:bubble3D val="0"/>
            <c:spPr>
              <a:solidFill>
                <a:schemeClr val="tx2"/>
              </a:solidFill>
              <a:ln>
                <a:noFill/>
              </a:ln>
              <a:effectLst/>
            </c:spPr>
            <c:extLst>
              <c:ext xmlns:c16="http://schemas.microsoft.com/office/drawing/2014/chart" uri="{C3380CC4-5D6E-409C-BE32-E72D297353CC}">
                <c16:uniqueId val="{00000007-2618-49C2-B93A-46F77355AF58}"/>
              </c:ext>
            </c:extLst>
          </c:dPt>
          <c:dPt>
            <c:idx val="8"/>
            <c:invertIfNegative val="0"/>
            <c:bubble3D val="0"/>
            <c:spPr>
              <a:solidFill>
                <a:schemeClr val="tx2"/>
              </a:solidFill>
              <a:ln>
                <a:noFill/>
              </a:ln>
              <a:effectLst/>
            </c:spPr>
            <c:extLst>
              <c:ext xmlns:c16="http://schemas.microsoft.com/office/drawing/2014/chart" uri="{C3380CC4-5D6E-409C-BE32-E72D297353CC}">
                <c16:uniqueId val="{00000008-2618-49C2-B93A-46F77355AF58}"/>
              </c:ext>
            </c:extLst>
          </c:dPt>
          <c:dPt>
            <c:idx val="9"/>
            <c:invertIfNegative val="0"/>
            <c:bubble3D val="0"/>
            <c:spPr>
              <a:solidFill>
                <a:schemeClr val="tx2"/>
              </a:solidFill>
              <a:ln>
                <a:noFill/>
              </a:ln>
              <a:effectLst/>
            </c:spPr>
            <c:extLst>
              <c:ext xmlns:c16="http://schemas.microsoft.com/office/drawing/2014/chart" uri="{C3380CC4-5D6E-409C-BE32-E72D297353CC}">
                <c16:uniqueId val="{00000009-2618-49C2-B93A-46F77355AF58}"/>
              </c:ext>
            </c:extLst>
          </c:dPt>
          <c:dPt>
            <c:idx val="10"/>
            <c:invertIfNegative val="0"/>
            <c:bubble3D val="0"/>
            <c:spPr>
              <a:solidFill>
                <a:schemeClr val="tx2"/>
              </a:solidFill>
              <a:ln>
                <a:noFill/>
              </a:ln>
              <a:effectLst/>
            </c:spPr>
            <c:extLst>
              <c:ext xmlns:c16="http://schemas.microsoft.com/office/drawing/2014/chart" uri="{C3380CC4-5D6E-409C-BE32-E72D297353CC}">
                <c16:uniqueId val="{0000000A-2618-49C2-B93A-46F77355AF58}"/>
              </c:ext>
            </c:extLst>
          </c:dPt>
          <c:dLbls>
            <c:dLbl>
              <c:idx val="0"/>
              <c:layout>
                <c:manualLayout>
                  <c:x val="0"/>
                  <c:y val="-0.19929107573999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18-49C2-B93A-46F77355AF58}"/>
                </c:ext>
              </c:extLst>
            </c:dLbl>
            <c:dLbl>
              <c:idx val="1"/>
              <c:layout>
                <c:manualLayout>
                  <c:x val="8.5836909871244496E-3"/>
                  <c:y val="-0.3646450309591129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18-49C2-B93A-46F77355AF58}"/>
                </c:ext>
              </c:extLst>
            </c:dLbl>
            <c:dLbl>
              <c:idx val="2"/>
              <c:layout>
                <c:manualLayout>
                  <c:x val="0"/>
                  <c:y val="-0.2051205509182597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18-49C2-B93A-46F77355AF58}"/>
                </c:ext>
              </c:extLst>
            </c:dLbl>
            <c:dLbl>
              <c:idx val="3"/>
              <c:layout>
                <c:manualLayout>
                  <c:x val="2.8612303290414878E-3"/>
                  <c:y val="-0.111292848050646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18-49C2-B93A-46F77355AF58}"/>
                </c:ext>
              </c:extLst>
            </c:dLbl>
            <c:dLbl>
              <c:idx val="4"/>
              <c:layout>
                <c:manualLayout>
                  <c:x val="1.7167381974248927E-2"/>
                  <c:y val="-0.2131357507350207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18-49C2-B93A-46F77355AF58}"/>
                </c:ext>
              </c:extLst>
            </c:dLbl>
            <c:dLbl>
              <c:idx val="5"/>
              <c:layout>
                <c:manualLayout>
                  <c:x val="-2.8612303290414878E-3"/>
                  <c:y val="-0.110782557759679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18-49C2-B93A-46F77355AF58}"/>
                </c:ext>
              </c:extLst>
            </c:dLbl>
            <c:dLbl>
              <c:idx val="6"/>
              <c:layout>
                <c:manualLayout>
                  <c:x val="1.4306151645207335E-2"/>
                  <c:y val="-0.2752830252441621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18-49C2-B93A-46F77355AF58}"/>
                </c:ext>
              </c:extLst>
            </c:dLbl>
            <c:dLbl>
              <c:idx val="7"/>
              <c:layout>
                <c:manualLayout>
                  <c:x val="-5.7224606580830806E-3"/>
                  <c:y val="6.848929291563876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18-49C2-B93A-46F77355AF58}"/>
                </c:ext>
              </c:extLst>
            </c:dLbl>
            <c:dLbl>
              <c:idx val="8"/>
              <c:layout>
                <c:manualLayout>
                  <c:x val="0"/>
                  <c:y val="-0.158632316883136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18-49C2-B93A-46F77355AF58}"/>
                </c:ext>
              </c:extLst>
            </c:dLbl>
            <c:dLbl>
              <c:idx val="9"/>
              <c:layout>
                <c:manualLayout>
                  <c:x val="-8.5836909871244635E-3"/>
                  <c:y val="-0.3037856855875848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18-49C2-B93A-46F77355AF58}"/>
                </c:ext>
              </c:extLst>
            </c:dLbl>
            <c:dLbl>
              <c:idx val="10"/>
              <c:layout>
                <c:manualLayout>
                  <c:x val="2.8612303290413829E-3"/>
                  <c:y val="-0.205203909597137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18-49C2-B93A-46F77355AF58}"/>
                </c:ext>
              </c:extLst>
            </c:dLbl>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Table'!$I$3:$K$3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Table'!$I$3:$K$3</c:f>
              <c:numCache>
                <c:formatCode>"$"#,##0,"K"</c:formatCode>
                <c:ptCount val="12"/>
                <c:pt idx="0">
                  <c:v>12900</c:v>
                </c:pt>
                <c:pt idx="1">
                  <c:v>11256</c:v>
                </c:pt>
                <c:pt idx="2">
                  <c:v>11700</c:v>
                </c:pt>
                <c:pt idx="3">
                  <c:v>10400</c:v>
                </c:pt>
                <c:pt idx="4">
                  <c:v>12995</c:v>
                </c:pt>
                <c:pt idx="5">
                  <c:v>13450</c:v>
                </c:pt>
                <c:pt idx="6">
                  <c:v>11000</c:v>
                </c:pt>
                <c:pt idx="7">
                  <c:v>17050</c:v>
                </c:pt>
                <c:pt idx="8">
                  <c:v>3600</c:v>
                </c:pt>
                <c:pt idx="9">
                  <c:v>26729</c:v>
                </c:pt>
                <c:pt idx="10">
                  <c:v>22481</c:v>
                </c:pt>
                <c:pt idx="11">
                  <c:v>3800</c:v>
                </c:pt>
              </c:numCache>
            </c:numRef>
          </c:val>
          <c:extLst>
            <c:ext xmlns:c16="http://schemas.microsoft.com/office/drawing/2014/chart" uri="{C3380CC4-5D6E-409C-BE32-E72D297353CC}">
              <c16:uniqueId val="{0000000E-7FEE-47C8-8F3A-B5A2DBE271B3}"/>
            </c:ext>
          </c:extLst>
        </c:ser>
        <c:ser>
          <c:idx val="1"/>
          <c:order val="1"/>
          <c:tx>
            <c:strRef>
              <c:f>'Pivot Table'!$I$3:$K$3</c:f>
              <c:strCache>
                <c:ptCount val="1"/>
                <c:pt idx="0">
                  <c:v>Sum of Target Sales</c:v>
                </c:pt>
              </c:strCache>
            </c:strRef>
          </c:tx>
          <c:spPr>
            <a:solidFill>
              <a:schemeClr val="bg2">
                <a:lumMod val="75000"/>
              </a:schemeClr>
            </a:solidFill>
            <a:ln>
              <a:noFill/>
            </a:ln>
            <a:effectLst/>
          </c:spPr>
          <c:invertIfNegative val="0"/>
          <c:cat>
            <c:strRef>
              <c:f>'Pivot Table'!$I$3:$K$3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Table'!$I$3:$K$3</c:f>
              <c:numCache>
                <c:formatCode>"$"#,##0,"K"</c:formatCode>
                <c:ptCount val="12"/>
                <c:pt idx="0">
                  <c:v>6000.0000000000009</c:v>
                </c:pt>
                <c:pt idx="1">
                  <c:v>24285.28571428571</c:v>
                </c:pt>
                <c:pt idx="2">
                  <c:v>9714.2857142857156</c:v>
                </c:pt>
                <c:pt idx="3">
                  <c:v>13571.428571428569</c:v>
                </c:pt>
                <c:pt idx="4">
                  <c:v>12571.285714285716</c:v>
                </c:pt>
                <c:pt idx="5">
                  <c:v>12999.999999999998</c:v>
                </c:pt>
                <c:pt idx="6">
                  <c:v>20142.85714285713</c:v>
                </c:pt>
                <c:pt idx="7">
                  <c:v>3428.5714285714316</c:v>
                </c:pt>
                <c:pt idx="8">
                  <c:v>9571.428571428567</c:v>
                </c:pt>
                <c:pt idx="9">
                  <c:v>30142.428571428576</c:v>
                </c:pt>
                <c:pt idx="10">
                  <c:v>20857.142857142862</c:v>
                </c:pt>
                <c:pt idx="11">
                  <c:v>3714.2857142857147</c:v>
                </c:pt>
              </c:numCache>
            </c:numRef>
          </c:val>
          <c:extLst>
            <c:ext xmlns:c16="http://schemas.microsoft.com/office/drawing/2014/chart" uri="{C3380CC4-5D6E-409C-BE32-E72D297353CC}">
              <c16:uniqueId val="{0000000F-7FEE-47C8-8F3A-B5A2DBE271B3}"/>
            </c:ext>
          </c:extLst>
        </c:ser>
        <c:dLbls>
          <c:showLegendKey val="0"/>
          <c:showVal val="0"/>
          <c:showCatName val="0"/>
          <c:showSerName val="0"/>
          <c:showPercent val="0"/>
          <c:showBubbleSize val="0"/>
        </c:dLbls>
        <c:gapWidth val="36"/>
        <c:overlap val="100"/>
        <c:axId val="1674736799"/>
        <c:axId val="2013174095"/>
      </c:barChart>
      <c:catAx>
        <c:axId val="167473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2013174095"/>
        <c:crosses val="autoZero"/>
        <c:auto val="1"/>
        <c:lblAlgn val="ctr"/>
        <c:lblOffset val="100"/>
        <c:noMultiLvlLbl val="0"/>
      </c:catAx>
      <c:valAx>
        <c:axId val="2013174095"/>
        <c:scaling>
          <c:orientation val="minMax"/>
        </c:scaling>
        <c:delete val="1"/>
        <c:axPos val="l"/>
        <c:numFmt formatCode="&quot;$&quot;#,##0,&quot;K&quot;" sourceLinked="1"/>
        <c:majorTickMark val="none"/>
        <c:minorTickMark val="none"/>
        <c:tickLblPos val="nextTo"/>
        <c:crossAx val="1674736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 Metrics - Dashboard.xlsx]Pivot Table!PivotTable9</c:name>
    <c:fmtId val="2"/>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Table'!$N$5</c:f>
              <c:strCache>
                <c:ptCount val="1"/>
                <c:pt idx="0">
                  <c:v>Sum of Sales</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Table'!$M$6:$M$9</c:f>
              <c:strCache>
                <c:ptCount val="4"/>
                <c:pt idx="0">
                  <c:v>East</c:v>
                </c:pt>
                <c:pt idx="1">
                  <c:v>North</c:v>
                </c:pt>
                <c:pt idx="2">
                  <c:v>South</c:v>
                </c:pt>
                <c:pt idx="3">
                  <c:v>West</c:v>
                </c:pt>
              </c:strCache>
            </c:strRef>
          </c:cat>
          <c:val>
            <c:numRef>
              <c:f>'Pivot Table'!$N$6:$N$9</c:f>
              <c:numCache>
                <c:formatCode>"$"#,##0,"K"</c:formatCode>
                <c:ptCount val="4"/>
                <c:pt idx="0">
                  <c:v>50045</c:v>
                </c:pt>
                <c:pt idx="1">
                  <c:v>22921</c:v>
                </c:pt>
                <c:pt idx="2">
                  <c:v>46112</c:v>
                </c:pt>
                <c:pt idx="3">
                  <c:v>38283</c:v>
                </c:pt>
              </c:numCache>
            </c:numRef>
          </c:val>
          <c:extLst>
            <c:ext xmlns:c16="http://schemas.microsoft.com/office/drawing/2014/chart" uri="{C3380CC4-5D6E-409C-BE32-E72D297353CC}">
              <c16:uniqueId val="{00000000-9925-4C5A-BDCC-4EFA1A14EA41}"/>
            </c:ext>
          </c:extLst>
        </c:ser>
        <c:ser>
          <c:idx val="1"/>
          <c:order val="1"/>
          <c:tx>
            <c:strRef>
              <c:f>'Pivot Table'!$O$5</c:f>
              <c:strCache>
                <c:ptCount val="1"/>
                <c:pt idx="0">
                  <c:v>Sum of Target Sales</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Table'!$M$6:$M$9</c:f>
              <c:strCache>
                <c:ptCount val="4"/>
                <c:pt idx="0">
                  <c:v>East</c:v>
                </c:pt>
                <c:pt idx="1">
                  <c:v>North</c:v>
                </c:pt>
                <c:pt idx="2">
                  <c:v>South</c:v>
                </c:pt>
                <c:pt idx="3">
                  <c:v>West</c:v>
                </c:pt>
              </c:strCache>
            </c:strRef>
          </c:cat>
          <c:val>
            <c:numRef>
              <c:f>'Pivot Table'!$O$6:$O$9</c:f>
              <c:numCache>
                <c:formatCode>"$"#,##0,"K"</c:formatCode>
                <c:ptCount val="4"/>
                <c:pt idx="0">
                  <c:v>64142.714285714283</c:v>
                </c:pt>
                <c:pt idx="1">
                  <c:v>22714.142857142866</c:v>
                </c:pt>
                <c:pt idx="2">
                  <c:v>39142.571428571428</c:v>
                </c:pt>
                <c:pt idx="3">
                  <c:v>40999.571428571428</c:v>
                </c:pt>
              </c:numCache>
            </c:numRef>
          </c:val>
          <c:extLst>
            <c:ext xmlns:c16="http://schemas.microsoft.com/office/drawing/2014/chart" uri="{C3380CC4-5D6E-409C-BE32-E72D297353CC}">
              <c16:uniqueId val="{00000001-9925-4C5A-BDCC-4EFA1A14EA41}"/>
            </c:ext>
          </c:extLst>
        </c:ser>
        <c:dLbls>
          <c:showLegendKey val="0"/>
          <c:showVal val="0"/>
          <c:showCatName val="0"/>
          <c:showSerName val="0"/>
          <c:showPercent val="0"/>
          <c:showBubbleSize val="0"/>
        </c:dLbls>
        <c:gapWidth val="150"/>
        <c:overlap val="100"/>
        <c:axId val="2012399087"/>
        <c:axId val="2012417391"/>
      </c:barChart>
      <c:catAx>
        <c:axId val="201239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12417391"/>
        <c:crosses val="autoZero"/>
        <c:auto val="1"/>
        <c:lblAlgn val="ctr"/>
        <c:lblOffset val="100"/>
        <c:noMultiLvlLbl val="0"/>
      </c:catAx>
      <c:valAx>
        <c:axId val="2012417391"/>
        <c:scaling>
          <c:orientation val="minMax"/>
        </c:scaling>
        <c:delete val="1"/>
        <c:axPos val="b"/>
        <c:numFmt formatCode="&quot;$&quot;#,##0,&quot;K&quot;" sourceLinked="1"/>
        <c:majorTickMark val="none"/>
        <c:minorTickMark val="none"/>
        <c:tickLblPos val="nextTo"/>
        <c:crossAx val="2012399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2"/>
              </a:solidFill>
              <a:ln w="19050">
                <a:noFill/>
              </a:ln>
              <a:effectLst/>
            </c:spPr>
            <c:extLst>
              <c:ext xmlns:c16="http://schemas.microsoft.com/office/drawing/2014/chart" uri="{C3380CC4-5D6E-409C-BE32-E72D297353CC}">
                <c16:uniqueId val="{00000001-8D18-4FE7-8DB8-F234E97191F6}"/>
              </c:ext>
            </c:extLst>
          </c:dPt>
          <c:dPt>
            <c:idx val="1"/>
            <c:bubble3D val="0"/>
            <c:spPr>
              <a:solidFill>
                <a:schemeClr val="bg2">
                  <a:lumMod val="75000"/>
                </a:schemeClr>
              </a:solidFill>
              <a:ln w="19050">
                <a:noFill/>
              </a:ln>
              <a:effectLst/>
            </c:spPr>
            <c:extLst>
              <c:ext xmlns:c16="http://schemas.microsoft.com/office/drawing/2014/chart" uri="{C3380CC4-5D6E-409C-BE32-E72D297353CC}">
                <c16:uniqueId val="{00000003-8D18-4FE7-8DB8-F234E97191F6}"/>
              </c:ext>
            </c:extLst>
          </c:dPt>
          <c:cat>
            <c:strRef>
              <c:f>'Pivot Table'!$A$21:$A$22</c:f>
              <c:strCache>
                <c:ptCount val="2"/>
                <c:pt idx="0">
                  <c:v>Sales VS  Target</c:v>
                </c:pt>
                <c:pt idx="1">
                  <c:v>Pending</c:v>
                </c:pt>
              </c:strCache>
            </c:strRef>
          </c:cat>
          <c:val>
            <c:numRef>
              <c:f>'Pivot Table'!$B$21:$B$22</c:f>
              <c:numCache>
                <c:formatCode>0%</c:formatCode>
                <c:ptCount val="2"/>
                <c:pt idx="0">
                  <c:v>0.94228707956334989</c:v>
                </c:pt>
                <c:pt idx="1">
                  <c:v>5.7712920436650106E-2</c:v>
                </c:pt>
              </c:numCache>
            </c:numRef>
          </c:val>
          <c:extLst>
            <c:ext xmlns:c16="http://schemas.microsoft.com/office/drawing/2014/chart" uri="{C3380CC4-5D6E-409C-BE32-E72D297353CC}">
              <c16:uniqueId val="{00000004-8D18-4FE7-8DB8-F234E97191F6}"/>
            </c:ext>
          </c:extLst>
        </c:ser>
        <c:dLbls>
          <c:showLegendKey val="0"/>
          <c:showVal val="0"/>
          <c:showCatName val="0"/>
          <c:showSerName val="0"/>
          <c:showPercent val="0"/>
          <c:showBubbleSize val="0"/>
          <c:showLeaderLines val="1"/>
        </c:dLbls>
        <c:firstSliceAng val="0"/>
        <c:holeSize val="62"/>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 Metrics - Dashboard.xlsx]Pivot Table!PivotTable7</c:name>
    <c:fmtId val="7"/>
  </c:pivotSource>
  <c:chart>
    <c:title>
      <c:tx>
        <c:strRef>
          <c:f>'Pivot Table'!$Q$3:$R$3</c:f>
          <c:strCache>
            <c:ptCount val="2"/>
            <c:pt idx="0">
              <c:v>Customer per Month</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w="38100" cap="rnd">
            <a:solidFill>
              <a:schemeClr val="accent1"/>
            </a:solidFill>
            <a:round/>
          </a:ln>
          <a:effectLst/>
        </c:spPr>
        <c:marker>
          <c:symbol val="circle"/>
          <c:size val="5"/>
          <c:spPr>
            <a:solidFill>
              <a:schemeClr val="tx2"/>
            </a:solidFill>
            <a:ln w="381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5"/>
          <c:spPr>
            <a:solidFill>
              <a:schemeClr val="tx2"/>
            </a:solidFill>
            <a:ln w="38100">
              <a:solidFill>
                <a:schemeClr val="accent1"/>
              </a:solidFill>
            </a:ln>
            <a:effectLst/>
          </c:spPr>
        </c:marker>
        <c:dLbl>
          <c:idx val="0"/>
          <c:layout>
            <c:manualLayout>
              <c:x val="-9.7513998250218725E-2"/>
              <c:y val="1.80438903470399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ymbol val="circle"/>
          <c:size val="5"/>
          <c:spPr>
            <a:solidFill>
              <a:schemeClr val="tx2"/>
            </a:solidFill>
            <a:ln w="38100">
              <a:solidFill>
                <a:schemeClr val="accent1"/>
              </a:solidFill>
            </a:ln>
            <a:effectLst/>
          </c:spPr>
        </c:marker>
        <c:dLbl>
          <c:idx val="0"/>
          <c:layout>
            <c:manualLayout>
              <c:x val="-7.2513998250218717E-2"/>
              <c:y val="5.04512977544475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chemeClr val="accent1"/>
            </a:solidFill>
            <a:round/>
          </a:ln>
          <a:effectLst/>
        </c:spPr>
        <c:marker>
          <c:symbol val="circle"/>
          <c:size val="5"/>
          <c:spPr>
            <a:solidFill>
              <a:schemeClr val="tx2"/>
            </a:solidFill>
            <a:ln w="38100">
              <a:solidFill>
                <a:schemeClr val="accent1"/>
              </a:solidFill>
            </a:ln>
            <a:effectLst/>
          </c:spPr>
        </c:marker>
        <c:dLbl>
          <c:idx val="0"/>
          <c:layout>
            <c:manualLayout>
              <c:x val="1.3597112860892491E-2"/>
              <c:y val="2.26735199766695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38100" cap="rnd">
            <a:solidFill>
              <a:schemeClr val="accent1"/>
            </a:solidFill>
            <a:round/>
          </a:ln>
          <a:effectLst/>
        </c:spPr>
        <c:marker>
          <c:symbol val="circle"/>
          <c:size val="5"/>
          <c:spPr>
            <a:solidFill>
              <a:schemeClr val="tx2"/>
            </a:solidFill>
            <a:ln w="38100">
              <a:solidFill>
                <a:schemeClr val="accent1"/>
              </a:solidFill>
            </a:ln>
            <a:effectLst/>
          </c:spPr>
        </c:marker>
        <c:dLbl>
          <c:idx val="0"/>
          <c:layout>
            <c:manualLayout>
              <c:x val="-9.5773184601924854E-2"/>
              <c:y val="-5.603018372703411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chemeClr val="accent1"/>
            </a:solidFill>
            <a:round/>
          </a:ln>
          <a:effectLst/>
        </c:spPr>
        <c:marker>
          <c:symbol val="circle"/>
          <c:size val="5"/>
          <c:spPr>
            <a:solidFill>
              <a:schemeClr val="tx2"/>
            </a:solidFill>
            <a:ln w="381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38100" cap="rnd">
            <a:solidFill>
              <a:schemeClr val="accent1"/>
            </a:solidFill>
            <a:round/>
          </a:ln>
          <a:effectLst/>
        </c:spPr>
        <c:marker>
          <c:symbol val="circle"/>
          <c:size val="5"/>
          <c:spPr>
            <a:solidFill>
              <a:schemeClr val="tx2"/>
            </a:solidFill>
            <a:ln w="38100">
              <a:solidFill>
                <a:schemeClr val="accent1"/>
              </a:solidFill>
            </a:ln>
            <a:effectLst/>
          </c:spPr>
        </c:marker>
        <c:dLbl>
          <c:idx val="0"/>
          <c:layout>
            <c:manualLayout>
              <c:x val="-9.7513998250218725E-2"/>
              <c:y val="1.80438903470399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38100" cap="rnd">
            <a:solidFill>
              <a:schemeClr val="accent1"/>
            </a:solidFill>
            <a:round/>
          </a:ln>
          <a:effectLst/>
        </c:spPr>
        <c:marker>
          <c:symbol val="circle"/>
          <c:size val="5"/>
          <c:spPr>
            <a:solidFill>
              <a:schemeClr val="tx2"/>
            </a:solidFill>
            <a:ln w="38100">
              <a:solidFill>
                <a:schemeClr val="accent1"/>
              </a:solidFill>
            </a:ln>
            <a:effectLst/>
          </c:spPr>
        </c:marker>
        <c:dLbl>
          <c:idx val="0"/>
          <c:layout>
            <c:manualLayout>
              <c:x val="-7.2513998250218717E-2"/>
              <c:y val="5.04512977544475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38100" cap="rnd">
            <a:solidFill>
              <a:schemeClr val="accent1"/>
            </a:solidFill>
            <a:round/>
          </a:ln>
          <a:effectLst/>
        </c:spPr>
        <c:marker>
          <c:symbol val="circle"/>
          <c:size val="5"/>
          <c:spPr>
            <a:solidFill>
              <a:schemeClr val="tx2"/>
            </a:solidFill>
            <a:ln w="38100">
              <a:solidFill>
                <a:schemeClr val="accent1"/>
              </a:solidFill>
            </a:ln>
            <a:effectLst/>
          </c:spPr>
        </c:marker>
        <c:dLbl>
          <c:idx val="0"/>
          <c:layout>
            <c:manualLayout>
              <c:x val="1.3597112860892491E-2"/>
              <c:y val="2.26735199766695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38100" cap="rnd">
            <a:solidFill>
              <a:schemeClr val="accent1"/>
            </a:solidFill>
            <a:round/>
          </a:ln>
          <a:effectLst/>
        </c:spPr>
        <c:marker>
          <c:symbol val="circle"/>
          <c:size val="5"/>
          <c:spPr>
            <a:solidFill>
              <a:schemeClr val="tx2"/>
            </a:solidFill>
            <a:ln w="38100">
              <a:solidFill>
                <a:schemeClr val="accent1"/>
              </a:solidFill>
            </a:ln>
            <a:effectLst/>
          </c:spPr>
        </c:marker>
        <c:dLbl>
          <c:idx val="0"/>
          <c:layout>
            <c:manualLayout>
              <c:x val="-9.5773184601924854E-2"/>
              <c:y val="-5.603018372703411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8100" cap="rnd">
            <a:solidFill>
              <a:schemeClr val="accent1"/>
            </a:solidFill>
            <a:round/>
          </a:ln>
          <a:effectLst/>
        </c:spPr>
        <c:marker>
          <c:symbol val="circle"/>
          <c:size val="5"/>
          <c:spPr>
            <a:solidFill>
              <a:schemeClr val="tx2"/>
            </a:solidFill>
            <a:ln w="381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38100" cap="rnd">
            <a:solidFill>
              <a:schemeClr val="accent1"/>
            </a:solidFill>
            <a:round/>
          </a:ln>
          <a:effectLst/>
        </c:spPr>
        <c:marker>
          <c:symbol val="circle"/>
          <c:size val="5"/>
          <c:spPr>
            <a:solidFill>
              <a:schemeClr val="tx2"/>
            </a:solidFill>
            <a:ln w="38100">
              <a:solidFill>
                <a:schemeClr val="accent1"/>
              </a:solidFill>
            </a:ln>
            <a:effectLst/>
          </c:spPr>
        </c:marker>
        <c:dLbl>
          <c:idx val="0"/>
          <c:layout>
            <c:manualLayout>
              <c:x val="-9.7513998250218725E-2"/>
              <c:y val="1.80438903470399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8100" cap="rnd">
            <a:solidFill>
              <a:schemeClr val="accent1"/>
            </a:solidFill>
            <a:round/>
          </a:ln>
          <a:effectLst/>
        </c:spPr>
        <c:marker>
          <c:symbol val="circle"/>
          <c:size val="5"/>
          <c:spPr>
            <a:solidFill>
              <a:schemeClr val="tx2"/>
            </a:solidFill>
            <a:ln w="38100">
              <a:solidFill>
                <a:schemeClr val="accent1"/>
              </a:solidFill>
            </a:ln>
            <a:effectLst/>
          </c:spPr>
        </c:marker>
        <c:dLbl>
          <c:idx val="0"/>
          <c:layout>
            <c:manualLayout>
              <c:x val="-7.2513998250218717E-2"/>
              <c:y val="5.04512977544475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8100" cap="rnd">
            <a:solidFill>
              <a:schemeClr val="accent1"/>
            </a:solidFill>
            <a:round/>
          </a:ln>
          <a:effectLst/>
        </c:spPr>
        <c:marker>
          <c:symbol val="circle"/>
          <c:size val="5"/>
          <c:spPr>
            <a:solidFill>
              <a:schemeClr val="tx2"/>
            </a:solidFill>
            <a:ln w="38100">
              <a:solidFill>
                <a:schemeClr val="accent1"/>
              </a:solidFill>
            </a:ln>
            <a:effectLst/>
          </c:spPr>
        </c:marker>
        <c:dLbl>
          <c:idx val="0"/>
          <c:layout>
            <c:manualLayout>
              <c:x val="1.3597112860892491E-2"/>
              <c:y val="2.26735199766695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8100" cap="rnd">
            <a:solidFill>
              <a:schemeClr val="accent1"/>
            </a:solidFill>
            <a:round/>
          </a:ln>
          <a:effectLst/>
        </c:spPr>
        <c:marker>
          <c:symbol val="circle"/>
          <c:size val="5"/>
          <c:spPr>
            <a:solidFill>
              <a:schemeClr val="tx2"/>
            </a:solidFill>
            <a:ln w="38100">
              <a:solidFill>
                <a:schemeClr val="accent1"/>
              </a:solidFill>
            </a:ln>
            <a:effectLst/>
          </c:spPr>
        </c:marker>
        <c:dLbl>
          <c:idx val="0"/>
          <c:layout>
            <c:manualLayout>
              <c:x val="-9.5773184601924854E-2"/>
              <c:y val="-5.603018372703411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Table'!$Q$3:$R$3</c:f>
              <c:strCache>
                <c:ptCount val="1"/>
                <c:pt idx="0">
                  <c:v>Total</c:v>
                </c:pt>
              </c:strCache>
            </c:strRef>
          </c:tx>
          <c:spPr>
            <a:ln w="38100" cap="rnd">
              <a:solidFill>
                <a:schemeClr val="accent1"/>
              </a:solidFill>
              <a:round/>
            </a:ln>
            <a:effectLst/>
          </c:spPr>
          <c:marker>
            <c:symbol val="circle"/>
            <c:size val="5"/>
            <c:spPr>
              <a:solidFill>
                <a:schemeClr val="tx2"/>
              </a:solidFill>
              <a:ln w="38100">
                <a:solidFill>
                  <a:schemeClr val="accent1"/>
                </a:solidFill>
              </a:ln>
              <a:effectLst/>
            </c:spPr>
          </c:marker>
          <c:dPt>
            <c:idx val="1"/>
            <c:marker>
              <c:symbol val="circle"/>
              <c:size val="5"/>
              <c:spPr>
                <a:solidFill>
                  <a:schemeClr val="tx2"/>
                </a:solidFill>
                <a:ln w="38100">
                  <a:solidFill>
                    <a:schemeClr val="accent1"/>
                  </a:solidFill>
                </a:ln>
                <a:effectLst/>
              </c:spPr>
            </c:marker>
            <c:bubble3D val="0"/>
            <c:spPr>
              <a:ln w="38100" cap="rnd">
                <a:solidFill>
                  <a:schemeClr val="accent1"/>
                </a:solidFill>
                <a:round/>
              </a:ln>
              <a:effectLst/>
            </c:spPr>
            <c:extLst>
              <c:ext xmlns:c16="http://schemas.microsoft.com/office/drawing/2014/chart" uri="{C3380CC4-5D6E-409C-BE32-E72D297353CC}">
                <c16:uniqueId val="{00000000-3ADE-497C-BB55-E953C8A23459}"/>
              </c:ext>
            </c:extLst>
          </c:dPt>
          <c:dPt>
            <c:idx val="6"/>
            <c:marker>
              <c:symbol val="circle"/>
              <c:size val="5"/>
              <c:spPr>
                <a:solidFill>
                  <a:schemeClr val="tx2"/>
                </a:solidFill>
                <a:ln w="38100">
                  <a:solidFill>
                    <a:schemeClr val="accent1"/>
                  </a:solidFill>
                </a:ln>
                <a:effectLst/>
              </c:spPr>
            </c:marker>
            <c:bubble3D val="0"/>
            <c:spPr>
              <a:ln w="38100" cap="rnd">
                <a:solidFill>
                  <a:schemeClr val="accent1"/>
                </a:solidFill>
                <a:round/>
              </a:ln>
              <a:effectLst/>
            </c:spPr>
            <c:extLst>
              <c:ext xmlns:c16="http://schemas.microsoft.com/office/drawing/2014/chart" uri="{C3380CC4-5D6E-409C-BE32-E72D297353CC}">
                <c16:uniqueId val="{00000001-3ADE-497C-BB55-E953C8A23459}"/>
              </c:ext>
            </c:extLst>
          </c:dPt>
          <c:dPt>
            <c:idx val="8"/>
            <c:marker>
              <c:symbol val="circle"/>
              <c:size val="5"/>
              <c:spPr>
                <a:solidFill>
                  <a:schemeClr val="tx2"/>
                </a:solidFill>
                <a:ln w="38100">
                  <a:solidFill>
                    <a:schemeClr val="accent1"/>
                  </a:solidFill>
                </a:ln>
                <a:effectLst/>
              </c:spPr>
            </c:marker>
            <c:bubble3D val="0"/>
            <c:spPr>
              <a:ln w="38100" cap="rnd">
                <a:solidFill>
                  <a:schemeClr val="accent1"/>
                </a:solidFill>
                <a:round/>
              </a:ln>
              <a:effectLst/>
            </c:spPr>
            <c:extLst>
              <c:ext xmlns:c16="http://schemas.microsoft.com/office/drawing/2014/chart" uri="{C3380CC4-5D6E-409C-BE32-E72D297353CC}">
                <c16:uniqueId val="{00000002-3ADE-497C-BB55-E953C8A23459}"/>
              </c:ext>
            </c:extLst>
          </c:dPt>
          <c:dPt>
            <c:idx val="11"/>
            <c:marker>
              <c:symbol val="circle"/>
              <c:size val="5"/>
              <c:spPr>
                <a:solidFill>
                  <a:schemeClr val="tx2"/>
                </a:solidFill>
                <a:ln w="38100">
                  <a:solidFill>
                    <a:schemeClr val="accent1"/>
                  </a:solidFill>
                </a:ln>
                <a:effectLst/>
              </c:spPr>
            </c:marker>
            <c:bubble3D val="0"/>
            <c:spPr>
              <a:ln w="38100" cap="rnd">
                <a:solidFill>
                  <a:schemeClr val="accent1"/>
                </a:solidFill>
                <a:round/>
              </a:ln>
              <a:effectLst/>
            </c:spPr>
            <c:extLst>
              <c:ext xmlns:c16="http://schemas.microsoft.com/office/drawing/2014/chart" uri="{C3380CC4-5D6E-409C-BE32-E72D297353CC}">
                <c16:uniqueId val="{00000003-3ADE-497C-BB55-E953C8A23459}"/>
              </c:ext>
            </c:extLst>
          </c:dPt>
          <c:dLbls>
            <c:dLbl>
              <c:idx val="1"/>
              <c:layout>
                <c:manualLayout>
                  <c:x val="-9.7513998250218725E-2"/>
                  <c:y val="1.80438903470399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DE-497C-BB55-E953C8A23459}"/>
                </c:ext>
              </c:extLst>
            </c:dLbl>
            <c:dLbl>
              <c:idx val="6"/>
              <c:layout>
                <c:manualLayout>
                  <c:x val="-7.2513998250218717E-2"/>
                  <c:y val="5.04512977544475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DE-497C-BB55-E953C8A23459}"/>
                </c:ext>
              </c:extLst>
            </c:dLbl>
            <c:dLbl>
              <c:idx val="8"/>
              <c:layout>
                <c:manualLayout>
                  <c:x val="1.3597112860892491E-2"/>
                  <c:y val="2.26735199766695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DE-497C-BB55-E953C8A23459}"/>
                </c:ext>
              </c:extLst>
            </c:dLbl>
            <c:dLbl>
              <c:idx val="11"/>
              <c:layout>
                <c:manualLayout>
                  <c:x val="-9.5773184601924854E-2"/>
                  <c:y val="-5.60301837270341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DE-497C-BB55-E953C8A2345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Table'!$Q$3:$R$3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Table'!$Q$3:$R$3</c:f>
              <c:numCache>
                <c:formatCode>General</c:formatCode>
                <c:ptCount val="12"/>
                <c:pt idx="0">
                  <c:v>1435</c:v>
                </c:pt>
                <c:pt idx="1">
                  <c:v>185</c:v>
                </c:pt>
                <c:pt idx="2">
                  <c:v>688</c:v>
                </c:pt>
                <c:pt idx="3">
                  <c:v>810</c:v>
                </c:pt>
                <c:pt idx="4">
                  <c:v>850</c:v>
                </c:pt>
                <c:pt idx="5">
                  <c:v>991</c:v>
                </c:pt>
                <c:pt idx="6">
                  <c:v>300</c:v>
                </c:pt>
                <c:pt idx="7">
                  <c:v>646</c:v>
                </c:pt>
                <c:pt idx="8">
                  <c:v>190</c:v>
                </c:pt>
                <c:pt idx="9">
                  <c:v>1450</c:v>
                </c:pt>
                <c:pt idx="10">
                  <c:v>1497</c:v>
                </c:pt>
                <c:pt idx="11">
                  <c:v>318</c:v>
                </c:pt>
              </c:numCache>
            </c:numRef>
          </c:val>
          <c:smooth val="0"/>
          <c:extLst>
            <c:ext xmlns:c16="http://schemas.microsoft.com/office/drawing/2014/chart" uri="{C3380CC4-5D6E-409C-BE32-E72D297353CC}">
              <c16:uniqueId val="{00000004-3ADE-497C-BB55-E953C8A23459}"/>
            </c:ext>
          </c:extLst>
        </c:ser>
        <c:dLbls>
          <c:showLegendKey val="0"/>
          <c:showVal val="0"/>
          <c:showCatName val="0"/>
          <c:showSerName val="0"/>
          <c:showPercent val="0"/>
          <c:showBubbleSize val="0"/>
        </c:dLbls>
        <c:marker val="1"/>
        <c:smooth val="0"/>
        <c:axId val="1952648079"/>
        <c:axId val="1952648495"/>
      </c:lineChart>
      <c:catAx>
        <c:axId val="195264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952648495"/>
        <c:crosses val="autoZero"/>
        <c:auto val="1"/>
        <c:lblAlgn val="ctr"/>
        <c:lblOffset val="100"/>
        <c:noMultiLvlLbl val="0"/>
      </c:catAx>
      <c:valAx>
        <c:axId val="1952648495"/>
        <c:scaling>
          <c:orientation val="minMax"/>
        </c:scaling>
        <c:delete val="1"/>
        <c:axPos val="l"/>
        <c:numFmt formatCode="General" sourceLinked="1"/>
        <c:majorTickMark val="none"/>
        <c:minorTickMark val="none"/>
        <c:tickLblPos val="nextTo"/>
        <c:crossAx val="1952648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 by Country</a:t>
            </a:r>
          </a:p>
        </c:rich>
      </c:tx>
      <c:layout>
        <c:manualLayout>
          <c:xMode val="edge"/>
          <c:yMode val="edge"/>
          <c:x val="0.2155300644952492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tx2"/>
            </a:solidFill>
            <a:ln>
              <a:noFill/>
            </a:ln>
            <a:effectLst/>
          </c:spPr>
          <c:invertIfNegative val="0"/>
          <c:dLbls>
            <c:spPr>
              <a:solidFill>
                <a:schemeClr val="tx2"/>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downArrow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Table'!$W$19:$W$23</c:f>
              <c:strCache>
                <c:ptCount val="5"/>
                <c:pt idx="0">
                  <c:v>Argentina</c:v>
                </c:pt>
                <c:pt idx="1">
                  <c:v>Brazil</c:v>
                </c:pt>
                <c:pt idx="2">
                  <c:v>Colombia</c:v>
                </c:pt>
                <c:pt idx="3">
                  <c:v>Ecuador</c:v>
                </c:pt>
                <c:pt idx="4">
                  <c:v>Peru</c:v>
                </c:pt>
              </c:strCache>
            </c:strRef>
          </c:cat>
          <c:val>
            <c:numRef>
              <c:f>'Pivot Table'!$X$19:$X$23</c:f>
              <c:numCache>
                <c:formatCode>General</c:formatCode>
                <c:ptCount val="5"/>
                <c:pt idx="0">
                  <c:v>30381</c:v>
                </c:pt>
                <c:pt idx="1">
                  <c:v>63874</c:v>
                </c:pt>
                <c:pt idx="2">
                  <c:v>25744</c:v>
                </c:pt>
                <c:pt idx="3">
                  <c:v>23719</c:v>
                </c:pt>
                <c:pt idx="4">
                  <c:v>13643</c:v>
                </c:pt>
              </c:numCache>
            </c:numRef>
          </c:val>
          <c:extLst>
            <c:ext xmlns:c16="http://schemas.microsoft.com/office/drawing/2014/chart" uri="{C3380CC4-5D6E-409C-BE32-E72D297353CC}">
              <c16:uniqueId val="{00000000-6F57-4885-8A85-1F0F1F71C862}"/>
            </c:ext>
          </c:extLst>
        </c:ser>
        <c:dLbls>
          <c:showLegendKey val="0"/>
          <c:showVal val="0"/>
          <c:showCatName val="0"/>
          <c:showSerName val="0"/>
          <c:showPercent val="0"/>
          <c:showBubbleSize val="0"/>
        </c:dLbls>
        <c:gapWidth val="219"/>
        <c:overlap val="-27"/>
        <c:axId val="2012402415"/>
        <c:axId val="2012399087"/>
      </c:barChart>
      <c:catAx>
        <c:axId val="201240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2012399087"/>
        <c:crosses val="autoZero"/>
        <c:auto val="1"/>
        <c:lblAlgn val="ctr"/>
        <c:lblOffset val="100"/>
        <c:noMultiLvlLbl val="0"/>
      </c:catAx>
      <c:valAx>
        <c:axId val="2012399087"/>
        <c:scaling>
          <c:orientation val="minMax"/>
        </c:scaling>
        <c:delete val="1"/>
        <c:axPos val="l"/>
        <c:numFmt formatCode="General" sourceLinked="1"/>
        <c:majorTickMark val="none"/>
        <c:minorTickMark val="none"/>
        <c:tickLblPos val="nextTo"/>
        <c:crossAx val="201240241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Customer Satisfication Score</cx:v>
        </cx:txData>
      </cx:tx>
      <cx:txPr>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tx1"/>
              </a:solidFill>
              <a:latin typeface="Aptos Narrow" panose="02110004020202020204"/>
            </a:rPr>
            <a:t>Customer Satisfication Score</a:t>
          </a:r>
        </a:p>
      </cx:txPr>
    </cx:title>
    <cx:plotArea>
      <cx:plotAreaRegion>
        <cx:series layoutId="funnel" uniqueId="{3B4EBB55-2B4C-4744-8278-83337EDB1B8F}">
          <cx:spPr>
            <a:solidFill>
              <a:schemeClr val="tx2"/>
            </a:solidFill>
          </cx:spPr>
          <cx:dataLabels>
            <cx:txPr>
              <a:bodyPr spcFirstLastPara="1" vertOverflow="ellipsis" horzOverflow="overflow" wrap="square" lIns="0" tIns="0" rIns="0" bIns="0" anchor="ctr" anchorCtr="1"/>
              <a:lstStyle/>
              <a:p>
                <a:pPr algn="ctr" rtl="0">
                  <a:defRPr sz="1600" b="1">
                    <a:solidFill>
                      <a:schemeClr val="bg1"/>
                    </a:solidFill>
                  </a:defRPr>
                </a:pPr>
                <a:endParaRPr lang="en-US" sz="160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8.xml"/><Relationship Id="rId5" Type="http://schemas.openxmlformats.org/officeDocument/2006/relationships/chart" Target="../charts/chart3.xml"/><Relationship Id="rId10" Type="http://schemas.microsoft.com/office/2014/relationships/chartEx" Target="../charts/chartEx1.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486834</xdr:colOff>
      <xdr:row>42</xdr:row>
      <xdr:rowOff>95250</xdr:rowOff>
    </xdr:to>
    <xdr:sp macro="" textlink="">
      <xdr:nvSpPr>
        <xdr:cNvPr id="2" name="Rectangle 1">
          <a:extLst>
            <a:ext uri="{FF2B5EF4-FFF2-40B4-BE49-F238E27FC236}">
              <a16:creationId xmlns:a16="http://schemas.microsoft.com/office/drawing/2014/main" id="{AA473960-61EB-1784-10CA-EABC003ED8CA}"/>
            </a:ext>
          </a:extLst>
        </xdr:cNvPr>
        <xdr:cNvSpPr/>
      </xdr:nvSpPr>
      <xdr:spPr>
        <a:xfrm>
          <a:off x="0" y="0"/>
          <a:ext cx="14245167" cy="765175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83820</xdr:colOff>
      <xdr:row>0</xdr:row>
      <xdr:rowOff>68580</xdr:rowOff>
    </xdr:from>
    <xdr:to>
      <xdr:col>2</xdr:col>
      <xdr:colOff>373380</xdr:colOff>
      <xdr:row>4</xdr:row>
      <xdr:rowOff>30480</xdr:rowOff>
    </xdr:to>
    <xdr:sp macro="" textlink="">
      <xdr:nvSpPr>
        <xdr:cNvPr id="3" name="Rectangle: Rounded Corners 2">
          <a:extLst>
            <a:ext uri="{FF2B5EF4-FFF2-40B4-BE49-F238E27FC236}">
              <a16:creationId xmlns:a16="http://schemas.microsoft.com/office/drawing/2014/main" id="{3FCA4D8A-5F49-7741-3E6C-E33A5D52CC47}"/>
            </a:ext>
          </a:extLst>
        </xdr:cNvPr>
        <xdr:cNvSpPr/>
      </xdr:nvSpPr>
      <xdr:spPr>
        <a:xfrm>
          <a:off x="83820" y="68580"/>
          <a:ext cx="1508760" cy="6934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4</xdr:row>
      <xdr:rowOff>137160</xdr:rowOff>
    </xdr:from>
    <xdr:to>
      <xdr:col>2</xdr:col>
      <xdr:colOff>403860</xdr:colOff>
      <xdr:row>14</xdr:row>
      <xdr:rowOff>105834</xdr:rowOff>
    </xdr:to>
    <xdr:sp macro="" textlink="">
      <xdr:nvSpPr>
        <xdr:cNvPr id="7" name="Rectangle: Rounded Corners 6">
          <a:extLst>
            <a:ext uri="{FF2B5EF4-FFF2-40B4-BE49-F238E27FC236}">
              <a16:creationId xmlns:a16="http://schemas.microsoft.com/office/drawing/2014/main" id="{DCDBF963-9E38-FA8D-5F74-A9CF2AEE53D7}"/>
            </a:ext>
          </a:extLst>
        </xdr:cNvPr>
        <xdr:cNvSpPr/>
      </xdr:nvSpPr>
      <xdr:spPr>
        <a:xfrm>
          <a:off x="114300" y="856827"/>
          <a:ext cx="1665393" cy="17678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179918</xdr:colOff>
      <xdr:row>5</xdr:row>
      <xdr:rowOff>63501</xdr:rowOff>
    </xdr:from>
    <xdr:to>
      <xdr:col>2</xdr:col>
      <xdr:colOff>328085</xdr:colOff>
      <xdr:row>13</xdr:row>
      <xdr:rowOff>105833</xdr:rowOff>
    </xdr:to>
    <mc:AlternateContent xmlns:mc="http://schemas.openxmlformats.org/markup-compatibility/2006" xmlns:a14="http://schemas.microsoft.com/office/drawing/2010/main">
      <mc:Choice Requires="a14">
        <xdr:graphicFrame macro="">
          <xdr:nvGraphicFramePr>
            <xdr:cNvPr id="6" name="Quarters">
              <a:extLst>
                <a:ext uri="{FF2B5EF4-FFF2-40B4-BE49-F238E27FC236}">
                  <a16:creationId xmlns:a16="http://schemas.microsoft.com/office/drawing/2014/main" id="{1AF75C14-CD79-4155-9C57-3C772FCEDAB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mlns="">
        <xdr:sp macro="" textlink="">
          <xdr:nvSpPr>
            <xdr:cNvPr id="0" name=""/>
            <xdr:cNvSpPr>
              <a:spLocks noTextEdit="1"/>
            </xdr:cNvSpPr>
          </xdr:nvSpPr>
          <xdr:spPr>
            <a:xfrm>
              <a:off x="179918" y="963084"/>
              <a:ext cx="1524000" cy="1481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449580</xdr:colOff>
      <xdr:row>0</xdr:row>
      <xdr:rowOff>53340</xdr:rowOff>
    </xdr:from>
    <xdr:to>
      <xdr:col>20</xdr:col>
      <xdr:colOff>370417</xdr:colOff>
      <xdr:row>4</xdr:row>
      <xdr:rowOff>15240</xdr:rowOff>
    </xdr:to>
    <xdr:sp macro="" textlink="">
      <xdr:nvSpPr>
        <xdr:cNvPr id="8" name="Rectangle: Rounded Corners 7">
          <a:extLst>
            <a:ext uri="{FF2B5EF4-FFF2-40B4-BE49-F238E27FC236}">
              <a16:creationId xmlns:a16="http://schemas.microsoft.com/office/drawing/2014/main" id="{337951DD-8F22-AFD6-9405-4F095BB96A36}"/>
            </a:ext>
          </a:extLst>
        </xdr:cNvPr>
        <xdr:cNvSpPr/>
      </xdr:nvSpPr>
      <xdr:spPr>
        <a:xfrm>
          <a:off x="1825413" y="53340"/>
          <a:ext cx="12303337" cy="68156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96941</xdr:colOff>
      <xdr:row>0</xdr:row>
      <xdr:rowOff>69849</xdr:rowOff>
    </xdr:from>
    <xdr:to>
      <xdr:col>22</xdr:col>
      <xdr:colOff>211241</xdr:colOff>
      <xdr:row>4</xdr:row>
      <xdr:rowOff>16509</xdr:rowOff>
    </xdr:to>
    <xdr:sp macro="" textlink="">
      <xdr:nvSpPr>
        <xdr:cNvPr id="10" name="TextBox 9">
          <a:extLst>
            <a:ext uri="{FF2B5EF4-FFF2-40B4-BE49-F238E27FC236}">
              <a16:creationId xmlns:a16="http://schemas.microsoft.com/office/drawing/2014/main" id="{1F41D079-E7C9-2F3F-D0D0-9F087A57E8D3}"/>
            </a:ext>
          </a:extLst>
        </xdr:cNvPr>
        <xdr:cNvSpPr txBox="1"/>
      </xdr:nvSpPr>
      <xdr:spPr>
        <a:xfrm>
          <a:off x="2552274" y="69849"/>
          <a:ext cx="11163300" cy="708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tx2"/>
              </a:solidFill>
              <a:latin typeface="Calibri" panose="020F0502020204030204" pitchFamily="34" charset="0"/>
              <a:ea typeface="Calibri" panose="020F0502020204030204" pitchFamily="34" charset="0"/>
              <a:cs typeface="Calibri" panose="020F0502020204030204" pitchFamily="34" charset="0"/>
            </a:rPr>
            <a:t>SALES</a:t>
          </a:r>
          <a:r>
            <a:rPr lang="en-US" sz="3600" b="1" baseline="0">
              <a:solidFill>
                <a:schemeClr val="tx2"/>
              </a:solidFill>
              <a:latin typeface="Calibri" panose="020F0502020204030204" pitchFamily="34" charset="0"/>
              <a:ea typeface="Calibri" panose="020F0502020204030204" pitchFamily="34" charset="0"/>
              <a:cs typeface="Calibri" panose="020F0502020204030204" pitchFamily="34" charset="0"/>
            </a:rPr>
            <a:t> PROFIT &amp; CUSTOMER METRICS DASHBOARD</a:t>
          </a:r>
          <a:endParaRPr lang="en-US" sz="3600" b="1">
            <a:solidFill>
              <a:schemeClr val="tx2"/>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xdr:col>
      <xdr:colOff>518160</xdr:colOff>
      <xdr:row>0</xdr:row>
      <xdr:rowOff>30480</xdr:rowOff>
    </xdr:from>
    <xdr:to>
      <xdr:col>4</xdr:col>
      <xdr:colOff>30480</xdr:colOff>
      <xdr:row>4</xdr:row>
      <xdr:rowOff>30480</xdr:rowOff>
    </xdr:to>
    <xdr:pic>
      <xdr:nvPicPr>
        <xdr:cNvPr id="12" name="Graphic 11" descr="Internet with solid fill">
          <a:extLst>
            <a:ext uri="{FF2B5EF4-FFF2-40B4-BE49-F238E27FC236}">
              <a16:creationId xmlns:a16="http://schemas.microsoft.com/office/drawing/2014/main" id="{0694843B-76D4-65D3-0E5C-BC74E4637A7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37360" y="30480"/>
          <a:ext cx="731520" cy="731520"/>
        </a:xfrm>
        <a:prstGeom prst="rect">
          <a:avLst/>
        </a:prstGeom>
      </xdr:spPr>
    </xdr:pic>
    <xdr:clientData/>
  </xdr:twoCellAnchor>
  <xdr:twoCellAnchor>
    <xdr:from>
      <xdr:col>2</xdr:col>
      <xdr:colOff>571500</xdr:colOff>
      <xdr:row>12</xdr:row>
      <xdr:rowOff>97154</xdr:rowOff>
    </xdr:from>
    <xdr:to>
      <xdr:col>9</xdr:col>
      <xdr:colOff>127000</xdr:colOff>
      <xdr:row>26</xdr:row>
      <xdr:rowOff>142093</xdr:rowOff>
    </xdr:to>
    <xdr:sp macro="" textlink="">
      <xdr:nvSpPr>
        <xdr:cNvPr id="14" name="Rectangle: Rounded Corners 13">
          <a:extLst>
            <a:ext uri="{FF2B5EF4-FFF2-40B4-BE49-F238E27FC236}">
              <a16:creationId xmlns:a16="http://schemas.microsoft.com/office/drawing/2014/main" id="{B58DF947-795C-C2F4-5BBF-BF34A12789EA}"/>
            </a:ext>
          </a:extLst>
        </xdr:cNvPr>
        <xdr:cNvSpPr/>
      </xdr:nvSpPr>
      <xdr:spPr>
        <a:xfrm>
          <a:off x="1947333" y="2256154"/>
          <a:ext cx="4370917" cy="256377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563880</xdr:colOff>
      <xdr:row>4</xdr:row>
      <xdr:rowOff>135466</xdr:rowOff>
    </xdr:from>
    <xdr:to>
      <xdr:col>7</xdr:col>
      <xdr:colOff>158750</xdr:colOff>
      <xdr:row>11</xdr:row>
      <xdr:rowOff>158750</xdr:rowOff>
    </xdr:to>
    <xdr:grpSp>
      <xdr:nvGrpSpPr>
        <xdr:cNvPr id="42" name="Group 41">
          <a:extLst>
            <a:ext uri="{FF2B5EF4-FFF2-40B4-BE49-F238E27FC236}">
              <a16:creationId xmlns:a16="http://schemas.microsoft.com/office/drawing/2014/main" id="{E0657666-0C2E-4F2F-B0AF-E54B8EB9C850}"/>
            </a:ext>
          </a:extLst>
        </xdr:cNvPr>
        <xdr:cNvGrpSpPr/>
      </xdr:nvGrpSpPr>
      <xdr:grpSpPr>
        <a:xfrm>
          <a:off x="1791547" y="897466"/>
          <a:ext cx="2664036" cy="1356784"/>
          <a:chOff x="1935480" y="923925"/>
          <a:chExt cx="2911475" cy="1219200"/>
        </a:xfrm>
      </xdr:grpSpPr>
      <xdr:sp macro="" textlink="">
        <xdr:nvSpPr>
          <xdr:cNvPr id="13" name="Rectangle: Rounded Corners 12">
            <a:extLst>
              <a:ext uri="{FF2B5EF4-FFF2-40B4-BE49-F238E27FC236}">
                <a16:creationId xmlns:a16="http://schemas.microsoft.com/office/drawing/2014/main" id="{4AF27F9A-EDBE-E3CA-6B5F-2F199DD961EC}"/>
              </a:ext>
            </a:extLst>
          </xdr:cNvPr>
          <xdr:cNvSpPr/>
        </xdr:nvSpPr>
        <xdr:spPr>
          <a:xfrm>
            <a:off x="1935480" y="942975"/>
            <a:ext cx="2541270" cy="12001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DD3EB93A-6236-AAB0-F9BB-6E147E87D245}"/>
              </a:ext>
            </a:extLst>
          </xdr:cNvPr>
          <xdr:cNvSpPr txBox="1"/>
        </xdr:nvSpPr>
        <xdr:spPr>
          <a:xfrm>
            <a:off x="2148840" y="1068675"/>
            <a:ext cx="11811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2"/>
                </a:solidFill>
              </a:rPr>
              <a:t>Sales</a:t>
            </a:r>
          </a:p>
        </xdr:txBody>
      </xdr:sp>
      <xdr:sp macro="" textlink="'Pivot Table'!$A$6">
        <xdr:nvSpPr>
          <xdr:cNvPr id="18" name="TextBox 17">
            <a:extLst>
              <a:ext uri="{FF2B5EF4-FFF2-40B4-BE49-F238E27FC236}">
                <a16:creationId xmlns:a16="http://schemas.microsoft.com/office/drawing/2014/main" id="{9E45F9F1-0554-6044-A1C4-5FC8D5F92931}"/>
              </a:ext>
            </a:extLst>
          </xdr:cNvPr>
          <xdr:cNvSpPr txBox="1"/>
        </xdr:nvSpPr>
        <xdr:spPr>
          <a:xfrm>
            <a:off x="2093463" y="1514489"/>
            <a:ext cx="13716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B20868-DE72-4EC6-AD40-C0F9D5845691}" type="TxLink">
              <a:rPr lang="en-US" sz="2400" b="1" i="0" u="none" strike="noStrike">
                <a:solidFill>
                  <a:schemeClr val="tx2"/>
                </a:solidFill>
                <a:latin typeface="Aptos Narrow"/>
              </a:rPr>
              <a:pPr/>
              <a:t>$157K</a:t>
            </a:fld>
            <a:endParaRPr lang="en-US" sz="4800" b="1">
              <a:solidFill>
                <a:schemeClr val="tx2"/>
              </a:solidFill>
            </a:endParaRPr>
          </a:p>
        </xdr:txBody>
      </xdr:sp>
      <xdr:graphicFrame macro="">
        <xdr:nvGraphicFramePr>
          <xdr:cNvPr id="19" name="Chart 18">
            <a:extLst>
              <a:ext uri="{FF2B5EF4-FFF2-40B4-BE49-F238E27FC236}">
                <a16:creationId xmlns:a16="http://schemas.microsoft.com/office/drawing/2014/main" id="{2C4951D8-926E-4D86-92AB-ED2D2619A1FA}"/>
              </a:ext>
            </a:extLst>
          </xdr:cNvPr>
          <xdr:cNvGraphicFramePr>
            <a:graphicFrameLocks/>
          </xdr:cNvGraphicFramePr>
        </xdr:nvGraphicFramePr>
        <xdr:xfrm>
          <a:off x="2878455" y="923925"/>
          <a:ext cx="1968500" cy="1181100"/>
        </xdr:xfrm>
        <a:graphic>
          <a:graphicData uri="http://schemas.openxmlformats.org/drawingml/2006/chart">
            <c:chart xmlns:c="http://schemas.openxmlformats.org/drawingml/2006/chart" xmlns:r="http://schemas.openxmlformats.org/officeDocument/2006/relationships" r:id="rId3"/>
          </a:graphicData>
        </a:graphic>
      </xdr:graphicFrame>
      <xdr:sp macro="" textlink="'Pivot Table'!B10">
        <xdr:nvSpPr>
          <xdr:cNvPr id="20" name="TextBox 19">
            <a:extLst>
              <a:ext uri="{FF2B5EF4-FFF2-40B4-BE49-F238E27FC236}">
                <a16:creationId xmlns:a16="http://schemas.microsoft.com/office/drawing/2014/main" id="{A907D997-CF6F-46E9-826D-AAC36D4F384E}"/>
              </a:ext>
            </a:extLst>
          </xdr:cNvPr>
          <xdr:cNvSpPr txBox="1"/>
        </xdr:nvSpPr>
        <xdr:spPr>
          <a:xfrm>
            <a:off x="3609975" y="1371555"/>
            <a:ext cx="1152525"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052D516-AC77-41AF-8E20-C81D4F7C4DD2}" type="TxLink">
              <a:rPr lang="en-US" sz="1600" b="1" i="0" u="none" strike="noStrike">
                <a:solidFill>
                  <a:schemeClr val="tx2"/>
                </a:solidFill>
                <a:latin typeface="Aptos Narrow"/>
                <a:ea typeface="+mn-ea"/>
                <a:cs typeface="+mn-cs"/>
              </a:rPr>
              <a:pPr marL="0" indent="0"/>
              <a:t>86%</a:t>
            </a:fld>
            <a:endParaRPr lang="en-US" sz="1600" b="1" i="0" u="none" strike="noStrike">
              <a:solidFill>
                <a:schemeClr val="tx2"/>
              </a:solidFill>
              <a:latin typeface="Aptos Narrow"/>
              <a:ea typeface="+mn-ea"/>
              <a:cs typeface="+mn-cs"/>
            </a:endParaRPr>
          </a:p>
        </xdr:txBody>
      </xdr:sp>
    </xdr:grpSp>
    <xdr:clientData/>
  </xdr:twoCellAnchor>
  <xdr:twoCellAnchor>
    <xdr:from>
      <xdr:col>6</xdr:col>
      <xdr:colOff>611290</xdr:colOff>
      <xdr:row>4</xdr:row>
      <xdr:rowOff>125940</xdr:rowOff>
    </xdr:from>
    <xdr:to>
      <xdr:col>11</xdr:col>
      <xdr:colOff>306917</xdr:colOff>
      <xdr:row>11</xdr:row>
      <xdr:rowOff>148167</xdr:rowOff>
    </xdr:to>
    <xdr:grpSp>
      <xdr:nvGrpSpPr>
        <xdr:cNvPr id="43" name="Group 42">
          <a:extLst>
            <a:ext uri="{FF2B5EF4-FFF2-40B4-BE49-F238E27FC236}">
              <a16:creationId xmlns:a16="http://schemas.microsoft.com/office/drawing/2014/main" id="{D0FE0FD9-0ADB-49E7-9121-5D86E496AF9E}"/>
            </a:ext>
          </a:extLst>
        </xdr:cNvPr>
        <xdr:cNvGrpSpPr/>
      </xdr:nvGrpSpPr>
      <xdr:grpSpPr>
        <a:xfrm>
          <a:off x="4294290" y="887940"/>
          <a:ext cx="2764794" cy="1355727"/>
          <a:chOff x="4659630" y="933450"/>
          <a:chExt cx="2854325" cy="1228725"/>
        </a:xfrm>
      </xdr:grpSpPr>
      <xdr:sp macro="" textlink="">
        <xdr:nvSpPr>
          <xdr:cNvPr id="22" name="Rectangle: Rounded Corners 21">
            <a:extLst>
              <a:ext uri="{FF2B5EF4-FFF2-40B4-BE49-F238E27FC236}">
                <a16:creationId xmlns:a16="http://schemas.microsoft.com/office/drawing/2014/main" id="{3653A635-ECD9-40EF-A19A-4B9822A4D19B}"/>
              </a:ext>
            </a:extLst>
          </xdr:cNvPr>
          <xdr:cNvSpPr/>
        </xdr:nvSpPr>
        <xdr:spPr>
          <a:xfrm>
            <a:off x="4659630" y="962025"/>
            <a:ext cx="2541270" cy="12001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69FC0AD6-2E54-415E-90B2-E286F1CBABB0}"/>
              </a:ext>
            </a:extLst>
          </xdr:cNvPr>
          <xdr:cNvSpPr txBox="1"/>
        </xdr:nvSpPr>
        <xdr:spPr>
          <a:xfrm>
            <a:off x="4822843" y="1059180"/>
            <a:ext cx="11811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2"/>
                </a:solidFill>
              </a:rPr>
              <a:t>Profit</a:t>
            </a:r>
          </a:p>
        </xdr:txBody>
      </xdr:sp>
      <xdr:sp macro="" textlink="'Pivot Table'!$C$6">
        <xdr:nvSpPr>
          <xdr:cNvPr id="24" name="TextBox 23">
            <a:extLst>
              <a:ext uri="{FF2B5EF4-FFF2-40B4-BE49-F238E27FC236}">
                <a16:creationId xmlns:a16="http://schemas.microsoft.com/office/drawing/2014/main" id="{700DE9D8-255B-453B-A8E6-6654D38C8112}"/>
              </a:ext>
            </a:extLst>
          </xdr:cNvPr>
          <xdr:cNvSpPr txBox="1"/>
        </xdr:nvSpPr>
        <xdr:spPr>
          <a:xfrm>
            <a:off x="4796961" y="1485565"/>
            <a:ext cx="147637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E4DF5BD-DD11-4A8C-809F-959F9C1EE129}" type="TxLink">
              <a:rPr lang="en-US" sz="2400" b="1" i="0" u="none" strike="noStrike">
                <a:solidFill>
                  <a:schemeClr val="tx2"/>
                </a:solidFill>
                <a:latin typeface="Aptos Narrow"/>
                <a:ea typeface="+mn-ea"/>
                <a:cs typeface="+mn-cs"/>
              </a:rPr>
              <a:pPr marL="0" indent="0"/>
              <a:t>$113K</a:t>
            </a:fld>
            <a:endParaRPr lang="en-US" sz="2400" b="1" i="0" u="none" strike="noStrike">
              <a:solidFill>
                <a:schemeClr val="tx2"/>
              </a:solidFill>
              <a:latin typeface="Aptos Narrow"/>
              <a:ea typeface="+mn-ea"/>
              <a:cs typeface="+mn-cs"/>
            </a:endParaRPr>
          </a:p>
        </xdr:txBody>
      </xdr:sp>
      <xdr:graphicFrame macro="">
        <xdr:nvGraphicFramePr>
          <xdr:cNvPr id="25" name="Chart 24">
            <a:extLst>
              <a:ext uri="{FF2B5EF4-FFF2-40B4-BE49-F238E27FC236}">
                <a16:creationId xmlns:a16="http://schemas.microsoft.com/office/drawing/2014/main" id="{8BEA62BD-251C-40E6-B15B-9BEB3AA275F7}"/>
              </a:ext>
            </a:extLst>
          </xdr:cNvPr>
          <xdr:cNvGraphicFramePr>
            <a:graphicFrameLocks/>
          </xdr:cNvGraphicFramePr>
        </xdr:nvGraphicFramePr>
        <xdr:xfrm>
          <a:off x="5545455" y="933450"/>
          <a:ext cx="1968500" cy="1181100"/>
        </xdr:xfrm>
        <a:graphic>
          <a:graphicData uri="http://schemas.openxmlformats.org/drawingml/2006/chart">
            <c:chart xmlns:c="http://schemas.openxmlformats.org/drawingml/2006/chart" xmlns:r="http://schemas.openxmlformats.org/officeDocument/2006/relationships" r:id="rId4"/>
          </a:graphicData>
        </a:graphic>
      </xdr:graphicFrame>
      <xdr:sp macro="" textlink="'Pivot Table'!B11">
        <xdr:nvSpPr>
          <xdr:cNvPr id="26" name="TextBox 25">
            <a:extLst>
              <a:ext uri="{FF2B5EF4-FFF2-40B4-BE49-F238E27FC236}">
                <a16:creationId xmlns:a16="http://schemas.microsoft.com/office/drawing/2014/main" id="{C5678275-CC5D-450F-A847-F39A618C7C06}"/>
              </a:ext>
            </a:extLst>
          </xdr:cNvPr>
          <xdr:cNvSpPr txBox="1"/>
        </xdr:nvSpPr>
        <xdr:spPr>
          <a:xfrm>
            <a:off x="6286500" y="1371800"/>
            <a:ext cx="1152525"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22A500C-3905-42EE-8BA3-4989E597651C}" type="TxLink">
              <a:rPr lang="en-US" sz="1600" b="1" i="0" u="none" strike="noStrike">
                <a:solidFill>
                  <a:schemeClr val="tx2"/>
                </a:solidFill>
                <a:latin typeface="Aptos Narrow"/>
                <a:ea typeface="+mn-ea"/>
                <a:cs typeface="+mn-cs"/>
              </a:rPr>
              <a:pPr marL="0" indent="0"/>
              <a:t>85%</a:t>
            </a:fld>
            <a:endParaRPr lang="en-US" sz="1600" b="1" i="0" u="none" strike="noStrike">
              <a:solidFill>
                <a:schemeClr val="tx2"/>
              </a:solidFill>
              <a:latin typeface="Aptos Narrow"/>
              <a:ea typeface="+mn-ea"/>
              <a:cs typeface="+mn-cs"/>
            </a:endParaRPr>
          </a:p>
        </xdr:txBody>
      </xdr:sp>
    </xdr:grpSp>
    <xdr:clientData/>
  </xdr:twoCellAnchor>
  <xdr:twoCellAnchor>
    <xdr:from>
      <xdr:col>11</xdr:col>
      <xdr:colOff>91259</xdr:colOff>
      <xdr:row>5</xdr:row>
      <xdr:rowOff>13758</xdr:rowOff>
    </xdr:from>
    <xdr:to>
      <xdr:col>16</xdr:col>
      <xdr:colOff>138501</xdr:colOff>
      <xdr:row>11</xdr:row>
      <xdr:rowOff>137583</xdr:rowOff>
    </xdr:to>
    <xdr:sp macro="" textlink="">
      <xdr:nvSpPr>
        <xdr:cNvPr id="28" name="Rectangle: Rounded Corners 27">
          <a:extLst>
            <a:ext uri="{FF2B5EF4-FFF2-40B4-BE49-F238E27FC236}">
              <a16:creationId xmlns:a16="http://schemas.microsoft.com/office/drawing/2014/main" id="{C0D85F03-217D-43AE-8009-7B7BD91E25D3}"/>
            </a:ext>
          </a:extLst>
        </xdr:cNvPr>
        <xdr:cNvSpPr/>
      </xdr:nvSpPr>
      <xdr:spPr>
        <a:xfrm>
          <a:off x="7658342" y="913341"/>
          <a:ext cx="3486826" cy="12033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135466</xdr:colOff>
      <xdr:row>5</xdr:row>
      <xdr:rowOff>122555</xdr:rowOff>
    </xdr:from>
    <xdr:to>
      <xdr:col>14</xdr:col>
      <xdr:colOff>366788</xdr:colOff>
      <xdr:row>8</xdr:row>
      <xdr:rowOff>44390</xdr:rowOff>
    </xdr:to>
    <xdr:sp macro="" textlink="">
      <xdr:nvSpPr>
        <xdr:cNvPr id="29" name="TextBox 28">
          <a:extLst>
            <a:ext uri="{FF2B5EF4-FFF2-40B4-BE49-F238E27FC236}">
              <a16:creationId xmlns:a16="http://schemas.microsoft.com/office/drawing/2014/main" id="{C4D0B6A5-2489-4BAF-9B1E-3526443FA724}"/>
            </a:ext>
          </a:extLst>
        </xdr:cNvPr>
        <xdr:cNvSpPr txBox="1"/>
      </xdr:nvSpPr>
      <xdr:spPr>
        <a:xfrm>
          <a:off x="7702549" y="1022138"/>
          <a:ext cx="2295072" cy="461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2"/>
              </a:solidFill>
              <a:latin typeface="+mn-lt"/>
              <a:ea typeface="+mn-ea"/>
              <a:cs typeface="+mn-cs"/>
            </a:rPr>
            <a:t>Customer</a:t>
          </a:r>
          <a:r>
            <a:rPr lang="en-US" sz="2000" b="1">
              <a:solidFill>
                <a:schemeClr val="tx2"/>
              </a:solidFill>
            </a:rPr>
            <a:t> Count</a:t>
          </a:r>
        </a:p>
      </xdr:txBody>
    </xdr:sp>
    <xdr:clientData/>
  </xdr:twoCellAnchor>
  <xdr:twoCellAnchor>
    <xdr:from>
      <xdr:col>12</xdr:col>
      <xdr:colOff>122464</xdr:colOff>
      <xdr:row>7</xdr:row>
      <xdr:rowOff>113393</xdr:rowOff>
    </xdr:from>
    <xdr:to>
      <xdr:col>14</xdr:col>
      <xdr:colOff>13605</xdr:colOff>
      <xdr:row>10</xdr:row>
      <xdr:rowOff>36287</xdr:rowOff>
    </xdr:to>
    <xdr:sp macro="" textlink="'Pivot Table'!$E$6">
      <xdr:nvSpPr>
        <xdr:cNvPr id="30" name="TextBox 29">
          <a:extLst>
            <a:ext uri="{FF2B5EF4-FFF2-40B4-BE49-F238E27FC236}">
              <a16:creationId xmlns:a16="http://schemas.microsoft.com/office/drawing/2014/main" id="{584D89C9-6F34-4095-96E2-7BFA138FE938}"/>
            </a:ext>
          </a:extLst>
        </xdr:cNvPr>
        <xdr:cNvSpPr txBox="1"/>
      </xdr:nvSpPr>
      <xdr:spPr>
        <a:xfrm>
          <a:off x="7488464" y="1446893"/>
          <a:ext cx="1118808" cy="494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D86A0A1-A346-480D-8459-4E75833EEE48}" type="TxLink">
            <a:rPr lang="en-US" sz="2400" b="1" i="0" u="none" strike="noStrike">
              <a:solidFill>
                <a:schemeClr val="tx2"/>
              </a:solidFill>
              <a:latin typeface="Aptos Narrow"/>
              <a:ea typeface="+mn-ea"/>
              <a:cs typeface="+mn-cs"/>
            </a:rPr>
            <a:pPr marL="0" indent="0"/>
            <a:t>9360</a:t>
          </a:fld>
          <a:endParaRPr lang="en-US" sz="2400" b="1" i="0" u="none" strike="noStrike">
            <a:solidFill>
              <a:schemeClr val="tx2"/>
            </a:solidFill>
            <a:latin typeface="Aptos Narrow"/>
            <a:ea typeface="+mn-ea"/>
            <a:cs typeface="+mn-cs"/>
          </a:endParaRPr>
        </a:p>
      </xdr:txBody>
    </xdr:sp>
    <xdr:clientData/>
  </xdr:twoCellAnchor>
  <xdr:twoCellAnchor>
    <xdr:from>
      <xdr:col>13</xdr:col>
      <xdr:colOff>483140</xdr:colOff>
      <xdr:row>4</xdr:row>
      <xdr:rowOff>140757</xdr:rowOff>
    </xdr:from>
    <xdr:to>
      <xdr:col>16</xdr:col>
      <xdr:colOff>465666</xdr:colOff>
      <xdr:row>11</xdr:row>
      <xdr:rowOff>97675</xdr:rowOff>
    </xdr:to>
    <xdr:graphicFrame macro="">
      <xdr:nvGraphicFramePr>
        <xdr:cNvPr id="31" name="Chart 30">
          <a:extLst>
            <a:ext uri="{FF2B5EF4-FFF2-40B4-BE49-F238E27FC236}">
              <a16:creationId xmlns:a16="http://schemas.microsoft.com/office/drawing/2014/main" id="{FC53FB39-D9E4-4A31-8A75-D20B7DE5B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574824</xdr:colOff>
      <xdr:row>7</xdr:row>
      <xdr:rowOff>52916</xdr:rowOff>
    </xdr:from>
    <xdr:to>
      <xdr:col>16</xdr:col>
      <xdr:colOff>264278</xdr:colOff>
      <xdr:row>10</xdr:row>
      <xdr:rowOff>138490</xdr:rowOff>
    </xdr:to>
    <xdr:sp macro="" textlink="'Pivot Table'!B12">
      <xdr:nvSpPr>
        <xdr:cNvPr id="32" name="TextBox 31">
          <a:extLst>
            <a:ext uri="{FF2B5EF4-FFF2-40B4-BE49-F238E27FC236}">
              <a16:creationId xmlns:a16="http://schemas.microsoft.com/office/drawing/2014/main" id="{B17580EB-AB03-4E3A-9D30-76508DEC8F88}"/>
            </a:ext>
          </a:extLst>
        </xdr:cNvPr>
        <xdr:cNvSpPr txBox="1"/>
      </xdr:nvSpPr>
      <xdr:spPr>
        <a:xfrm>
          <a:off x="10205657" y="1312333"/>
          <a:ext cx="1065288" cy="625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BE12FEF-D5A6-4970-9155-9FCBD8CB58A8}" type="TxLink">
            <a:rPr lang="en-US" sz="1600" b="1" i="0" u="none" strike="noStrike">
              <a:solidFill>
                <a:schemeClr val="tx2"/>
              </a:solidFill>
              <a:latin typeface="Aptos Narrow"/>
              <a:ea typeface="+mn-ea"/>
              <a:cs typeface="+mn-cs"/>
            </a:rPr>
            <a:pPr marL="0" indent="0"/>
            <a:t>84%</a:t>
          </a:fld>
          <a:endParaRPr lang="en-US" sz="1600" b="1" i="0" u="none" strike="noStrike">
            <a:solidFill>
              <a:schemeClr val="tx2"/>
            </a:solidFill>
            <a:latin typeface="Aptos Narrow"/>
            <a:ea typeface="+mn-ea"/>
            <a:cs typeface="+mn-cs"/>
          </a:endParaRPr>
        </a:p>
      </xdr:txBody>
    </xdr:sp>
    <xdr:clientData/>
  </xdr:twoCellAnchor>
  <xdr:twoCellAnchor>
    <xdr:from>
      <xdr:col>3</xdr:col>
      <xdr:colOff>47625</xdr:colOff>
      <xdr:row>12</xdr:row>
      <xdr:rowOff>85725</xdr:rowOff>
    </xdr:from>
    <xdr:to>
      <xdr:col>8</xdr:col>
      <xdr:colOff>592667</xdr:colOff>
      <xdr:row>27</xdr:row>
      <xdr:rowOff>34290</xdr:rowOff>
    </xdr:to>
    <xdr:graphicFrame macro="">
      <xdr:nvGraphicFramePr>
        <xdr:cNvPr id="39" name="Chart 38">
          <a:extLst>
            <a:ext uri="{FF2B5EF4-FFF2-40B4-BE49-F238E27FC236}">
              <a16:creationId xmlns:a16="http://schemas.microsoft.com/office/drawing/2014/main" id="{D4233B1E-B646-44B7-8EE5-281D92BB2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278347</xdr:colOff>
      <xdr:row>12</xdr:row>
      <xdr:rowOff>104562</xdr:rowOff>
    </xdr:from>
    <xdr:to>
      <xdr:col>15</xdr:col>
      <xdr:colOff>52917</xdr:colOff>
      <xdr:row>26</xdr:row>
      <xdr:rowOff>149501</xdr:rowOff>
    </xdr:to>
    <xdr:sp macro="" textlink="">
      <xdr:nvSpPr>
        <xdr:cNvPr id="40" name="Rectangle: Rounded Corners 39">
          <a:extLst>
            <a:ext uri="{FF2B5EF4-FFF2-40B4-BE49-F238E27FC236}">
              <a16:creationId xmlns:a16="http://schemas.microsoft.com/office/drawing/2014/main" id="{585068B3-C74B-4D68-939B-2B39FA1414FD}"/>
            </a:ext>
          </a:extLst>
        </xdr:cNvPr>
        <xdr:cNvSpPr/>
      </xdr:nvSpPr>
      <xdr:spPr>
        <a:xfrm>
          <a:off x="6469597" y="2263562"/>
          <a:ext cx="3902070" cy="256377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357717</xdr:colOff>
      <xdr:row>12</xdr:row>
      <xdr:rowOff>120438</xdr:rowOff>
    </xdr:from>
    <xdr:to>
      <xdr:col>14</xdr:col>
      <xdr:colOff>497417</xdr:colOff>
      <xdr:row>27</xdr:row>
      <xdr:rowOff>7196</xdr:rowOff>
    </xdr:to>
    <xdr:graphicFrame macro="">
      <xdr:nvGraphicFramePr>
        <xdr:cNvPr id="41" name="Chart 40">
          <a:extLst>
            <a:ext uri="{FF2B5EF4-FFF2-40B4-BE49-F238E27FC236}">
              <a16:creationId xmlns:a16="http://schemas.microsoft.com/office/drawing/2014/main" id="{3E5E69F6-F444-42C7-A203-5AA7D0F81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223091</xdr:colOff>
      <xdr:row>4</xdr:row>
      <xdr:rowOff>162982</xdr:rowOff>
    </xdr:from>
    <xdr:to>
      <xdr:col>20</xdr:col>
      <xdr:colOff>402166</xdr:colOff>
      <xdr:row>11</xdr:row>
      <xdr:rowOff>116418</xdr:rowOff>
    </xdr:to>
    <xdr:grpSp>
      <xdr:nvGrpSpPr>
        <xdr:cNvPr id="55" name="Group 54">
          <a:extLst>
            <a:ext uri="{FF2B5EF4-FFF2-40B4-BE49-F238E27FC236}">
              <a16:creationId xmlns:a16="http://schemas.microsoft.com/office/drawing/2014/main" id="{2D8EA866-D0A6-419B-B48A-3C41040C2BAB}"/>
            </a:ext>
          </a:extLst>
        </xdr:cNvPr>
        <xdr:cNvGrpSpPr/>
      </xdr:nvGrpSpPr>
      <xdr:grpSpPr>
        <a:xfrm>
          <a:off x="10044424" y="924982"/>
          <a:ext cx="2634409" cy="1286936"/>
          <a:chOff x="10615927" y="956733"/>
          <a:chExt cx="2654808" cy="1117602"/>
        </a:xfrm>
      </xdr:grpSpPr>
      <xdr:grpSp>
        <xdr:nvGrpSpPr>
          <xdr:cNvPr id="47" name="Group 46">
            <a:extLst>
              <a:ext uri="{FF2B5EF4-FFF2-40B4-BE49-F238E27FC236}">
                <a16:creationId xmlns:a16="http://schemas.microsoft.com/office/drawing/2014/main" id="{1695809C-07BA-4F3F-8E74-72FF64A697A0}"/>
              </a:ext>
            </a:extLst>
          </xdr:cNvPr>
          <xdr:cNvGrpSpPr/>
        </xdr:nvGrpSpPr>
        <xdr:grpSpPr>
          <a:xfrm>
            <a:off x="10615927" y="956733"/>
            <a:ext cx="2654808" cy="1117602"/>
            <a:chOff x="11041380" y="952500"/>
            <a:chExt cx="2825755" cy="1200152"/>
          </a:xfrm>
        </xdr:grpSpPr>
        <xdr:grpSp>
          <xdr:nvGrpSpPr>
            <xdr:cNvPr id="46" name="Group 45">
              <a:extLst>
                <a:ext uri="{FF2B5EF4-FFF2-40B4-BE49-F238E27FC236}">
                  <a16:creationId xmlns:a16="http://schemas.microsoft.com/office/drawing/2014/main" id="{7AAD9A9F-99EC-4C55-9E23-842912B023FA}"/>
                </a:ext>
              </a:extLst>
            </xdr:cNvPr>
            <xdr:cNvGrpSpPr/>
          </xdr:nvGrpSpPr>
          <xdr:grpSpPr>
            <a:xfrm>
              <a:off x="11041380" y="952500"/>
              <a:ext cx="2541270" cy="1200150"/>
              <a:chOff x="11041380" y="952500"/>
              <a:chExt cx="2541270" cy="1200150"/>
            </a:xfrm>
          </xdr:grpSpPr>
          <xdr:sp macro="" textlink="">
            <xdr:nvSpPr>
              <xdr:cNvPr id="35" name="Rectangle: Rounded Corners 34">
                <a:extLst>
                  <a:ext uri="{FF2B5EF4-FFF2-40B4-BE49-F238E27FC236}">
                    <a16:creationId xmlns:a16="http://schemas.microsoft.com/office/drawing/2014/main" id="{EE9E4CBE-9F32-449F-BEBC-6DFA3163D327}"/>
                  </a:ext>
                </a:extLst>
              </xdr:cNvPr>
              <xdr:cNvSpPr/>
            </xdr:nvSpPr>
            <xdr:spPr>
              <a:xfrm>
                <a:off x="11041380" y="952500"/>
                <a:ext cx="2541270" cy="12001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TextBox 35">
                <a:extLst>
                  <a:ext uri="{FF2B5EF4-FFF2-40B4-BE49-F238E27FC236}">
                    <a16:creationId xmlns:a16="http://schemas.microsoft.com/office/drawing/2014/main" id="{2B29889A-4B41-489B-87D4-7A536A391C87}"/>
                  </a:ext>
                </a:extLst>
              </xdr:cNvPr>
              <xdr:cNvSpPr txBox="1"/>
            </xdr:nvSpPr>
            <xdr:spPr>
              <a:xfrm>
                <a:off x="11209332" y="1039440"/>
                <a:ext cx="11811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2"/>
                    </a:solidFill>
                  </a:rPr>
                  <a:t>Target</a:t>
                </a:r>
              </a:p>
            </xdr:txBody>
          </xdr:sp>
          <xdr:sp macro="" textlink="'Pivot Table'!$G$6">
            <xdr:nvSpPr>
              <xdr:cNvPr id="37" name="TextBox 36">
                <a:extLst>
                  <a:ext uri="{FF2B5EF4-FFF2-40B4-BE49-F238E27FC236}">
                    <a16:creationId xmlns:a16="http://schemas.microsoft.com/office/drawing/2014/main" id="{C145995A-AC3B-4D4B-B289-490F5C4C6C6C}"/>
                  </a:ext>
                </a:extLst>
              </xdr:cNvPr>
              <xdr:cNvSpPr txBox="1"/>
            </xdr:nvSpPr>
            <xdr:spPr>
              <a:xfrm>
                <a:off x="11196576" y="1494046"/>
                <a:ext cx="13716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5D12E6B-E695-4174-BFCB-9ACC6B5496C8}" type="TxLink">
                  <a:rPr lang="en-US" sz="2400" b="1" i="0" u="none" strike="noStrike">
                    <a:solidFill>
                      <a:schemeClr val="tx2"/>
                    </a:solidFill>
                    <a:latin typeface="Aptos Narrow"/>
                    <a:ea typeface="+mn-ea"/>
                    <a:cs typeface="+mn-cs"/>
                  </a:rPr>
                  <a:pPr marL="0" indent="0"/>
                  <a:t>$167K</a:t>
                </a:fld>
                <a:endParaRPr lang="en-US" sz="2400" b="1" i="0" u="none" strike="noStrike">
                  <a:solidFill>
                    <a:schemeClr val="tx2"/>
                  </a:solidFill>
                  <a:latin typeface="Aptos Narrow"/>
                  <a:ea typeface="+mn-ea"/>
                  <a:cs typeface="+mn-cs"/>
                </a:endParaRPr>
              </a:p>
            </xdr:txBody>
          </xdr:sp>
        </xdr:grpSp>
        <xdr:graphicFrame macro="">
          <xdr:nvGraphicFramePr>
            <xdr:cNvPr id="38" name="Chart 37">
              <a:extLst>
                <a:ext uri="{FF2B5EF4-FFF2-40B4-BE49-F238E27FC236}">
                  <a16:creationId xmlns:a16="http://schemas.microsoft.com/office/drawing/2014/main" id="{6806A357-ABED-4597-8800-579F374FA560}"/>
                </a:ext>
              </a:extLst>
            </xdr:cNvPr>
            <xdr:cNvGraphicFramePr>
              <a:graphicFrameLocks/>
            </xdr:cNvGraphicFramePr>
          </xdr:nvGraphicFramePr>
          <xdr:xfrm>
            <a:off x="11898634" y="971552"/>
            <a:ext cx="1968501" cy="1181100"/>
          </xdr:xfrm>
          <a:graphic>
            <a:graphicData uri="http://schemas.openxmlformats.org/drawingml/2006/chart">
              <c:chart xmlns:c="http://schemas.openxmlformats.org/drawingml/2006/chart" xmlns:r="http://schemas.openxmlformats.org/officeDocument/2006/relationships" r:id="rId8"/>
            </a:graphicData>
          </a:graphic>
        </xdr:graphicFrame>
      </xdr:grpSp>
      <xdr:sp macro="" textlink="'Pivot Table'!B21">
        <xdr:nvSpPr>
          <xdr:cNvPr id="45" name="TextBox 44">
            <a:extLst>
              <a:ext uri="{FF2B5EF4-FFF2-40B4-BE49-F238E27FC236}">
                <a16:creationId xmlns:a16="http://schemas.microsoft.com/office/drawing/2014/main" id="{34D54F49-6F7D-41E9-BA93-FD616012E694}"/>
              </a:ext>
            </a:extLst>
          </xdr:cNvPr>
          <xdr:cNvSpPr txBox="1"/>
        </xdr:nvSpPr>
        <xdr:spPr>
          <a:xfrm>
            <a:off x="12119044" y="1387650"/>
            <a:ext cx="1063172" cy="653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F11B39C-E183-45AA-AFE4-41481AC41242}" type="TxLink">
              <a:rPr lang="en-US" sz="1600" b="1" i="0" u="none" strike="noStrike">
                <a:solidFill>
                  <a:schemeClr val="tx2"/>
                </a:solidFill>
                <a:latin typeface="Aptos Narrow"/>
                <a:ea typeface="+mn-ea"/>
                <a:cs typeface="+mn-cs"/>
              </a:rPr>
              <a:pPr marL="0" indent="0"/>
              <a:t>94%</a:t>
            </a:fld>
            <a:endParaRPr lang="en-US" sz="1600" b="1" i="0" u="none" strike="noStrike">
              <a:solidFill>
                <a:schemeClr val="tx2"/>
              </a:solidFill>
              <a:latin typeface="Aptos Narrow"/>
              <a:ea typeface="+mn-ea"/>
              <a:cs typeface="+mn-cs"/>
            </a:endParaRPr>
          </a:p>
        </xdr:txBody>
      </xdr:sp>
    </xdr:grpSp>
    <xdr:clientData/>
  </xdr:twoCellAnchor>
  <xdr:twoCellAnchor>
    <xdr:from>
      <xdr:col>2</xdr:col>
      <xdr:colOff>633185</xdr:colOff>
      <xdr:row>27</xdr:row>
      <xdr:rowOff>99874</xdr:rowOff>
    </xdr:from>
    <xdr:to>
      <xdr:col>12</xdr:col>
      <xdr:colOff>455083</xdr:colOff>
      <xdr:row>41</xdr:row>
      <xdr:rowOff>144813</xdr:rowOff>
    </xdr:to>
    <xdr:sp macro="" textlink="">
      <xdr:nvSpPr>
        <xdr:cNvPr id="48" name="Rectangle: Rounded Corners 47">
          <a:extLst>
            <a:ext uri="{FF2B5EF4-FFF2-40B4-BE49-F238E27FC236}">
              <a16:creationId xmlns:a16="http://schemas.microsoft.com/office/drawing/2014/main" id="{E6ADDD6A-A71A-4AB7-9984-AF5D1538D4CE}"/>
            </a:ext>
          </a:extLst>
        </xdr:cNvPr>
        <xdr:cNvSpPr/>
      </xdr:nvSpPr>
      <xdr:spPr>
        <a:xfrm>
          <a:off x="2009018" y="4957624"/>
          <a:ext cx="6701065" cy="256377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0</xdr:colOff>
      <xdr:row>27</xdr:row>
      <xdr:rowOff>101084</xdr:rowOff>
    </xdr:from>
    <xdr:to>
      <xdr:col>20</xdr:col>
      <xdr:colOff>465667</xdr:colOff>
      <xdr:row>41</xdr:row>
      <xdr:rowOff>149047</xdr:rowOff>
    </xdr:to>
    <xdr:sp macro="" textlink="">
      <xdr:nvSpPr>
        <xdr:cNvPr id="49" name="Rectangle: Rounded Corners 48">
          <a:extLst>
            <a:ext uri="{FF2B5EF4-FFF2-40B4-BE49-F238E27FC236}">
              <a16:creationId xmlns:a16="http://schemas.microsoft.com/office/drawing/2014/main" id="{A4B08962-8635-407A-9DF1-38B191DA522A}"/>
            </a:ext>
          </a:extLst>
        </xdr:cNvPr>
        <xdr:cNvSpPr/>
      </xdr:nvSpPr>
      <xdr:spPr>
        <a:xfrm>
          <a:off x="8942917" y="4958834"/>
          <a:ext cx="5281083" cy="2566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686102</xdr:colOff>
      <xdr:row>28</xdr:row>
      <xdr:rowOff>36375</xdr:rowOff>
    </xdr:from>
    <xdr:to>
      <xdr:col>12</xdr:col>
      <xdr:colOff>338667</xdr:colOff>
      <xdr:row>42</xdr:row>
      <xdr:rowOff>4536</xdr:rowOff>
    </xdr:to>
    <xdr:graphicFrame macro="">
      <xdr:nvGraphicFramePr>
        <xdr:cNvPr id="50" name="Chart 49">
          <a:extLst>
            <a:ext uri="{FF2B5EF4-FFF2-40B4-BE49-F238E27FC236}">
              <a16:creationId xmlns:a16="http://schemas.microsoft.com/office/drawing/2014/main" id="{8F6277AA-AA39-409A-9B57-FB2D628163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158749</xdr:colOff>
      <xdr:row>27</xdr:row>
      <xdr:rowOff>148167</xdr:rowOff>
    </xdr:from>
    <xdr:to>
      <xdr:col>20</xdr:col>
      <xdr:colOff>338666</xdr:colOff>
      <xdr:row>41</xdr:row>
      <xdr:rowOff>131927</xdr:rowOff>
    </xdr:to>
    <mc:AlternateContent xmlns:mc="http://schemas.openxmlformats.org/markup-compatibility/2006">
      <mc:Choice xmlns:cx2="http://schemas.microsoft.com/office/drawing/2015/10/21/chartex" Requires="cx2">
        <xdr:graphicFrame macro="">
          <xdr:nvGraphicFramePr>
            <xdr:cNvPr id="51" name="Chart 50">
              <a:extLst>
                <a:ext uri="{FF2B5EF4-FFF2-40B4-BE49-F238E27FC236}">
                  <a16:creationId xmlns:a16="http://schemas.microsoft.com/office/drawing/2014/main" id="{22BA7287-2B68-46AA-9D68-0A3D597330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083549" y="5291667"/>
              <a:ext cx="4447117" cy="26507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219078</xdr:colOff>
      <xdr:row>12</xdr:row>
      <xdr:rowOff>108796</xdr:rowOff>
    </xdr:from>
    <xdr:to>
      <xdr:col>20</xdr:col>
      <xdr:colOff>328084</xdr:colOff>
      <xdr:row>26</xdr:row>
      <xdr:rowOff>153735</xdr:rowOff>
    </xdr:to>
    <xdr:sp macro="" textlink="">
      <xdr:nvSpPr>
        <xdr:cNvPr id="54" name="Rectangle: Rounded Corners 53">
          <a:extLst>
            <a:ext uri="{FF2B5EF4-FFF2-40B4-BE49-F238E27FC236}">
              <a16:creationId xmlns:a16="http://schemas.microsoft.com/office/drawing/2014/main" id="{6DB06854-03CE-4882-9C09-B0D78930866D}"/>
            </a:ext>
          </a:extLst>
        </xdr:cNvPr>
        <xdr:cNvSpPr/>
      </xdr:nvSpPr>
      <xdr:spPr>
        <a:xfrm>
          <a:off x="10537828" y="2267796"/>
          <a:ext cx="3548589" cy="256377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222250</xdr:colOff>
      <xdr:row>12</xdr:row>
      <xdr:rowOff>91016</xdr:rowOff>
    </xdr:from>
    <xdr:to>
      <xdr:col>20</xdr:col>
      <xdr:colOff>317501</xdr:colOff>
      <xdr:row>26</xdr:row>
      <xdr:rowOff>126997</xdr:rowOff>
    </xdr:to>
    <xdr:graphicFrame macro="">
      <xdr:nvGraphicFramePr>
        <xdr:cNvPr id="53" name="Chart 52">
          <a:extLst>
            <a:ext uri="{FF2B5EF4-FFF2-40B4-BE49-F238E27FC236}">
              <a16:creationId xmlns:a16="http://schemas.microsoft.com/office/drawing/2014/main" id="{0F3CB504-02DA-451E-9F40-5A0E84EF2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160867</xdr:colOff>
      <xdr:row>15</xdr:row>
      <xdr:rowOff>35558</xdr:rowOff>
    </xdr:from>
    <xdr:to>
      <xdr:col>2</xdr:col>
      <xdr:colOff>450427</xdr:colOff>
      <xdr:row>37</xdr:row>
      <xdr:rowOff>137582</xdr:rowOff>
    </xdr:to>
    <xdr:sp macro="" textlink="">
      <xdr:nvSpPr>
        <xdr:cNvPr id="60" name="Rectangle: Rounded Corners 59">
          <a:extLst>
            <a:ext uri="{FF2B5EF4-FFF2-40B4-BE49-F238E27FC236}">
              <a16:creationId xmlns:a16="http://schemas.microsoft.com/office/drawing/2014/main" id="{E12E44EC-21DB-40D0-978F-181A3C14B13A}"/>
            </a:ext>
          </a:extLst>
        </xdr:cNvPr>
        <xdr:cNvSpPr/>
      </xdr:nvSpPr>
      <xdr:spPr>
        <a:xfrm>
          <a:off x="160867" y="2734308"/>
          <a:ext cx="1665393" cy="406019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243419</xdr:colOff>
      <xdr:row>16</xdr:row>
      <xdr:rowOff>25612</xdr:rowOff>
    </xdr:from>
    <xdr:to>
      <xdr:col>2</xdr:col>
      <xdr:colOff>370419</xdr:colOff>
      <xdr:row>37</xdr:row>
      <xdr:rowOff>10583</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303C2E3F-BCA9-4BAA-B41A-85AAAF02CFE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43419" y="2904279"/>
              <a:ext cx="1502833" cy="37632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ilendra Kumar" refreshedDate="45761.691076041665" createdVersion="8" refreshedVersion="8" minRefreshableVersion="3" recordCount="63" xr:uid="{0E105036-5669-4F97-91DA-877F8A0E4343}">
  <cacheSource type="worksheet">
    <worksheetSource name="Table1"/>
  </cacheSource>
  <cacheFields count="15">
    <cacheField name="Date" numFmtId="14">
      <sharedItems containsSemiMixedTypes="0" containsNonDate="0" containsDate="1" containsString="0" minDate="2023-01-02T00:00:00" maxDate="2023-12-16T00:00:00"/>
    </cacheField>
    <cacheField name="Month" numFmtId="14">
      <sharedItems count="12">
        <s v="May"/>
        <s v="Feb"/>
        <s v="Oct"/>
        <s v="Nov"/>
        <s v="Mar"/>
        <s v="Apr"/>
        <s v="Aug"/>
        <s v="Jun"/>
        <s v="Jul"/>
        <s v="Sep"/>
        <s v="Dec"/>
        <s v="Jan"/>
      </sharedItems>
    </cacheField>
    <cacheField name="Year" numFmtId="0">
      <sharedItems containsSemiMixedTypes="0" containsString="0" containsNumber="1" containsInteger="1" minValue="2023" maxValue="2023"/>
    </cacheField>
    <cacheField name="Region" numFmtId="0">
      <sharedItems count="4">
        <s v="East"/>
        <s v="West"/>
        <s v="South"/>
        <s v="North"/>
      </sharedItems>
    </cacheField>
    <cacheField name="Sales" numFmtId="0">
      <sharedItems containsSemiMixedTypes="0" containsString="0" containsNumber="1" containsInteger="1" minValue="1000" maxValue="6500"/>
    </cacheField>
    <cacheField name="Profit" numFmtId="1">
      <sharedItems containsSemiMixedTypes="0" containsString="0" containsNumber="1" minValue="385.71428571428601" maxValue="5214.2857142857101"/>
    </cacheField>
    <cacheField name="Target Sales" numFmtId="1">
      <sharedItems containsSemiMixedTypes="0" containsString="0" containsNumber="1" minValue="285.71428571428572" maxValue="6714.2857142857101"/>
    </cacheField>
    <cacheField name="No of Customers" numFmtId="0">
      <sharedItems containsSemiMixedTypes="0" containsString="0" containsNumber="1" containsInteger="1" minValue="15" maxValue="310"/>
    </cacheField>
    <cacheField name="Sales Completion Rate" numFmtId="0">
      <sharedItems containsSemiMixedTypes="0" containsString="0" containsNumber="1" minValue="0.7" maxValue="0.99"/>
    </cacheField>
    <cacheField name="Profit Completion Rate" numFmtId="0">
      <sharedItems containsSemiMixedTypes="0" containsString="0" containsNumber="1" minValue="0.7" maxValue="0.99"/>
    </cacheField>
    <cacheField name="Customer Completion Rate" numFmtId="0">
      <sharedItems containsSemiMixedTypes="0" containsString="0" containsNumber="1" minValue="0.7" maxValue="0.99"/>
    </cacheField>
    <cacheField name="Country" numFmtId="0">
      <sharedItems count="5">
        <s v="Argentina"/>
        <s v="Colombia"/>
        <s v="Brazil"/>
        <s v="Ecuador"/>
        <s v="Peru"/>
      </sharedItems>
    </cacheField>
    <cacheField name="Customer Satisfaction" numFmtId="0">
      <sharedItems count="5">
        <s v="Speed"/>
        <s v="Quality"/>
        <s v="Hygiene"/>
        <s v="Service"/>
        <s v="Availability"/>
      </sharedItems>
    </cacheField>
    <cacheField name="Score" numFmtId="0">
      <sharedItems containsSemiMixedTypes="0" containsString="0" containsNumber="1" containsInteger="1" minValue="2" maxValue="9"/>
    </cacheField>
    <cacheField name="Quarters" numFmtId="0">
      <sharedItems count="4">
        <s v="Q1"/>
        <s v="Q4"/>
        <s v="Q3"/>
        <s v="Q2"/>
      </sharedItems>
    </cacheField>
  </cacheFields>
  <extLst>
    <ext xmlns:x14="http://schemas.microsoft.com/office/spreadsheetml/2009/9/main" uri="{725AE2AE-9491-48be-B2B4-4EB974FC3084}">
      <x14:pivotCacheDefinition pivotCacheId="6436950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d v="2023-05-14T00:00:00"/>
    <x v="0"/>
    <n v="2023"/>
    <x v="0"/>
    <n v="2581"/>
    <n v="2957.1428571428601"/>
    <n v="5857"/>
    <n v="80"/>
    <n v="0.89"/>
    <n v="0.85"/>
    <n v="0.72"/>
    <x v="0"/>
    <x v="0"/>
    <n v="8"/>
    <x v="0"/>
  </r>
  <r>
    <d v="2023-02-26T00:00:00"/>
    <x v="1"/>
    <n v="2023"/>
    <x v="1"/>
    <n v="3944"/>
    <n v="2957.1428571428601"/>
    <n v="5857"/>
    <n v="30"/>
    <n v="0.94"/>
    <n v="0.95"/>
    <n v="0.86"/>
    <x v="1"/>
    <x v="1"/>
    <n v="4"/>
    <x v="1"/>
  </r>
  <r>
    <d v="2023-02-27T00:00:00"/>
    <x v="1"/>
    <n v="2023"/>
    <x v="2"/>
    <n v="3293"/>
    <n v="2957.1428571428601"/>
    <n v="5857"/>
    <n v="15"/>
    <n v="0.82"/>
    <n v="0.8"/>
    <n v="0.76"/>
    <x v="2"/>
    <x v="2"/>
    <n v="3"/>
    <x v="1"/>
  </r>
  <r>
    <d v="2023-02-28T00:00:00"/>
    <x v="1"/>
    <n v="2023"/>
    <x v="2"/>
    <n v="2019"/>
    <n v="2957.1428571428601"/>
    <n v="5857"/>
    <n v="40"/>
    <n v="0.79"/>
    <n v="0.79"/>
    <n v="0.79"/>
    <x v="3"/>
    <x v="0"/>
    <n v="2"/>
    <x v="1"/>
  </r>
  <r>
    <d v="2023-10-29T00:00:00"/>
    <x v="2"/>
    <n v="2023"/>
    <x v="1"/>
    <n v="2980"/>
    <n v="2958"/>
    <n v="5857"/>
    <n v="100"/>
    <n v="0.96"/>
    <n v="0.79"/>
    <n v="0.7"/>
    <x v="4"/>
    <x v="3"/>
    <n v="7"/>
    <x v="2"/>
  </r>
  <r>
    <d v="2023-10-30T00:00:00"/>
    <x v="2"/>
    <n v="2023"/>
    <x v="1"/>
    <n v="2209"/>
    <n v="2957.1428571428601"/>
    <n v="5857"/>
    <n v="15"/>
    <n v="0.79"/>
    <n v="0.79"/>
    <n v="0.77"/>
    <x v="4"/>
    <x v="0"/>
    <n v="9"/>
    <x v="2"/>
  </r>
  <r>
    <d v="2023-10-31T00:00:00"/>
    <x v="2"/>
    <n v="2023"/>
    <x v="3"/>
    <n v="2440"/>
    <n v="2957.1428571428601"/>
    <n v="5857"/>
    <n v="20"/>
    <n v="0.75"/>
    <n v="0.72"/>
    <n v="0.93"/>
    <x v="4"/>
    <x v="1"/>
    <n v="5"/>
    <x v="2"/>
  </r>
  <r>
    <d v="2023-11-01T00:00:00"/>
    <x v="3"/>
    <n v="2023"/>
    <x v="3"/>
    <n v="2000"/>
    <n v="1328.57142857143"/>
    <n v="4428.5714285714303"/>
    <n v="90"/>
    <n v="0.92"/>
    <n v="0.99"/>
    <n v="0.74"/>
    <x v="2"/>
    <x v="1"/>
    <n v="6"/>
    <x v="2"/>
  </r>
  <r>
    <d v="2023-11-02T00:00:00"/>
    <x v="3"/>
    <n v="2023"/>
    <x v="3"/>
    <n v="1431"/>
    <n v="1328.57142857143"/>
    <n v="4428.5714285714303"/>
    <n v="30"/>
    <n v="0.7"/>
    <n v="0.99"/>
    <n v="0.95"/>
    <x v="2"/>
    <x v="3"/>
    <n v="8"/>
    <x v="2"/>
  </r>
  <r>
    <d v="2023-11-03T00:00:00"/>
    <x v="3"/>
    <n v="2023"/>
    <x v="1"/>
    <n v="3000"/>
    <n v="1328.57142857143"/>
    <n v="4428.5714285714303"/>
    <n v="15"/>
    <n v="0.91"/>
    <n v="0.98"/>
    <n v="0.89"/>
    <x v="2"/>
    <x v="3"/>
    <n v="4"/>
    <x v="2"/>
  </r>
  <r>
    <d v="2023-05-14T00:00:00"/>
    <x v="0"/>
    <n v="2023"/>
    <x v="1"/>
    <n v="4000"/>
    <n v="1328.57142857143"/>
    <n v="4428.5714285714303"/>
    <n v="40"/>
    <n v="0.74"/>
    <n v="0.85"/>
    <n v="0.7"/>
    <x v="2"/>
    <x v="0"/>
    <n v="3"/>
    <x v="0"/>
  </r>
  <r>
    <d v="2023-10-26T00:00:00"/>
    <x v="2"/>
    <n v="2023"/>
    <x v="0"/>
    <n v="1000"/>
    <n v="1328.57142857143"/>
    <n v="4428.5714285714303"/>
    <n v="100"/>
    <n v="0.9"/>
    <n v="0.9"/>
    <n v="0.72"/>
    <x v="2"/>
    <x v="1"/>
    <n v="2"/>
    <x v="2"/>
  </r>
  <r>
    <d v="2023-03-10T00:00:00"/>
    <x v="4"/>
    <n v="2023"/>
    <x v="0"/>
    <n v="2000"/>
    <n v="1328.57142857143"/>
    <n v="4428.5714285714303"/>
    <n v="15"/>
    <n v="0.95"/>
    <n v="0.97"/>
    <n v="0.81"/>
    <x v="2"/>
    <x v="2"/>
    <n v="7"/>
    <x v="1"/>
  </r>
  <r>
    <d v="2023-04-28T00:00:00"/>
    <x v="5"/>
    <n v="2023"/>
    <x v="2"/>
    <n v="2000"/>
    <n v="1328.57142857143"/>
    <n v="4428.5714285714303"/>
    <n v="20"/>
    <n v="0.99"/>
    <n v="0.79"/>
    <n v="0.75"/>
    <x v="2"/>
    <x v="3"/>
    <n v="9"/>
    <x v="0"/>
  </r>
  <r>
    <d v="2023-10-19T00:00:00"/>
    <x v="2"/>
    <n v="2023"/>
    <x v="2"/>
    <n v="4000"/>
    <n v="1328.57142857143"/>
    <n v="1428.57142857143"/>
    <n v="45"/>
    <n v="0.86"/>
    <n v="0.97"/>
    <n v="0.89"/>
    <x v="0"/>
    <x v="4"/>
    <n v="5"/>
    <x v="2"/>
  </r>
  <r>
    <d v="2023-08-22T00:00:00"/>
    <x v="6"/>
    <n v="2023"/>
    <x v="0"/>
    <n v="6000"/>
    <n v="1328.57142857143"/>
    <n v="1428.57142857143"/>
    <n v="43"/>
    <n v="0.83"/>
    <n v="0.72"/>
    <n v="0.74"/>
    <x v="1"/>
    <x v="0"/>
    <n v="6"/>
    <x v="3"/>
  </r>
  <r>
    <d v="2023-08-09T00:00:00"/>
    <x v="6"/>
    <n v="2023"/>
    <x v="1"/>
    <n v="6500"/>
    <n v="1328.57142857143"/>
    <n v="1428.57142857143"/>
    <n v="43"/>
    <n v="0.74"/>
    <n v="0.78"/>
    <n v="0.94"/>
    <x v="2"/>
    <x v="1"/>
    <n v="8"/>
    <x v="3"/>
  </r>
  <r>
    <d v="2023-06-01T00:00:00"/>
    <x v="7"/>
    <n v="2023"/>
    <x v="3"/>
    <n v="1200"/>
    <n v="1328.57142857143"/>
    <n v="1428.57142857143"/>
    <n v="43"/>
    <n v="0.8"/>
    <n v="0.84"/>
    <n v="0.81"/>
    <x v="3"/>
    <x v="1"/>
    <n v="4"/>
    <x v="0"/>
  </r>
  <r>
    <d v="2023-03-01T00:00:00"/>
    <x v="4"/>
    <n v="2023"/>
    <x v="3"/>
    <n v="3000"/>
    <n v="1328.57142857143"/>
    <n v="1428.5714285714287"/>
    <n v="43"/>
    <n v="0.89"/>
    <n v="0.99"/>
    <n v="0.97"/>
    <x v="0"/>
    <x v="0"/>
    <n v="3"/>
    <x v="1"/>
  </r>
  <r>
    <d v="2023-11-27T00:00:00"/>
    <x v="3"/>
    <n v="2023"/>
    <x v="3"/>
    <n v="2000"/>
    <n v="1328.57142857143"/>
    <n v="1428.5714285714287"/>
    <n v="40"/>
    <n v="0.71"/>
    <n v="0.87"/>
    <n v="0.94"/>
    <x v="1"/>
    <x v="4"/>
    <n v="2"/>
    <x v="2"/>
  </r>
  <r>
    <d v="2023-10-14T00:00:00"/>
    <x v="2"/>
    <n v="2023"/>
    <x v="3"/>
    <n v="2000"/>
    <n v="1328.57142857143"/>
    <n v="1428.5714285714287"/>
    <n v="43"/>
    <n v="0.9"/>
    <n v="0.72"/>
    <n v="0.94"/>
    <x v="2"/>
    <x v="0"/>
    <n v="7"/>
    <x v="2"/>
  </r>
  <r>
    <d v="2023-06-21T00:00:00"/>
    <x v="7"/>
    <n v="2023"/>
    <x v="0"/>
    <n v="3000"/>
    <n v="5214.2857142857101"/>
    <n v="6714.2857142857101"/>
    <n v="100"/>
    <n v="0.89"/>
    <n v="0.85"/>
    <n v="0.87"/>
    <x v="3"/>
    <x v="1"/>
    <n v="9"/>
    <x v="0"/>
  </r>
  <r>
    <d v="2023-07-23T00:00:00"/>
    <x v="8"/>
    <n v="2023"/>
    <x v="2"/>
    <n v="4500"/>
    <n v="5214.2857142857101"/>
    <n v="6714.2857142857101"/>
    <n v="100"/>
    <n v="0.89"/>
    <n v="0.8"/>
    <n v="0.88"/>
    <x v="0"/>
    <x v="2"/>
    <n v="5"/>
    <x v="3"/>
  </r>
  <r>
    <d v="2023-07-20T00:00:00"/>
    <x v="8"/>
    <n v="2023"/>
    <x v="0"/>
    <n v="5500"/>
    <n v="1214.2857142857099"/>
    <n v="6714.2857142857101"/>
    <n v="100"/>
    <n v="0.98"/>
    <n v="0.99"/>
    <n v="0.81"/>
    <x v="2"/>
    <x v="0"/>
    <n v="6"/>
    <x v="3"/>
  </r>
  <r>
    <d v="2023-07-22T00:00:00"/>
    <x v="8"/>
    <n v="2023"/>
    <x v="1"/>
    <n v="1000"/>
    <n v="5214.2857142857101"/>
    <n v="6714.2857142857101"/>
    <n v="100"/>
    <n v="0.81"/>
    <n v="0.91"/>
    <n v="0.95"/>
    <x v="3"/>
    <x v="4"/>
    <n v="8"/>
    <x v="3"/>
  </r>
  <r>
    <d v="2023-04-02T00:00:00"/>
    <x v="5"/>
    <n v="2023"/>
    <x v="0"/>
    <n v="2000"/>
    <n v="5214.2857142857101"/>
    <n v="6714.2857142857101"/>
    <n v="100"/>
    <n v="0.97"/>
    <n v="0.85"/>
    <n v="0.85"/>
    <x v="0"/>
    <x v="0"/>
    <n v="4"/>
    <x v="0"/>
  </r>
  <r>
    <d v="2023-02-22T00:00:00"/>
    <x v="1"/>
    <n v="2023"/>
    <x v="0"/>
    <n v="2000"/>
    <n v="5214.2857142857101"/>
    <n v="6714.2857142857101"/>
    <n v="100"/>
    <n v="0.89"/>
    <n v="0.94"/>
    <n v="0.8"/>
    <x v="1"/>
    <x v="0"/>
    <n v="3"/>
    <x v="1"/>
  </r>
  <r>
    <d v="2023-09-10T00:00:00"/>
    <x v="9"/>
    <n v="2023"/>
    <x v="0"/>
    <n v="2000"/>
    <n v="5214.2857142857101"/>
    <n v="6714.2857142857101"/>
    <n v="100"/>
    <n v="0.88"/>
    <n v="0.94"/>
    <n v="0.7"/>
    <x v="2"/>
    <x v="2"/>
    <n v="2"/>
    <x v="3"/>
  </r>
  <r>
    <d v="2023-12-15T00:00:00"/>
    <x v="10"/>
    <n v="2023"/>
    <x v="0"/>
    <n v="2000"/>
    <n v="2957.1428571428601"/>
    <n v="2857.1428571428573"/>
    <n v="90"/>
    <n v="0.75"/>
    <n v="0.77"/>
    <n v="0.84"/>
    <x v="3"/>
    <x v="3"/>
    <n v="7"/>
    <x v="2"/>
  </r>
  <r>
    <d v="2023-03-12T00:00:00"/>
    <x v="4"/>
    <n v="2023"/>
    <x v="0"/>
    <n v="1700"/>
    <n v="2957.1428571428601"/>
    <n v="2857.1428571428573"/>
    <n v="80"/>
    <n v="0.73"/>
    <n v="0.96"/>
    <n v="0.93"/>
    <x v="3"/>
    <x v="4"/>
    <n v="4"/>
    <x v="1"/>
  </r>
  <r>
    <d v="2023-09-10T00:00:00"/>
    <x v="9"/>
    <n v="2023"/>
    <x v="0"/>
    <n v="1600"/>
    <n v="2957.1428571428601"/>
    <n v="2857.1428571428573"/>
    <n v="90"/>
    <n v="0.93"/>
    <n v="0.74"/>
    <n v="0.93"/>
    <x v="2"/>
    <x v="0"/>
    <n v="5"/>
    <x v="3"/>
  </r>
  <r>
    <d v="2023-01-02T00:00:00"/>
    <x v="11"/>
    <n v="2023"/>
    <x v="1"/>
    <n v="1200"/>
    <n v="2957.1428571428601"/>
    <n v="2857.1428571428573"/>
    <n v="110"/>
    <n v="0.85"/>
    <n v="0.7"/>
    <n v="0.99"/>
    <x v="3"/>
    <x v="1"/>
    <n v="6"/>
    <x v="1"/>
  </r>
  <r>
    <d v="2023-10-28T00:00:00"/>
    <x v="2"/>
    <n v="2023"/>
    <x v="2"/>
    <n v="2500"/>
    <n v="2957.1428571428601"/>
    <n v="2857.1428571428573"/>
    <n v="90"/>
    <n v="0.92"/>
    <n v="0.99"/>
    <n v="0.88"/>
    <x v="0"/>
    <x v="2"/>
    <n v="8"/>
    <x v="2"/>
  </r>
  <r>
    <d v="2023-06-26T00:00:00"/>
    <x v="7"/>
    <n v="2023"/>
    <x v="2"/>
    <n v="2100"/>
    <n v="2957.1428571428601"/>
    <n v="2857.1428571428573"/>
    <n v="100"/>
    <n v="0.75"/>
    <n v="0.97"/>
    <n v="0.83"/>
    <x v="1"/>
    <x v="3"/>
    <n v="4"/>
    <x v="0"/>
  </r>
  <r>
    <d v="2023-11-13T00:00:00"/>
    <x v="3"/>
    <n v="2023"/>
    <x v="2"/>
    <n v="2150"/>
    <n v="2957.1428571428601"/>
    <n v="2857.1428571428573"/>
    <n v="90"/>
    <n v="0.77"/>
    <n v="0.97"/>
    <n v="0.78"/>
    <x v="0"/>
    <x v="4"/>
    <n v="3"/>
    <x v="2"/>
  </r>
  <r>
    <d v="2023-06-30T00:00:00"/>
    <x v="7"/>
    <n v="2023"/>
    <x v="2"/>
    <n v="2200"/>
    <n v="757.142857142857"/>
    <n v="857.14285714285711"/>
    <n v="228"/>
    <n v="0.79"/>
    <n v="0.75"/>
    <n v="0.93"/>
    <x v="1"/>
    <x v="0"/>
    <n v="2"/>
    <x v="0"/>
  </r>
  <r>
    <d v="2023-04-14T00:00:00"/>
    <x v="5"/>
    <n v="2023"/>
    <x v="1"/>
    <n v="1800"/>
    <n v="757.142857142857"/>
    <n v="857.14285714285711"/>
    <n v="220"/>
    <n v="0.81"/>
    <n v="0.98"/>
    <n v="0.86"/>
    <x v="2"/>
    <x v="1"/>
    <n v="7"/>
    <x v="0"/>
  </r>
  <r>
    <d v="2023-12-06T00:00:00"/>
    <x v="10"/>
    <n v="2023"/>
    <x v="3"/>
    <n v="1800"/>
    <n v="757.142857142857"/>
    <n v="857.14285714285711"/>
    <n v="228"/>
    <n v="0.86"/>
    <n v="0.82"/>
    <n v="0.86"/>
    <x v="3"/>
    <x v="2"/>
    <n v="9"/>
    <x v="2"/>
  </r>
  <r>
    <d v="2023-05-08T00:00:00"/>
    <x v="0"/>
    <n v="2023"/>
    <x v="0"/>
    <n v="1414"/>
    <n v="757.142857142857"/>
    <n v="857.14285714285711"/>
    <n v="238"/>
    <n v="0.72"/>
    <n v="0.95"/>
    <n v="0.9"/>
    <x v="4"/>
    <x v="3"/>
    <n v="5"/>
    <x v="0"/>
  </r>
  <r>
    <d v="2023-04-03T00:00:00"/>
    <x v="5"/>
    <n v="2023"/>
    <x v="2"/>
    <n v="2100"/>
    <n v="757.142857142857"/>
    <n v="857.14285714285711"/>
    <n v="228"/>
    <n v="0.71"/>
    <n v="0.8"/>
    <n v="0.76"/>
    <x v="4"/>
    <x v="4"/>
    <n v="5"/>
    <x v="0"/>
  </r>
  <r>
    <d v="2023-06-01T00:00:00"/>
    <x v="7"/>
    <n v="2023"/>
    <x v="2"/>
    <n v="2500"/>
    <n v="757.142857142857"/>
    <n v="857.14285714285711"/>
    <n v="230"/>
    <n v="0.97"/>
    <n v="0.95"/>
    <n v="0.85"/>
    <x v="4"/>
    <x v="0"/>
    <n v="8"/>
    <x v="0"/>
  </r>
  <r>
    <d v="2023-11-03T00:00:00"/>
    <x v="3"/>
    <n v="2023"/>
    <x v="3"/>
    <n v="2200"/>
    <n v="757.142857142857"/>
    <n v="857.14285714285711"/>
    <n v="228"/>
    <n v="0.95"/>
    <n v="0.85"/>
    <n v="0.91"/>
    <x v="2"/>
    <x v="1"/>
    <n v="4"/>
    <x v="2"/>
  </r>
  <r>
    <d v="2023-05-14T00:00:00"/>
    <x v="0"/>
    <n v="2023"/>
    <x v="0"/>
    <n v="2500"/>
    <n v="914.28571428571399"/>
    <n v="714.28571428571433"/>
    <n v="250"/>
    <n v="0.97"/>
    <n v="0.7"/>
    <n v="0.93"/>
    <x v="2"/>
    <x v="2"/>
    <n v="3"/>
    <x v="0"/>
  </r>
  <r>
    <d v="2023-10-26T00:00:00"/>
    <x v="2"/>
    <n v="2023"/>
    <x v="2"/>
    <n v="2200"/>
    <n v="914.28571428571399"/>
    <n v="714.28571428571433"/>
    <n v="240"/>
    <n v="0.9"/>
    <n v="0.98"/>
    <n v="0.96"/>
    <x v="2"/>
    <x v="3"/>
    <n v="2"/>
    <x v="2"/>
  </r>
  <r>
    <d v="2023-10-27T00:00:00"/>
    <x v="2"/>
    <n v="2023"/>
    <x v="0"/>
    <n v="2500"/>
    <n v="914.28571428571399"/>
    <n v="714.28571428571433"/>
    <n v="270"/>
    <n v="0.9"/>
    <n v="0.95"/>
    <n v="0.98"/>
    <x v="2"/>
    <x v="4"/>
    <n v="3"/>
    <x v="2"/>
  </r>
  <r>
    <d v="2023-01-28T00:00:00"/>
    <x v="11"/>
    <n v="2023"/>
    <x v="1"/>
    <n v="2000"/>
    <n v="914.28571428571399"/>
    <n v="714.28571428571433"/>
    <n v="259"/>
    <n v="0.96"/>
    <n v="0.81"/>
    <n v="0.85"/>
    <x v="2"/>
    <x v="0"/>
    <n v="9"/>
    <x v="1"/>
  </r>
  <r>
    <d v="2023-01-29T00:00:00"/>
    <x v="11"/>
    <n v="2023"/>
    <x v="1"/>
    <n v="2500"/>
    <n v="914.28571428571399"/>
    <n v="714.28571428571433"/>
    <n v="260"/>
    <n v="0.98"/>
    <n v="0.84"/>
    <n v="0.89"/>
    <x v="2"/>
    <x v="0"/>
    <n v="5"/>
    <x v="1"/>
  </r>
  <r>
    <d v="2023-01-30T00:00:00"/>
    <x v="11"/>
    <n v="2023"/>
    <x v="1"/>
    <n v="2500"/>
    <n v="914.28571428571399"/>
    <n v="714.28571428571433"/>
    <n v="260"/>
    <n v="0.76"/>
    <n v="0.7"/>
    <n v="0.86"/>
    <x v="2"/>
    <x v="2"/>
    <n v="6"/>
    <x v="1"/>
  </r>
  <r>
    <d v="2023-01-31T00:00:00"/>
    <x v="11"/>
    <n v="2023"/>
    <x v="0"/>
    <n v="2500"/>
    <n v="914.28571428571399"/>
    <n v="714.28571428571433"/>
    <n v="261"/>
    <n v="0.91"/>
    <n v="0.77"/>
    <n v="0.75"/>
    <x v="0"/>
    <x v="3"/>
    <n v="8"/>
    <x v="1"/>
  </r>
  <r>
    <d v="2023-11-01T00:00:00"/>
    <x v="3"/>
    <n v="2023"/>
    <x v="0"/>
    <n v="2500"/>
    <n v="914.28571428571399"/>
    <n v="714.28571428571433"/>
    <n v="242"/>
    <n v="0.79"/>
    <n v="0.81"/>
    <n v="0.74"/>
    <x v="1"/>
    <x v="4"/>
    <n v="4"/>
    <x v="2"/>
  </r>
  <r>
    <d v="2023-11-02T00:00:00"/>
    <x v="3"/>
    <n v="2023"/>
    <x v="0"/>
    <n v="2250"/>
    <n v="914.28571428571399"/>
    <n v="714.28571428571433"/>
    <n v="250"/>
    <n v="0.85"/>
    <n v="0.82"/>
    <n v="0.73"/>
    <x v="2"/>
    <x v="0"/>
    <n v="3"/>
    <x v="2"/>
  </r>
  <r>
    <d v="2023-11-03T00:00:00"/>
    <x v="3"/>
    <n v="2023"/>
    <x v="0"/>
    <n v="2500"/>
    <n v="914.28571428571399"/>
    <n v="714.28571428571433"/>
    <n v="242"/>
    <n v="0.88"/>
    <n v="0.84"/>
    <n v="0.75"/>
    <x v="3"/>
    <x v="1"/>
    <n v="2"/>
    <x v="2"/>
  </r>
  <r>
    <d v="2023-05-14T00:00:00"/>
    <x v="0"/>
    <n v="2023"/>
    <x v="0"/>
    <n v="2500"/>
    <n v="914.28571428571399"/>
    <n v="714.28571428571433"/>
    <n v="242"/>
    <n v="0.81"/>
    <n v="0.92"/>
    <n v="0.91"/>
    <x v="0"/>
    <x v="2"/>
    <n v="7"/>
    <x v="0"/>
  </r>
  <r>
    <d v="2023-10-26T00:00:00"/>
    <x v="2"/>
    <n v="2023"/>
    <x v="2"/>
    <n v="2500"/>
    <n v="914.28571428571399"/>
    <n v="714.28571428571433"/>
    <n v="242"/>
    <n v="0.84"/>
    <n v="0.73"/>
    <n v="0.99"/>
    <x v="1"/>
    <x v="3"/>
    <n v="9"/>
    <x v="2"/>
  </r>
  <r>
    <d v="2023-03-10T00:00:00"/>
    <x v="4"/>
    <n v="2023"/>
    <x v="2"/>
    <n v="2500"/>
    <n v="914.28571428571399"/>
    <n v="714.28571428571433"/>
    <n v="240"/>
    <n v="0.93"/>
    <n v="0.79"/>
    <n v="0.72"/>
    <x v="2"/>
    <x v="4"/>
    <n v="5"/>
    <x v="1"/>
  </r>
  <r>
    <d v="2023-04-28T00:00:00"/>
    <x v="5"/>
    <n v="2023"/>
    <x v="2"/>
    <n v="2500"/>
    <n v="914.28571428571399"/>
    <n v="714.28571428571433"/>
    <n v="242"/>
    <n v="0.84"/>
    <n v="0.79"/>
    <n v="0.8"/>
    <x v="3"/>
    <x v="0"/>
    <n v="6"/>
    <x v="0"/>
  </r>
  <r>
    <d v="2023-01-19T00:00:00"/>
    <x v="11"/>
    <n v="2023"/>
    <x v="2"/>
    <n v="2200"/>
    <n v="385.71428571428601"/>
    <n v="285.71428571428572"/>
    <n v="285"/>
    <n v="0.85"/>
    <n v="0.91"/>
    <n v="0.84"/>
    <x v="0"/>
    <x v="1"/>
    <n v="8"/>
    <x v="1"/>
  </r>
  <r>
    <d v="2023-08-22T00:00:00"/>
    <x v="6"/>
    <n v="2023"/>
    <x v="1"/>
    <n v="2150"/>
    <n v="385.71428571428601"/>
    <n v="285.71428571428572"/>
    <n v="275"/>
    <n v="0.86"/>
    <n v="0.75"/>
    <n v="0.96"/>
    <x v="2"/>
    <x v="2"/>
    <n v="4"/>
    <x v="3"/>
  </r>
  <r>
    <d v="2023-08-09T00:00:00"/>
    <x v="6"/>
    <n v="2023"/>
    <x v="3"/>
    <n v="2400"/>
    <n v="385.71428571428601"/>
    <n v="285.71428571428572"/>
    <n v="285"/>
    <n v="0.96"/>
    <n v="0.77"/>
    <n v="0.92"/>
    <x v="3"/>
    <x v="3"/>
    <n v="3"/>
    <x v="3"/>
  </r>
  <r>
    <d v="2023-06-01T00:00:00"/>
    <x v="7"/>
    <n v="2023"/>
    <x v="2"/>
    <n v="2450"/>
    <n v="385.71428571428601"/>
    <n v="285.71428571428572"/>
    <n v="290"/>
    <n v="0.99"/>
    <n v="0.97"/>
    <n v="0.73"/>
    <x v="0"/>
    <x v="4"/>
    <n v="2"/>
    <x v="0"/>
  </r>
  <r>
    <d v="2023-03-01T00:00:00"/>
    <x v="4"/>
    <n v="2023"/>
    <x v="1"/>
    <n v="2500"/>
    <n v="385.71428571428601"/>
    <n v="285.71428571428572"/>
    <n v="310"/>
    <n v="0.77"/>
    <n v="0.72"/>
    <n v="0.85"/>
    <x v="1"/>
    <x v="0"/>
    <n v="7"/>
    <x v="1"/>
  </r>
  <r>
    <d v="2023-11-27T00:00:00"/>
    <x v="3"/>
    <n v="2023"/>
    <x v="3"/>
    <n v="2450"/>
    <n v="385.71428571428601"/>
    <n v="285.71428571428572"/>
    <n v="270"/>
    <n v="0.77"/>
    <n v="0.96"/>
    <n v="0.78"/>
    <x v="2"/>
    <x v="1"/>
    <n v="9"/>
    <x v="2"/>
  </r>
  <r>
    <d v="2023-10-14T00:00:00"/>
    <x v="2"/>
    <n v="2023"/>
    <x v="2"/>
    <n v="2400"/>
    <n v="385.71428571428601"/>
    <n v="285.71428571428572"/>
    <n v="285"/>
    <n v="0.78"/>
    <n v="0.8"/>
    <n v="0.85"/>
    <x v="3"/>
    <x v="2"/>
    <n v="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21FE74-7A30-48E8-8F57-2BF958BFBF4E}"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G5:G6" firstHeaderRow="1" firstDataRow="1" firstDataCol="0"/>
  <pivotFields count="15">
    <pivotField numFmtId="14" showAll="0"/>
    <pivotField showAll="0"/>
    <pivotField showAll="0"/>
    <pivotField showAll="0"/>
    <pivotField showAll="0"/>
    <pivotField numFmtId="1" showAll="0"/>
    <pivotField dataField="1" numFmtId="1" showAll="0"/>
    <pivotField showAll="0"/>
    <pivotField showAll="0"/>
    <pivotField showAll="0"/>
    <pivotField showAll="0"/>
    <pivotField showAll="0"/>
    <pivotField showAll="0"/>
    <pivotField showAll="0"/>
    <pivotField showAll="0"/>
  </pivotFields>
  <rowItems count="1">
    <i/>
  </rowItems>
  <colItems count="1">
    <i/>
  </colItems>
  <dataFields count="1">
    <dataField name="Sum of Target Sales" fld="6" baseField="0" baseItem="0" numFmtId="166"/>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C526F3-03B9-430B-A377-69F4EEC4B098}"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8">
  <location ref="Q5:R17" firstHeaderRow="1" firstDataRow="1" firstDataCol="1"/>
  <pivotFields count="15">
    <pivotField numFmtId="14" showAll="0"/>
    <pivotField axis="axisRow" showAll="0">
      <items count="13">
        <item x="11"/>
        <item x="1"/>
        <item x="4"/>
        <item x="5"/>
        <item x="0"/>
        <item x="7"/>
        <item x="8"/>
        <item x="6"/>
        <item x="9"/>
        <item x="2"/>
        <item x="3"/>
        <item x="10"/>
        <item t="default"/>
      </items>
    </pivotField>
    <pivotField showAll="0"/>
    <pivotField showAll="0"/>
    <pivotField showAll="0"/>
    <pivotField numFmtId="1" showAll="0"/>
    <pivotField numFmtId="1" showAll="0"/>
    <pivotField dataField="1" showAll="0"/>
    <pivotField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x v="11"/>
    </i>
  </rowItems>
  <colItems count="1">
    <i/>
  </colItems>
  <dataFields count="1">
    <dataField name="Sum of No of Customers" fld="7" baseField="0" baseItem="0"/>
  </dataFields>
  <chartFormats count="5">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 count="1" selected="0">
            <x v="1"/>
          </reference>
        </references>
      </pivotArea>
    </chartFormat>
    <chartFormat chart="7" format="12">
      <pivotArea type="data" outline="0" fieldPosition="0">
        <references count="2">
          <reference field="4294967294" count="1" selected="0">
            <x v="0"/>
          </reference>
          <reference field="1" count="1" selected="0">
            <x v="6"/>
          </reference>
        </references>
      </pivotArea>
    </chartFormat>
    <chartFormat chart="7" format="13">
      <pivotArea type="data" outline="0" fieldPosition="0">
        <references count="2">
          <reference field="4294967294" count="1" selected="0">
            <x v="0"/>
          </reference>
          <reference field="1" count="1" selected="0">
            <x v="8"/>
          </reference>
        </references>
      </pivotArea>
    </chartFormat>
    <chartFormat chart="7" format="14">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F5441A-E514-4F3D-A53E-BF76026C1A45}" name="PivotTable2" cacheId="0" dataOnRows="1" applyNumberFormats="0" applyBorderFormats="0" applyFontFormats="0" applyPatternFormats="0" applyAlignmentFormats="0" applyWidthHeightFormats="1" dataCaption="Values" updatedVersion="7" minRefreshableVersion="3" useAutoFormatting="1" itemPrintTitles="1" createdVersion="8" indent="0" multipleFieldFilters="0" chartFormat="4">
  <location ref="A9:B12" firstHeaderRow="1" firstDataRow="1" firstDataCol="1"/>
  <pivotFields count="15">
    <pivotField numFmtId="14" showAll="0"/>
    <pivotField showAll="0"/>
    <pivotField showAll="0"/>
    <pivotField showAll="0"/>
    <pivotField showAll="0"/>
    <pivotField numFmtId="1" showAll="0"/>
    <pivotField numFmtId="1" showAll="0"/>
    <pivotField showAll="0"/>
    <pivotField dataField="1" showAll="0"/>
    <pivotField dataField="1" showAll="0"/>
    <pivotField dataField="1" showAll="0"/>
    <pivotField showAll="0"/>
    <pivotField showAll="0"/>
    <pivotField showAll="0"/>
    <pivotField showAll="0"/>
  </pivotFields>
  <rowFields count="1">
    <field x="-2"/>
  </rowFields>
  <rowItems count="3">
    <i>
      <x/>
    </i>
    <i i="1">
      <x v="1"/>
    </i>
    <i i="2">
      <x v="2"/>
    </i>
  </rowItems>
  <colItems count="1">
    <i/>
  </colItems>
  <dataFields count="3">
    <dataField name=" Sales Completion Rate" fld="8" subtotal="average" baseField="0" baseItem="0"/>
    <dataField name=" Profit Completion Rate" fld="9" subtotal="average" baseField="0" baseItem="0"/>
    <dataField name=" Customer Completion Rate" fld="10" subtotal="average"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F1D56C-743E-45F6-980E-C8447E3254FD}" name="PivotTable11" cacheId="0" applyNumberFormats="0" applyBorderFormats="0" applyFontFormats="0" applyPatternFormats="0" applyAlignmentFormats="0" applyWidthHeightFormats="1" dataCaption="Values" updatedVersion="7" minRefreshableVersion="3" useAutoFormatting="1" itemPrintTitles="1" createdVersion="8" indent="0" multipleFieldFilters="0">
  <location ref="E9:E10" firstHeaderRow="1" firstDataRow="1" firstDataCol="0"/>
  <pivotFields count="15">
    <pivotField numFmtId="14" showAll="0"/>
    <pivotField showAll="0"/>
    <pivotField showAll="0"/>
    <pivotField showAll="0"/>
    <pivotField showAll="0"/>
    <pivotField numFmtId="1" showAll="0"/>
    <pivotField numFmtId="1"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Score" fld="13"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FC87E9-B4B3-4EBB-9ECC-65211022FE2B}"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C5:C6" firstHeaderRow="1" firstDataRow="1" firstDataCol="0"/>
  <pivotFields count="15">
    <pivotField numFmtId="14" showAll="0"/>
    <pivotField showAll="0"/>
    <pivotField showAll="0"/>
    <pivotField showAll="0"/>
    <pivotField showAll="0"/>
    <pivotField dataField="1" numFmtId="1" showAll="0"/>
    <pivotField numFmtId="1" showAll="0"/>
    <pivotField showAll="0"/>
    <pivotField showAll="0"/>
    <pivotField showAll="0"/>
    <pivotField showAll="0"/>
    <pivotField showAll="0"/>
    <pivotField showAll="0"/>
    <pivotField showAll="0"/>
    <pivotField showAll="0"/>
  </pivotFields>
  <rowItems count="1">
    <i/>
  </rowItems>
  <colItems count="1">
    <i/>
  </colItems>
  <dataFields count="1">
    <dataField name="Sum of Profit" fld="5" baseField="0" baseItem="0" numFmtId="166"/>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DB8728-F010-4AD6-A790-7E42DB5A22CA}" name="PivotTable6" cacheId="0" applyNumberFormats="0" applyBorderFormats="0" applyFontFormats="0" applyPatternFormats="0" applyAlignmentFormats="0" applyWidthHeightFormats="1" dataCaption="Values" updatedVersion="7" minRefreshableVersion="3" rowGrandTotals="0" itemPrintTitles="1" createdVersion="8" indent="0" multipleFieldFilters="0" chartFormat="11">
  <location ref="I5:K17" firstHeaderRow="0" firstDataRow="1" firstDataCol="1"/>
  <pivotFields count="15">
    <pivotField numFmtId="14" showAll="0"/>
    <pivotField axis="axisRow" showAll="0">
      <items count="13">
        <item x="11"/>
        <item x="1"/>
        <item x="4"/>
        <item x="5"/>
        <item x="0"/>
        <item x="7"/>
        <item x="8"/>
        <item x="6"/>
        <item x="9"/>
        <item x="2"/>
        <item x="3"/>
        <item x="10"/>
        <item t="default"/>
      </items>
    </pivotField>
    <pivotField showAll="0"/>
    <pivotField showAll="0"/>
    <pivotField dataField="1" showAll="0"/>
    <pivotField numFmtId="1" showAll="0"/>
    <pivotField dataField="1" numFmtId="1" showAll="0"/>
    <pivotField showAll="0"/>
    <pivotField showAll="0"/>
    <pivotField showAll="0"/>
    <pivotField showAll="0"/>
    <pivotField showAll="0"/>
    <pivotField showAll="0"/>
    <pivotField showAll="0"/>
    <pivotField showAll="0">
      <items count="5">
        <item x="0"/>
        <item x="3"/>
        <item x="2"/>
        <item x="1"/>
        <item t="default"/>
      </items>
    </pivotField>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name="Sum of Sales" fld="4" baseField="0" baseItem="0"/>
    <dataField name="Sum of Target Sales" fld="6" baseField="0" baseItem="0" numFmtId="1"/>
  </dataFields>
  <formats count="1">
    <format dxfId="11">
      <pivotArea outline="0" collapsedLevelsAreSubtotals="1" fieldPosition="0"/>
    </format>
  </format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 count="1" selected="0">
            <x v="0"/>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0" format="5">
      <pivotArea type="data" outline="0" fieldPosition="0">
        <references count="2">
          <reference field="4294967294" count="1" selected="0">
            <x v="0"/>
          </reference>
          <reference field="1" count="1" selected="0">
            <x v="2"/>
          </reference>
        </references>
      </pivotArea>
    </chartFormat>
    <chartFormat chart="0" format="6">
      <pivotArea type="data" outline="0" fieldPosition="0">
        <references count="2">
          <reference field="4294967294" count="1" selected="0">
            <x v="0"/>
          </reference>
          <reference field="1" count="1" selected="0">
            <x v="3"/>
          </reference>
        </references>
      </pivotArea>
    </chartFormat>
    <chartFormat chart="1" format="7" series="1">
      <pivotArea type="data" outline="0" fieldPosition="0">
        <references count="1">
          <reference field="4294967294" count="1" selected="0">
            <x v="0"/>
          </reference>
        </references>
      </pivotArea>
    </chartFormat>
    <chartFormat chart="1" format="8">
      <pivotArea type="data" outline="0" fieldPosition="0">
        <references count="2">
          <reference field="4294967294" count="1" selected="0">
            <x v="0"/>
          </reference>
          <reference field="1" count="1" selected="0">
            <x v="0"/>
          </reference>
        </references>
      </pivotArea>
    </chartFormat>
    <chartFormat chart="1" format="9">
      <pivotArea type="data" outline="0" fieldPosition="0">
        <references count="2">
          <reference field="4294967294" count="1" selected="0">
            <x v="0"/>
          </reference>
          <reference field="1" count="1" selected="0">
            <x v="1"/>
          </reference>
        </references>
      </pivotArea>
    </chartFormat>
    <chartFormat chart="1" format="10">
      <pivotArea type="data" outline="0" fieldPosition="0">
        <references count="2">
          <reference field="4294967294" count="1" selected="0">
            <x v="0"/>
          </reference>
          <reference field="1" count="1" selected="0">
            <x v="2"/>
          </reference>
        </references>
      </pivotArea>
    </chartFormat>
    <chartFormat chart="1" format="11">
      <pivotArea type="data" outline="0" fieldPosition="0">
        <references count="2">
          <reference field="4294967294" count="1" selected="0">
            <x v="0"/>
          </reference>
          <reference field="1" count="1" selected="0">
            <x v="3"/>
          </reference>
        </references>
      </pivotArea>
    </chartFormat>
    <chartFormat chart="1" format="12"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0" format="6">
      <pivotArea type="data" outline="0" fieldPosition="0">
        <references count="2">
          <reference field="4294967294" count="1" selected="0">
            <x v="0"/>
          </reference>
          <reference field="1" count="1" selected="0">
            <x v="0"/>
          </reference>
        </references>
      </pivotArea>
    </chartFormat>
    <chartFormat chart="10" format="7">
      <pivotArea type="data" outline="0" fieldPosition="0">
        <references count="2">
          <reference field="4294967294" count="1" selected="0">
            <x v="0"/>
          </reference>
          <reference field="1" count="1" selected="0">
            <x v="1"/>
          </reference>
        </references>
      </pivotArea>
    </chartFormat>
    <chartFormat chart="10" format="8">
      <pivotArea type="data" outline="0" fieldPosition="0">
        <references count="2">
          <reference field="4294967294" count="1" selected="0">
            <x v="0"/>
          </reference>
          <reference field="1" count="1" selected="0">
            <x v="2"/>
          </reference>
        </references>
      </pivotArea>
    </chartFormat>
    <chartFormat chart="10" format="9">
      <pivotArea type="data" outline="0" fieldPosition="0">
        <references count="2">
          <reference field="4294967294" count="1" selected="0">
            <x v="0"/>
          </reference>
          <reference field="1" count="1" selected="0">
            <x v="3"/>
          </reference>
        </references>
      </pivotArea>
    </chartFormat>
    <chartFormat chart="10" format="10">
      <pivotArea type="data" outline="0" fieldPosition="0">
        <references count="2">
          <reference field="4294967294" count="1" selected="0">
            <x v="0"/>
          </reference>
          <reference field="1" count="1" selected="0">
            <x v="4"/>
          </reference>
        </references>
      </pivotArea>
    </chartFormat>
    <chartFormat chart="10" format="11">
      <pivotArea type="data" outline="0" fieldPosition="0">
        <references count="2">
          <reference field="4294967294" count="1" selected="0">
            <x v="0"/>
          </reference>
          <reference field="1" count="1" selected="0">
            <x v="5"/>
          </reference>
        </references>
      </pivotArea>
    </chartFormat>
    <chartFormat chart="10" format="12">
      <pivotArea type="data" outline="0" fieldPosition="0">
        <references count="2">
          <reference field="4294967294" count="1" selected="0">
            <x v="0"/>
          </reference>
          <reference field="1" count="1" selected="0">
            <x v="6"/>
          </reference>
        </references>
      </pivotArea>
    </chartFormat>
    <chartFormat chart="10" format="13">
      <pivotArea type="data" outline="0" fieldPosition="0">
        <references count="2">
          <reference field="4294967294" count="1" selected="0">
            <x v="0"/>
          </reference>
          <reference field="1" count="1" selected="0">
            <x v="7"/>
          </reference>
        </references>
      </pivotArea>
    </chartFormat>
    <chartFormat chart="10" format="14">
      <pivotArea type="data" outline="0" fieldPosition="0">
        <references count="2">
          <reference field="4294967294" count="1" selected="0">
            <x v="0"/>
          </reference>
          <reference field="1" count="1" selected="0">
            <x v="8"/>
          </reference>
        </references>
      </pivotArea>
    </chartFormat>
    <chartFormat chart="10" format="15">
      <pivotArea type="data" outline="0" fieldPosition="0">
        <references count="2">
          <reference field="4294967294" count="1" selected="0">
            <x v="0"/>
          </reference>
          <reference field="1" count="1" selected="0">
            <x v="9"/>
          </reference>
        </references>
      </pivotArea>
    </chartFormat>
    <chartFormat chart="10" format="16">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64573E-C9BB-43F1-88DD-7D97826CB1DC}"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3">
  <location ref="M5:O9" firstHeaderRow="0" firstDataRow="1" firstDataCol="1"/>
  <pivotFields count="15">
    <pivotField numFmtId="14" showAll="0"/>
    <pivotField showAll="0"/>
    <pivotField showAll="0"/>
    <pivotField axis="axisRow" showAll="0">
      <items count="5">
        <item x="0"/>
        <item x="3"/>
        <item x="2"/>
        <item x="1"/>
        <item t="default"/>
      </items>
    </pivotField>
    <pivotField dataField="1" showAll="0"/>
    <pivotField numFmtId="1" showAll="0"/>
    <pivotField dataField="1" numFmtId="1" showAll="0"/>
    <pivotField showAll="0"/>
    <pivotField showAll="0"/>
    <pivotField showAll="0"/>
    <pivotField showAll="0"/>
    <pivotField showAll="0"/>
    <pivotField showAll="0"/>
    <pivotField showAll="0"/>
    <pivotField showAll="0"/>
  </pivotFields>
  <rowFields count="1">
    <field x="3"/>
  </rowFields>
  <rowItems count="4">
    <i>
      <x/>
    </i>
    <i>
      <x v="1"/>
    </i>
    <i>
      <x v="2"/>
    </i>
    <i>
      <x v="3"/>
    </i>
  </rowItems>
  <colFields count="1">
    <field x="-2"/>
  </colFields>
  <colItems count="2">
    <i>
      <x/>
    </i>
    <i i="1">
      <x v="1"/>
    </i>
  </colItems>
  <dataFields count="2">
    <dataField name="Sum of Sales" fld="4" baseField="0" baseItem="0"/>
    <dataField name="Sum of Target Sales" fld="6" baseField="0" baseItem="0" numFmtId="1"/>
  </dataFields>
  <formats count="1">
    <format dxfId="12">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A860DB-8B40-46A2-B5A4-BA3CB92BA06B}"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W5:X10" firstHeaderRow="1" firstDataRow="1" firstDataCol="1"/>
  <pivotFields count="15">
    <pivotField numFmtId="14" showAll="0"/>
    <pivotField showAll="0"/>
    <pivotField showAll="0"/>
    <pivotField showAll="0"/>
    <pivotField dataField="1" showAll="0"/>
    <pivotField numFmtId="1" showAll="0"/>
    <pivotField numFmtId="1" showAll="0"/>
    <pivotField showAll="0"/>
    <pivotField showAll="0"/>
    <pivotField showAll="0"/>
    <pivotField showAll="0"/>
    <pivotField axis="axisRow" showAll="0">
      <items count="6">
        <item x="0"/>
        <item x="2"/>
        <item x="1"/>
        <item x="3"/>
        <item x="4"/>
        <item t="default"/>
      </items>
    </pivotField>
    <pivotField showAll="0"/>
    <pivotField showAll="0"/>
    <pivotField showAll="0"/>
  </pivotFields>
  <rowFields count="1">
    <field x="11"/>
  </rowFields>
  <rowItems count="5">
    <i>
      <x/>
    </i>
    <i>
      <x v="1"/>
    </i>
    <i>
      <x v="2"/>
    </i>
    <i>
      <x v="3"/>
    </i>
    <i>
      <x v="4"/>
    </i>
  </rowItems>
  <colItems count="1">
    <i/>
  </colItems>
  <dataFields count="1">
    <dataField name="Sum of Sales" fld="4" baseField="0" baseItem="0" numFmtId="165"/>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A7F3C3-B9E6-4942-88DF-2018358AB161}"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E5:E6" firstHeaderRow="1" firstDataRow="1" firstDataCol="0"/>
  <pivotFields count="15">
    <pivotField numFmtId="14" showAll="0"/>
    <pivotField showAll="0"/>
    <pivotField showAll="0"/>
    <pivotField showAll="0"/>
    <pivotField showAll="0"/>
    <pivotField numFmtId="1" showAll="0"/>
    <pivotField numFmtId="1"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No of Customer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F273B2-8594-4458-BDDA-F6BFE145B7B0}"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T5:U10" firstHeaderRow="1" firstDataRow="1" firstDataCol="1"/>
  <pivotFields count="15">
    <pivotField numFmtId="14" showAll="0"/>
    <pivotField showAll="0"/>
    <pivotField showAll="0"/>
    <pivotField showAll="0"/>
    <pivotField showAll="0"/>
    <pivotField numFmtId="1" showAll="0"/>
    <pivotField numFmtId="1" showAll="0"/>
    <pivotField showAll="0"/>
    <pivotField showAll="0"/>
    <pivotField showAll="0"/>
    <pivotField showAll="0"/>
    <pivotField showAll="0"/>
    <pivotField axis="axisRow" showAll="0">
      <items count="6">
        <item x="4"/>
        <item x="2"/>
        <item x="1"/>
        <item x="3"/>
        <item x="0"/>
        <item t="default"/>
      </items>
    </pivotField>
    <pivotField dataField="1" showAll="0"/>
    <pivotField showAll="0"/>
  </pivotFields>
  <rowFields count="1">
    <field x="12"/>
  </rowFields>
  <rowItems count="5">
    <i>
      <x/>
    </i>
    <i>
      <x v="1"/>
    </i>
    <i>
      <x v="2"/>
    </i>
    <i>
      <x v="3"/>
    </i>
    <i>
      <x v="4"/>
    </i>
  </rowItems>
  <colItems count="1">
    <i/>
  </colItems>
  <dataFields count="1">
    <dataField name="Sum of Scor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C65EA39-BC91-4E9D-8932-9A9E84B172FA}"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5:A6" firstHeaderRow="1" firstDataRow="1" firstDataCol="0"/>
  <pivotFields count="15">
    <pivotField numFmtId="14" showAll="0"/>
    <pivotField showAll="0"/>
    <pivotField showAll="0"/>
    <pivotField showAll="0"/>
    <pivotField dataField="1" showAll="0"/>
    <pivotField numFmtId="1" showAll="0"/>
    <pivotField numFmtId="1" showAll="0"/>
    <pivotField showAll="0"/>
    <pivotField showAll="0"/>
    <pivotField showAll="0"/>
    <pivotField showAll="0"/>
    <pivotField showAll="0"/>
    <pivotField showAll="0"/>
    <pivotField showAll="0"/>
    <pivotField showAll="0"/>
  </pivotFields>
  <rowItems count="1">
    <i/>
  </rowItems>
  <colItems count="1">
    <i/>
  </colItems>
  <dataFields count="1">
    <dataField name="Sum of Sales" fld="4" baseField="0" baseItem="0" numFmtId="166"/>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69EC5C9-C448-4DF7-8319-C88438357657}" sourceName="Month">
  <pivotTables>
    <pivotTable tabId="2" name="PivotTable6"/>
  </pivotTables>
  <data>
    <tabular pivotCacheId="643695068">
      <items count="12">
        <i x="11" s="1"/>
        <i x="1" s="1"/>
        <i x="4" s="1"/>
        <i x="5" s="1"/>
        <i x="0" s="1"/>
        <i x="7" s="1"/>
        <i x="8" s="1"/>
        <i x="6" s="1"/>
        <i x="9" s="1"/>
        <i x="2" s="1"/>
        <i x="3"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620FED10-1AC1-4DA9-8608-7BD7235DCC14}" sourceName="Quarters">
  <pivotTables>
    <pivotTable tabId="2" name="PivotTable6"/>
  </pivotTables>
  <data>
    <tabular pivotCacheId="643695068">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47A7882-8A05-4BF3-98C7-326238607178}" cache="Slicer_Month" caption="Month" style="Slicer Style 1" rowHeight="247650"/>
  <slicer name="Quarters" xr10:uid="{BD199243-79BC-4E93-A2C6-5532CC258DCC}" cache="Slicer_Quarters" caption="Quarters"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7E788B-0507-4FBA-8CF5-7F46FFC70A2C}" name="Table1" displayName="Table1" ref="A1:O64" totalsRowShown="0">
  <autoFilter ref="A1:O64" xr:uid="{B47E788B-0507-4FBA-8CF5-7F46FFC70A2C}"/>
  <tableColumns count="15">
    <tableColumn id="1" xr3:uid="{E2E3C401-6E75-4799-ACC8-89AFED40C6CB}" name="Date" dataDxfId="23" totalsRowDxfId="22"/>
    <tableColumn id="2" xr3:uid="{9B2DAD03-2051-452C-BBCD-2CEA63CDB5DC}" name="Month" dataDxfId="21" totalsRowDxfId="20">
      <calculatedColumnFormula>TEXT(A2,"mmm")</calculatedColumnFormula>
    </tableColumn>
    <tableColumn id="3" xr3:uid="{75F8CFF6-6D2A-494B-B1F2-003B1A6350D2}" name="Year" dataDxfId="19" totalsRowDxfId="18"/>
    <tableColumn id="4" xr3:uid="{37D9AB56-4857-428C-A7F6-BFBBC4F192DF}" name="Region"/>
    <tableColumn id="5" xr3:uid="{FE4B35E1-53B1-49F7-A9DB-256EF51E32EC}" name="Sales"/>
    <tableColumn id="6" xr3:uid="{6CB9299C-D1D3-4988-9C62-06BB5093DB71}" name="Profit" dataDxfId="17" totalsRowDxfId="16"/>
    <tableColumn id="7" xr3:uid="{0829FDEC-0A06-416B-90A5-ECD202623A36}" name="Target Sales" dataDxfId="15"/>
    <tableColumn id="8" xr3:uid="{9555A9BA-1405-4BC6-B94D-DB0B87B868D5}" name="No of Customers"/>
    <tableColumn id="9" xr3:uid="{6D9A1D39-3539-42C6-BA37-7F233A7C0B41}" name="Sales Completion Rate"/>
    <tableColumn id="10" xr3:uid="{C0D547DA-5DC1-464B-A8B4-E0B37EFF19A4}" name="Profit Completion Rate"/>
    <tableColumn id="11" xr3:uid="{F557BF9D-5759-4CE8-B921-D985E58B77C7}" name="Customer Completion Rate"/>
    <tableColumn id="12" xr3:uid="{0F5A6017-29C8-4B7B-A2F8-144BDC42AF16}" name="Country"/>
    <tableColumn id="13" xr3:uid="{900BA1DE-8A69-4CBE-B36B-CADE571C3598}" name="Customer Satisfaction"/>
    <tableColumn id="14" xr3:uid="{E8B1E702-8B68-481A-B0EE-55F0292CD091}" name="Score"/>
    <tableColumn id="15" xr3:uid="{5581A2CC-942D-4141-91E6-19DB02CF4CFB}" name="Quarters" dataDxfId="14">
      <calculatedColumnFormula>_xlfn.XLOOKUP(B2,$T$2:$T$13,$U$2:$U$13,,-1)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00EBB-4236-4385-B112-7436EAEB5F65}">
  <dimension ref="A1:U64"/>
  <sheetViews>
    <sheetView topLeftCell="H1" workbookViewId="0">
      <selection activeCell="T2" sqref="T2"/>
    </sheetView>
  </sheetViews>
  <sheetFormatPr defaultRowHeight="15" x14ac:dyDescent="0.25"/>
  <cols>
    <col min="1" max="1" width="10.42578125" style="1" bestFit="1" customWidth="1"/>
    <col min="2" max="3" width="10.42578125" style="1" customWidth="1"/>
    <col min="4" max="4" width="8.42578125" customWidth="1"/>
    <col min="5" max="5" width="7.42578125" customWidth="1"/>
    <col min="6" max="6" width="14.5703125" bestFit="1" customWidth="1"/>
    <col min="7" max="7" width="12.85546875" customWidth="1"/>
    <col min="8" max="8" width="16.42578125" customWidth="1"/>
    <col min="9" max="10" width="21.5703125" customWidth="1"/>
    <col min="11" max="11" width="25.28515625" customWidth="1"/>
    <col min="12" max="12" width="9.42578125" customWidth="1"/>
    <col min="13" max="13" width="21.42578125" customWidth="1"/>
    <col min="14" max="14" width="7.5703125" customWidth="1"/>
    <col min="15" max="15" width="10.42578125" bestFit="1" customWidth="1"/>
  </cols>
  <sheetData>
    <row r="1" spans="1:21" x14ac:dyDescent="0.25">
      <c r="A1" s="1" t="s">
        <v>0</v>
      </c>
      <c r="B1" s="1" t="s">
        <v>26</v>
      </c>
      <c r="C1" s="1" t="s">
        <v>27</v>
      </c>
      <c r="D1" t="s">
        <v>1</v>
      </c>
      <c r="E1" t="s">
        <v>2</v>
      </c>
      <c r="F1" t="s">
        <v>3</v>
      </c>
      <c r="G1" t="s">
        <v>4</v>
      </c>
      <c r="H1" t="s">
        <v>5</v>
      </c>
      <c r="I1" t="s">
        <v>6</v>
      </c>
      <c r="J1" t="s">
        <v>7</v>
      </c>
      <c r="K1" t="s">
        <v>8</v>
      </c>
      <c r="L1" t="s">
        <v>9</v>
      </c>
      <c r="M1" t="s">
        <v>10</v>
      </c>
      <c r="N1" t="s">
        <v>11</v>
      </c>
      <c r="O1" t="s">
        <v>54</v>
      </c>
    </row>
    <row r="2" spans="1:21" x14ac:dyDescent="0.25">
      <c r="A2" s="1">
        <v>45060</v>
      </c>
      <c r="B2" s="1" t="str">
        <f t="shared" ref="B2:B33" si="0">TEXT(A2,"mmm")</f>
        <v>May</v>
      </c>
      <c r="C2" s="3">
        <v>2023</v>
      </c>
      <c r="D2" t="s">
        <v>12</v>
      </c>
      <c r="E2">
        <v>2581</v>
      </c>
      <c r="F2" s="2">
        <v>2957.1428571428601</v>
      </c>
      <c r="G2" s="2">
        <v>5857</v>
      </c>
      <c r="H2">
        <v>80</v>
      </c>
      <c r="I2">
        <v>0.89</v>
      </c>
      <c r="J2">
        <v>0.85</v>
      </c>
      <c r="K2">
        <v>0.72</v>
      </c>
      <c r="L2" t="s">
        <v>13</v>
      </c>
      <c r="M2" t="s">
        <v>14</v>
      </c>
      <c r="N2">
        <v>8</v>
      </c>
      <c r="O2" t="str">
        <f t="shared" ref="O2:O33" si="1">_xlfn.XLOOKUP(B2,$T$2:$T$13,$U$2:$U$13,,-1)</f>
        <v>Q1</v>
      </c>
      <c r="T2" t="s">
        <v>55</v>
      </c>
      <c r="U2" t="s">
        <v>67</v>
      </c>
    </row>
    <row r="3" spans="1:21" x14ac:dyDescent="0.25">
      <c r="A3" s="1">
        <v>44983</v>
      </c>
      <c r="B3" s="1" t="str">
        <f t="shared" si="0"/>
        <v>Feb</v>
      </c>
      <c r="C3" s="3">
        <v>2023</v>
      </c>
      <c r="D3" t="s">
        <v>15</v>
      </c>
      <c r="E3">
        <v>3944</v>
      </c>
      <c r="F3" s="2">
        <v>2957.1428571428601</v>
      </c>
      <c r="G3" s="2">
        <v>5857</v>
      </c>
      <c r="H3">
        <v>30</v>
      </c>
      <c r="I3">
        <v>0.94</v>
      </c>
      <c r="J3">
        <v>0.95</v>
      </c>
      <c r="K3">
        <v>0.86</v>
      </c>
      <c r="L3" t="s">
        <v>16</v>
      </c>
      <c r="M3" t="s">
        <v>17</v>
      </c>
      <c r="N3">
        <v>4</v>
      </c>
      <c r="O3" t="str">
        <f t="shared" si="1"/>
        <v>Q4</v>
      </c>
      <c r="T3" t="s">
        <v>56</v>
      </c>
      <c r="U3" t="s">
        <v>67</v>
      </c>
    </row>
    <row r="4" spans="1:21" x14ac:dyDescent="0.25">
      <c r="A4" s="1">
        <v>44984</v>
      </c>
      <c r="B4" s="1" t="str">
        <f t="shared" si="0"/>
        <v>Feb</v>
      </c>
      <c r="C4" s="3">
        <v>2023</v>
      </c>
      <c r="D4" t="s">
        <v>18</v>
      </c>
      <c r="E4">
        <v>3293</v>
      </c>
      <c r="F4" s="2">
        <v>2957.1428571428601</v>
      </c>
      <c r="G4" s="2">
        <v>5857</v>
      </c>
      <c r="H4">
        <v>15</v>
      </c>
      <c r="I4">
        <v>0.82</v>
      </c>
      <c r="J4">
        <v>0.8</v>
      </c>
      <c r="K4">
        <v>0.76</v>
      </c>
      <c r="L4" t="s">
        <v>19</v>
      </c>
      <c r="M4" t="s">
        <v>20</v>
      </c>
      <c r="N4">
        <v>3</v>
      </c>
      <c r="O4" t="str">
        <f t="shared" si="1"/>
        <v>Q4</v>
      </c>
      <c r="T4" t="s">
        <v>57</v>
      </c>
      <c r="U4" t="s">
        <v>67</v>
      </c>
    </row>
    <row r="5" spans="1:21" x14ac:dyDescent="0.25">
      <c r="A5" s="1">
        <v>44985</v>
      </c>
      <c r="B5" s="1" t="str">
        <f t="shared" si="0"/>
        <v>Feb</v>
      </c>
      <c r="C5" s="3">
        <v>2023</v>
      </c>
      <c r="D5" t="s">
        <v>18</v>
      </c>
      <c r="E5">
        <v>2019</v>
      </c>
      <c r="F5" s="2">
        <v>2957.1428571428601</v>
      </c>
      <c r="G5" s="2">
        <v>5857</v>
      </c>
      <c r="H5">
        <v>40</v>
      </c>
      <c r="I5">
        <v>0.79</v>
      </c>
      <c r="J5">
        <v>0.79</v>
      </c>
      <c r="K5">
        <v>0.79</v>
      </c>
      <c r="L5" t="s">
        <v>21</v>
      </c>
      <c r="M5" t="s">
        <v>14</v>
      </c>
      <c r="N5">
        <v>2</v>
      </c>
      <c r="O5" t="str">
        <f t="shared" si="1"/>
        <v>Q4</v>
      </c>
      <c r="T5" t="s">
        <v>58</v>
      </c>
      <c r="U5" t="s">
        <v>68</v>
      </c>
    </row>
    <row r="6" spans="1:21" x14ac:dyDescent="0.25">
      <c r="A6" s="1">
        <v>45228</v>
      </c>
      <c r="B6" s="1" t="str">
        <f t="shared" si="0"/>
        <v>Oct</v>
      </c>
      <c r="C6" s="3">
        <v>2023</v>
      </c>
      <c r="D6" t="s">
        <v>15</v>
      </c>
      <c r="E6">
        <v>2980</v>
      </c>
      <c r="F6" s="2">
        <v>2958</v>
      </c>
      <c r="G6" s="2">
        <v>5857</v>
      </c>
      <c r="H6">
        <v>100</v>
      </c>
      <c r="I6">
        <v>0.96</v>
      </c>
      <c r="J6">
        <v>0.79</v>
      </c>
      <c r="K6">
        <v>0.7</v>
      </c>
      <c r="L6" t="s">
        <v>22</v>
      </c>
      <c r="M6" t="s">
        <v>23</v>
      </c>
      <c r="N6">
        <v>7</v>
      </c>
      <c r="O6" t="str">
        <f t="shared" si="1"/>
        <v>Q3</v>
      </c>
      <c r="T6" t="s">
        <v>59</v>
      </c>
      <c r="U6" t="s">
        <v>68</v>
      </c>
    </row>
    <row r="7" spans="1:21" x14ac:dyDescent="0.25">
      <c r="A7" s="1">
        <v>45229</v>
      </c>
      <c r="B7" s="1" t="str">
        <f t="shared" si="0"/>
        <v>Oct</v>
      </c>
      <c r="C7" s="3">
        <v>2023</v>
      </c>
      <c r="D7" t="s">
        <v>15</v>
      </c>
      <c r="E7">
        <v>2209</v>
      </c>
      <c r="F7" s="2">
        <v>2957.1428571428601</v>
      </c>
      <c r="G7" s="2">
        <v>5857</v>
      </c>
      <c r="H7">
        <v>15</v>
      </c>
      <c r="I7">
        <v>0.79</v>
      </c>
      <c r="J7">
        <v>0.79</v>
      </c>
      <c r="K7">
        <v>0.77</v>
      </c>
      <c r="L7" t="s">
        <v>22</v>
      </c>
      <c r="M7" t="s">
        <v>14</v>
      </c>
      <c r="N7">
        <v>9</v>
      </c>
      <c r="O7" t="str">
        <f t="shared" si="1"/>
        <v>Q3</v>
      </c>
      <c r="T7" t="s">
        <v>60</v>
      </c>
      <c r="U7" t="s">
        <v>68</v>
      </c>
    </row>
    <row r="8" spans="1:21" x14ac:dyDescent="0.25">
      <c r="A8" s="1">
        <v>45230</v>
      </c>
      <c r="B8" s="1" t="str">
        <f t="shared" si="0"/>
        <v>Oct</v>
      </c>
      <c r="C8" s="3">
        <v>2023</v>
      </c>
      <c r="D8" t="s">
        <v>24</v>
      </c>
      <c r="E8">
        <v>2440</v>
      </c>
      <c r="F8" s="2">
        <v>2957.1428571428601</v>
      </c>
      <c r="G8" s="2">
        <v>5857</v>
      </c>
      <c r="H8">
        <v>20</v>
      </c>
      <c r="I8">
        <v>0.75</v>
      </c>
      <c r="J8">
        <v>0.72</v>
      </c>
      <c r="K8">
        <v>0.93</v>
      </c>
      <c r="L8" t="s">
        <v>22</v>
      </c>
      <c r="M8" t="s">
        <v>17</v>
      </c>
      <c r="N8">
        <v>5</v>
      </c>
      <c r="O8" t="str">
        <f t="shared" si="1"/>
        <v>Q3</v>
      </c>
      <c r="T8" t="s">
        <v>61</v>
      </c>
      <c r="U8" t="s">
        <v>69</v>
      </c>
    </row>
    <row r="9" spans="1:21" x14ac:dyDescent="0.25">
      <c r="A9" s="1">
        <v>45231</v>
      </c>
      <c r="B9" s="1" t="str">
        <f t="shared" si="0"/>
        <v>Nov</v>
      </c>
      <c r="C9" s="3">
        <v>2023</v>
      </c>
      <c r="D9" t="s">
        <v>24</v>
      </c>
      <c r="E9">
        <v>2000</v>
      </c>
      <c r="F9" s="2">
        <v>1328.57142857143</v>
      </c>
      <c r="G9" s="2">
        <v>4428.5714285714303</v>
      </c>
      <c r="H9">
        <v>90</v>
      </c>
      <c r="I9">
        <v>0.92</v>
      </c>
      <c r="J9">
        <v>0.99</v>
      </c>
      <c r="K9">
        <v>0.74</v>
      </c>
      <c r="L9" t="s">
        <v>19</v>
      </c>
      <c r="M9" t="s">
        <v>17</v>
      </c>
      <c r="N9">
        <v>6</v>
      </c>
      <c r="O9" t="str">
        <f t="shared" si="1"/>
        <v>Q3</v>
      </c>
      <c r="T9" t="s">
        <v>62</v>
      </c>
      <c r="U9" t="s">
        <v>69</v>
      </c>
    </row>
    <row r="10" spans="1:21" x14ac:dyDescent="0.25">
      <c r="A10" s="1">
        <v>45232</v>
      </c>
      <c r="B10" s="1" t="str">
        <f t="shared" si="0"/>
        <v>Nov</v>
      </c>
      <c r="C10" s="3">
        <v>2023</v>
      </c>
      <c r="D10" t="s">
        <v>24</v>
      </c>
      <c r="E10">
        <v>1431</v>
      </c>
      <c r="F10" s="2">
        <v>1328.57142857143</v>
      </c>
      <c r="G10" s="2">
        <v>4428.5714285714303</v>
      </c>
      <c r="H10">
        <v>30</v>
      </c>
      <c r="I10">
        <v>0.7</v>
      </c>
      <c r="J10">
        <v>0.99</v>
      </c>
      <c r="K10">
        <v>0.95</v>
      </c>
      <c r="L10" t="s">
        <v>19</v>
      </c>
      <c r="M10" t="s">
        <v>23</v>
      </c>
      <c r="N10">
        <v>8</v>
      </c>
      <c r="O10" t="str">
        <f t="shared" si="1"/>
        <v>Q3</v>
      </c>
      <c r="T10" t="s">
        <v>63</v>
      </c>
      <c r="U10" t="s">
        <v>69</v>
      </c>
    </row>
    <row r="11" spans="1:21" x14ac:dyDescent="0.25">
      <c r="A11" s="1">
        <v>45233</v>
      </c>
      <c r="B11" s="1" t="str">
        <f t="shared" si="0"/>
        <v>Nov</v>
      </c>
      <c r="C11" s="3">
        <v>2023</v>
      </c>
      <c r="D11" t="s">
        <v>15</v>
      </c>
      <c r="E11">
        <v>3000</v>
      </c>
      <c r="F11" s="2">
        <v>1328.57142857143</v>
      </c>
      <c r="G11" s="2">
        <v>4428.5714285714303</v>
      </c>
      <c r="H11">
        <v>15</v>
      </c>
      <c r="I11">
        <v>0.91</v>
      </c>
      <c r="J11">
        <v>0.98</v>
      </c>
      <c r="K11">
        <v>0.89</v>
      </c>
      <c r="L11" t="s">
        <v>19</v>
      </c>
      <c r="M11" t="s">
        <v>23</v>
      </c>
      <c r="N11">
        <v>4</v>
      </c>
      <c r="O11" t="str">
        <f t="shared" si="1"/>
        <v>Q3</v>
      </c>
      <c r="T11" t="s">
        <v>64</v>
      </c>
      <c r="U11" t="s">
        <v>70</v>
      </c>
    </row>
    <row r="12" spans="1:21" x14ac:dyDescent="0.25">
      <c r="A12" s="1">
        <v>45060</v>
      </c>
      <c r="B12" s="1" t="str">
        <f t="shared" si="0"/>
        <v>May</v>
      </c>
      <c r="C12" s="3">
        <v>2023</v>
      </c>
      <c r="D12" t="s">
        <v>15</v>
      </c>
      <c r="E12">
        <v>4000</v>
      </c>
      <c r="F12" s="2">
        <v>1328.57142857143</v>
      </c>
      <c r="G12" s="2">
        <v>4428.5714285714303</v>
      </c>
      <c r="H12">
        <v>40</v>
      </c>
      <c r="I12">
        <v>0.74</v>
      </c>
      <c r="J12">
        <v>0.85</v>
      </c>
      <c r="K12">
        <v>0.7</v>
      </c>
      <c r="L12" t="s">
        <v>19</v>
      </c>
      <c r="M12" t="s">
        <v>14</v>
      </c>
      <c r="N12">
        <v>3</v>
      </c>
      <c r="O12" t="str">
        <f t="shared" si="1"/>
        <v>Q1</v>
      </c>
      <c r="T12" t="s">
        <v>65</v>
      </c>
      <c r="U12" t="s">
        <v>70</v>
      </c>
    </row>
    <row r="13" spans="1:21" x14ac:dyDescent="0.25">
      <c r="A13" s="1">
        <v>45225</v>
      </c>
      <c r="B13" s="1" t="str">
        <f t="shared" si="0"/>
        <v>Oct</v>
      </c>
      <c r="C13" s="3">
        <v>2023</v>
      </c>
      <c r="D13" t="s">
        <v>12</v>
      </c>
      <c r="E13">
        <v>1000</v>
      </c>
      <c r="F13" s="2">
        <v>1328.57142857143</v>
      </c>
      <c r="G13" s="2">
        <v>4428.5714285714303</v>
      </c>
      <c r="H13">
        <v>100</v>
      </c>
      <c r="I13">
        <v>0.9</v>
      </c>
      <c r="J13">
        <v>0.9</v>
      </c>
      <c r="K13">
        <v>0.72</v>
      </c>
      <c r="L13" t="s">
        <v>19</v>
      </c>
      <c r="M13" t="s">
        <v>17</v>
      </c>
      <c r="N13">
        <v>2</v>
      </c>
      <c r="O13" t="str">
        <f t="shared" si="1"/>
        <v>Q3</v>
      </c>
      <c r="T13" t="s">
        <v>66</v>
      </c>
      <c r="U13" t="s">
        <v>70</v>
      </c>
    </row>
    <row r="14" spans="1:21" x14ac:dyDescent="0.25">
      <c r="A14" s="1">
        <v>44995</v>
      </c>
      <c r="B14" s="1" t="str">
        <f t="shared" si="0"/>
        <v>Mar</v>
      </c>
      <c r="C14" s="3">
        <v>2023</v>
      </c>
      <c r="D14" t="s">
        <v>12</v>
      </c>
      <c r="E14">
        <v>2000</v>
      </c>
      <c r="F14" s="2">
        <v>1328.57142857143</v>
      </c>
      <c r="G14" s="2">
        <v>4428.5714285714303</v>
      </c>
      <c r="H14">
        <v>15</v>
      </c>
      <c r="I14">
        <v>0.95</v>
      </c>
      <c r="J14">
        <v>0.97</v>
      </c>
      <c r="K14">
        <v>0.81</v>
      </c>
      <c r="L14" t="s">
        <v>19</v>
      </c>
      <c r="M14" t="s">
        <v>20</v>
      </c>
      <c r="N14">
        <v>7</v>
      </c>
      <c r="O14" t="str">
        <f t="shared" si="1"/>
        <v>Q4</v>
      </c>
    </row>
    <row r="15" spans="1:21" x14ac:dyDescent="0.25">
      <c r="A15" s="1">
        <v>45044</v>
      </c>
      <c r="B15" s="1" t="str">
        <f t="shared" si="0"/>
        <v>Apr</v>
      </c>
      <c r="C15" s="3">
        <v>2023</v>
      </c>
      <c r="D15" t="s">
        <v>18</v>
      </c>
      <c r="E15">
        <v>2000</v>
      </c>
      <c r="F15" s="2">
        <v>1328.57142857143</v>
      </c>
      <c r="G15" s="2">
        <v>4428.5714285714303</v>
      </c>
      <c r="H15">
        <v>20</v>
      </c>
      <c r="I15">
        <v>0.99</v>
      </c>
      <c r="J15">
        <v>0.79</v>
      </c>
      <c r="K15">
        <v>0.75</v>
      </c>
      <c r="L15" t="s">
        <v>19</v>
      </c>
      <c r="M15" t="s">
        <v>23</v>
      </c>
      <c r="N15">
        <v>9</v>
      </c>
      <c r="O15" t="str">
        <f t="shared" si="1"/>
        <v>Q1</v>
      </c>
    </row>
    <row r="16" spans="1:21" x14ac:dyDescent="0.25">
      <c r="A16" s="1">
        <v>45218</v>
      </c>
      <c r="B16" s="1" t="str">
        <f t="shared" si="0"/>
        <v>Oct</v>
      </c>
      <c r="C16" s="3">
        <v>2023</v>
      </c>
      <c r="D16" t="s">
        <v>18</v>
      </c>
      <c r="E16">
        <v>4000</v>
      </c>
      <c r="F16" s="2">
        <v>1328.57142857143</v>
      </c>
      <c r="G16" s="2">
        <v>1428.57142857143</v>
      </c>
      <c r="H16">
        <v>45</v>
      </c>
      <c r="I16">
        <v>0.86</v>
      </c>
      <c r="J16">
        <v>0.97</v>
      </c>
      <c r="K16">
        <v>0.89</v>
      </c>
      <c r="L16" t="s">
        <v>13</v>
      </c>
      <c r="M16" t="s">
        <v>25</v>
      </c>
      <c r="N16">
        <v>5</v>
      </c>
      <c r="O16" t="str">
        <f t="shared" si="1"/>
        <v>Q3</v>
      </c>
    </row>
    <row r="17" spans="1:15" x14ac:dyDescent="0.25">
      <c r="A17" s="1">
        <v>45160</v>
      </c>
      <c r="B17" s="1" t="str">
        <f t="shared" si="0"/>
        <v>Aug</v>
      </c>
      <c r="C17" s="3">
        <v>2023</v>
      </c>
      <c r="D17" t="s">
        <v>12</v>
      </c>
      <c r="E17">
        <v>6000</v>
      </c>
      <c r="F17" s="2">
        <v>1328.57142857143</v>
      </c>
      <c r="G17" s="2">
        <v>1428.57142857143</v>
      </c>
      <c r="H17">
        <v>43</v>
      </c>
      <c r="I17">
        <v>0.83</v>
      </c>
      <c r="J17">
        <v>0.72</v>
      </c>
      <c r="K17">
        <v>0.74</v>
      </c>
      <c r="L17" t="s">
        <v>16</v>
      </c>
      <c r="M17" t="s">
        <v>14</v>
      </c>
      <c r="N17">
        <v>6</v>
      </c>
      <c r="O17" t="str">
        <f t="shared" si="1"/>
        <v>Q2</v>
      </c>
    </row>
    <row r="18" spans="1:15" x14ac:dyDescent="0.25">
      <c r="A18" s="1">
        <v>45147</v>
      </c>
      <c r="B18" s="1" t="str">
        <f t="shared" si="0"/>
        <v>Aug</v>
      </c>
      <c r="C18" s="3">
        <v>2023</v>
      </c>
      <c r="D18" t="s">
        <v>15</v>
      </c>
      <c r="E18">
        <v>6500</v>
      </c>
      <c r="F18" s="2">
        <v>1328.57142857143</v>
      </c>
      <c r="G18" s="2">
        <v>1428.57142857143</v>
      </c>
      <c r="H18">
        <v>43</v>
      </c>
      <c r="I18">
        <v>0.74</v>
      </c>
      <c r="J18">
        <v>0.78</v>
      </c>
      <c r="K18">
        <v>0.94</v>
      </c>
      <c r="L18" t="s">
        <v>19</v>
      </c>
      <c r="M18" t="s">
        <v>17</v>
      </c>
      <c r="N18">
        <v>8</v>
      </c>
      <c r="O18" t="str">
        <f t="shared" si="1"/>
        <v>Q2</v>
      </c>
    </row>
    <row r="19" spans="1:15" x14ac:dyDescent="0.25">
      <c r="A19" s="1">
        <v>45078</v>
      </c>
      <c r="B19" s="1" t="str">
        <f t="shared" si="0"/>
        <v>Jun</v>
      </c>
      <c r="C19" s="3">
        <v>2023</v>
      </c>
      <c r="D19" t="s">
        <v>24</v>
      </c>
      <c r="E19">
        <v>1200</v>
      </c>
      <c r="F19" s="2">
        <v>1328.57142857143</v>
      </c>
      <c r="G19" s="2">
        <v>1428.57142857143</v>
      </c>
      <c r="H19">
        <v>43</v>
      </c>
      <c r="I19">
        <v>0.8</v>
      </c>
      <c r="J19">
        <v>0.84</v>
      </c>
      <c r="K19">
        <v>0.81</v>
      </c>
      <c r="L19" t="s">
        <v>21</v>
      </c>
      <c r="M19" t="s">
        <v>17</v>
      </c>
      <c r="N19">
        <v>4</v>
      </c>
      <c r="O19" t="str">
        <f t="shared" si="1"/>
        <v>Q1</v>
      </c>
    </row>
    <row r="20" spans="1:15" x14ac:dyDescent="0.25">
      <c r="A20" s="1">
        <v>44986</v>
      </c>
      <c r="B20" s="1" t="str">
        <f t="shared" si="0"/>
        <v>Mar</v>
      </c>
      <c r="C20" s="3">
        <v>2023</v>
      </c>
      <c r="D20" t="s">
        <v>24</v>
      </c>
      <c r="E20">
        <v>3000</v>
      </c>
      <c r="F20" s="2">
        <v>1328.57142857143</v>
      </c>
      <c r="G20" s="2">
        <v>1428.5714285714287</v>
      </c>
      <c r="H20">
        <v>43</v>
      </c>
      <c r="I20">
        <v>0.89</v>
      </c>
      <c r="J20">
        <v>0.99</v>
      </c>
      <c r="K20">
        <v>0.97</v>
      </c>
      <c r="L20" t="s">
        <v>13</v>
      </c>
      <c r="M20" t="s">
        <v>14</v>
      </c>
      <c r="N20">
        <v>3</v>
      </c>
      <c r="O20" t="str">
        <f t="shared" si="1"/>
        <v>Q4</v>
      </c>
    </row>
    <row r="21" spans="1:15" x14ac:dyDescent="0.25">
      <c r="A21" s="1">
        <v>45257</v>
      </c>
      <c r="B21" s="1" t="str">
        <f t="shared" si="0"/>
        <v>Nov</v>
      </c>
      <c r="C21" s="3">
        <v>2023</v>
      </c>
      <c r="D21" t="s">
        <v>24</v>
      </c>
      <c r="E21">
        <v>2000</v>
      </c>
      <c r="F21" s="2">
        <v>1328.57142857143</v>
      </c>
      <c r="G21" s="2">
        <v>1428.5714285714287</v>
      </c>
      <c r="H21">
        <v>40</v>
      </c>
      <c r="I21">
        <v>0.71</v>
      </c>
      <c r="J21">
        <v>0.87</v>
      </c>
      <c r="K21">
        <v>0.94</v>
      </c>
      <c r="L21" t="s">
        <v>16</v>
      </c>
      <c r="M21" t="s">
        <v>25</v>
      </c>
      <c r="N21">
        <v>2</v>
      </c>
      <c r="O21" t="str">
        <f t="shared" si="1"/>
        <v>Q3</v>
      </c>
    </row>
    <row r="22" spans="1:15" x14ac:dyDescent="0.25">
      <c r="A22" s="1">
        <v>45213</v>
      </c>
      <c r="B22" s="1" t="str">
        <f t="shared" si="0"/>
        <v>Oct</v>
      </c>
      <c r="C22" s="3">
        <v>2023</v>
      </c>
      <c r="D22" t="s">
        <v>24</v>
      </c>
      <c r="E22">
        <v>2000</v>
      </c>
      <c r="F22" s="2">
        <v>1328.57142857143</v>
      </c>
      <c r="G22" s="2">
        <v>1428.5714285714287</v>
      </c>
      <c r="H22">
        <v>43</v>
      </c>
      <c r="I22">
        <v>0.9</v>
      </c>
      <c r="J22">
        <v>0.72</v>
      </c>
      <c r="K22">
        <v>0.94</v>
      </c>
      <c r="L22" t="s">
        <v>19</v>
      </c>
      <c r="M22" t="s">
        <v>14</v>
      </c>
      <c r="N22">
        <v>7</v>
      </c>
      <c r="O22" t="str">
        <f t="shared" si="1"/>
        <v>Q3</v>
      </c>
    </row>
    <row r="23" spans="1:15" x14ac:dyDescent="0.25">
      <c r="A23" s="1">
        <v>45098</v>
      </c>
      <c r="B23" s="1" t="str">
        <f t="shared" si="0"/>
        <v>Jun</v>
      </c>
      <c r="C23" s="3">
        <v>2023</v>
      </c>
      <c r="D23" t="s">
        <v>12</v>
      </c>
      <c r="E23">
        <v>3000</v>
      </c>
      <c r="F23" s="2">
        <v>5214.2857142857101</v>
      </c>
      <c r="G23" s="2">
        <v>6714.2857142857101</v>
      </c>
      <c r="H23">
        <v>100</v>
      </c>
      <c r="I23">
        <v>0.89</v>
      </c>
      <c r="J23">
        <v>0.85</v>
      </c>
      <c r="K23">
        <v>0.87</v>
      </c>
      <c r="L23" t="s">
        <v>21</v>
      </c>
      <c r="M23" t="s">
        <v>17</v>
      </c>
      <c r="N23">
        <v>9</v>
      </c>
      <c r="O23" t="str">
        <f t="shared" si="1"/>
        <v>Q1</v>
      </c>
    </row>
    <row r="24" spans="1:15" x14ac:dyDescent="0.25">
      <c r="A24" s="1">
        <v>45130</v>
      </c>
      <c r="B24" s="1" t="str">
        <f t="shared" si="0"/>
        <v>Jul</v>
      </c>
      <c r="C24" s="3">
        <v>2023</v>
      </c>
      <c r="D24" t="s">
        <v>18</v>
      </c>
      <c r="E24">
        <v>4500</v>
      </c>
      <c r="F24" s="2">
        <v>5214.2857142857101</v>
      </c>
      <c r="G24" s="2">
        <v>6714.2857142857101</v>
      </c>
      <c r="H24">
        <v>100</v>
      </c>
      <c r="I24">
        <v>0.89</v>
      </c>
      <c r="J24">
        <v>0.8</v>
      </c>
      <c r="K24">
        <v>0.88</v>
      </c>
      <c r="L24" t="s">
        <v>13</v>
      </c>
      <c r="M24" t="s">
        <v>20</v>
      </c>
      <c r="N24">
        <v>5</v>
      </c>
      <c r="O24" t="str">
        <f t="shared" si="1"/>
        <v>Q2</v>
      </c>
    </row>
    <row r="25" spans="1:15" x14ac:dyDescent="0.25">
      <c r="A25" s="1">
        <v>45127</v>
      </c>
      <c r="B25" s="1" t="str">
        <f t="shared" si="0"/>
        <v>Jul</v>
      </c>
      <c r="C25" s="3">
        <v>2023</v>
      </c>
      <c r="D25" t="s">
        <v>12</v>
      </c>
      <c r="E25">
        <v>5500</v>
      </c>
      <c r="F25" s="2">
        <v>1214.2857142857099</v>
      </c>
      <c r="G25" s="2">
        <v>6714.2857142857101</v>
      </c>
      <c r="H25">
        <v>100</v>
      </c>
      <c r="I25">
        <v>0.98</v>
      </c>
      <c r="J25">
        <v>0.99</v>
      </c>
      <c r="K25">
        <v>0.81</v>
      </c>
      <c r="L25" t="s">
        <v>19</v>
      </c>
      <c r="M25" t="s">
        <v>14</v>
      </c>
      <c r="N25">
        <v>6</v>
      </c>
      <c r="O25" t="str">
        <f t="shared" si="1"/>
        <v>Q2</v>
      </c>
    </row>
    <row r="26" spans="1:15" x14ac:dyDescent="0.25">
      <c r="A26" s="1">
        <v>45129</v>
      </c>
      <c r="B26" s="1" t="str">
        <f t="shared" si="0"/>
        <v>Jul</v>
      </c>
      <c r="C26" s="3">
        <v>2023</v>
      </c>
      <c r="D26" t="s">
        <v>15</v>
      </c>
      <c r="E26">
        <v>1000</v>
      </c>
      <c r="F26" s="2">
        <v>5214.2857142857101</v>
      </c>
      <c r="G26" s="2">
        <v>6714.2857142857101</v>
      </c>
      <c r="H26">
        <v>100</v>
      </c>
      <c r="I26">
        <v>0.81</v>
      </c>
      <c r="J26">
        <v>0.91</v>
      </c>
      <c r="K26">
        <v>0.95</v>
      </c>
      <c r="L26" t="s">
        <v>21</v>
      </c>
      <c r="M26" t="s">
        <v>25</v>
      </c>
      <c r="N26">
        <v>8</v>
      </c>
      <c r="O26" t="str">
        <f t="shared" si="1"/>
        <v>Q2</v>
      </c>
    </row>
    <row r="27" spans="1:15" x14ac:dyDescent="0.25">
      <c r="A27" s="1">
        <v>45018</v>
      </c>
      <c r="B27" s="1" t="str">
        <f t="shared" si="0"/>
        <v>Apr</v>
      </c>
      <c r="C27" s="3">
        <v>2023</v>
      </c>
      <c r="D27" t="s">
        <v>12</v>
      </c>
      <c r="E27">
        <v>2000</v>
      </c>
      <c r="F27" s="2">
        <v>5214.2857142857101</v>
      </c>
      <c r="G27" s="2">
        <v>6714.2857142857101</v>
      </c>
      <c r="H27">
        <v>100</v>
      </c>
      <c r="I27">
        <v>0.97</v>
      </c>
      <c r="J27">
        <v>0.85</v>
      </c>
      <c r="K27">
        <v>0.85</v>
      </c>
      <c r="L27" t="s">
        <v>13</v>
      </c>
      <c r="M27" t="s">
        <v>14</v>
      </c>
      <c r="N27">
        <v>4</v>
      </c>
      <c r="O27" t="str">
        <f t="shared" si="1"/>
        <v>Q1</v>
      </c>
    </row>
    <row r="28" spans="1:15" x14ac:dyDescent="0.25">
      <c r="A28" s="1">
        <v>44979</v>
      </c>
      <c r="B28" s="1" t="str">
        <f t="shared" si="0"/>
        <v>Feb</v>
      </c>
      <c r="C28" s="3">
        <v>2023</v>
      </c>
      <c r="D28" t="s">
        <v>12</v>
      </c>
      <c r="E28">
        <v>2000</v>
      </c>
      <c r="F28" s="2">
        <v>5214.2857142857101</v>
      </c>
      <c r="G28" s="2">
        <v>6714.2857142857101</v>
      </c>
      <c r="H28">
        <v>100</v>
      </c>
      <c r="I28">
        <v>0.89</v>
      </c>
      <c r="J28">
        <v>0.94</v>
      </c>
      <c r="K28">
        <v>0.8</v>
      </c>
      <c r="L28" t="s">
        <v>16</v>
      </c>
      <c r="M28" t="s">
        <v>14</v>
      </c>
      <c r="N28">
        <v>3</v>
      </c>
      <c r="O28" t="str">
        <f t="shared" si="1"/>
        <v>Q4</v>
      </c>
    </row>
    <row r="29" spans="1:15" x14ac:dyDescent="0.25">
      <c r="A29" s="1">
        <v>45179</v>
      </c>
      <c r="B29" s="1" t="str">
        <f t="shared" si="0"/>
        <v>Sep</v>
      </c>
      <c r="C29" s="3">
        <v>2023</v>
      </c>
      <c r="D29" t="s">
        <v>12</v>
      </c>
      <c r="E29">
        <v>2000</v>
      </c>
      <c r="F29" s="2">
        <v>5214.2857142857101</v>
      </c>
      <c r="G29" s="2">
        <v>6714.2857142857101</v>
      </c>
      <c r="H29">
        <v>100</v>
      </c>
      <c r="I29">
        <v>0.88</v>
      </c>
      <c r="J29">
        <v>0.94</v>
      </c>
      <c r="K29">
        <v>0.7</v>
      </c>
      <c r="L29" t="s">
        <v>19</v>
      </c>
      <c r="M29" t="s">
        <v>20</v>
      </c>
      <c r="N29">
        <v>2</v>
      </c>
      <c r="O29" t="str">
        <f t="shared" si="1"/>
        <v>Q2</v>
      </c>
    </row>
    <row r="30" spans="1:15" x14ac:dyDescent="0.25">
      <c r="A30" s="1">
        <v>45275</v>
      </c>
      <c r="B30" s="1" t="str">
        <f t="shared" si="0"/>
        <v>Dec</v>
      </c>
      <c r="C30" s="3">
        <v>2023</v>
      </c>
      <c r="D30" t="s">
        <v>12</v>
      </c>
      <c r="E30">
        <v>2000</v>
      </c>
      <c r="F30" s="2">
        <v>2957.1428571428601</v>
      </c>
      <c r="G30" s="2">
        <v>2857.1428571428573</v>
      </c>
      <c r="H30">
        <v>90</v>
      </c>
      <c r="I30">
        <v>0.75</v>
      </c>
      <c r="J30">
        <v>0.77</v>
      </c>
      <c r="K30">
        <v>0.84</v>
      </c>
      <c r="L30" t="s">
        <v>21</v>
      </c>
      <c r="M30" t="s">
        <v>23</v>
      </c>
      <c r="N30">
        <v>7</v>
      </c>
      <c r="O30" t="str">
        <f t="shared" si="1"/>
        <v>Q3</v>
      </c>
    </row>
    <row r="31" spans="1:15" x14ac:dyDescent="0.25">
      <c r="A31" s="1">
        <v>44997</v>
      </c>
      <c r="B31" s="1" t="str">
        <f t="shared" si="0"/>
        <v>Mar</v>
      </c>
      <c r="C31" s="3">
        <v>2023</v>
      </c>
      <c r="D31" t="s">
        <v>12</v>
      </c>
      <c r="E31">
        <v>1700</v>
      </c>
      <c r="F31" s="2">
        <v>2957.1428571428601</v>
      </c>
      <c r="G31" s="2">
        <v>2857.1428571428573</v>
      </c>
      <c r="H31">
        <v>80</v>
      </c>
      <c r="I31">
        <v>0.73</v>
      </c>
      <c r="J31">
        <v>0.96</v>
      </c>
      <c r="K31">
        <v>0.93</v>
      </c>
      <c r="L31" t="s">
        <v>21</v>
      </c>
      <c r="M31" t="s">
        <v>25</v>
      </c>
      <c r="N31">
        <v>4</v>
      </c>
      <c r="O31" t="str">
        <f t="shared" si="1"/>
        <v>Q4</v>
      </c>
    </row>
    <row r="32" spans="1:15" x14ac:dyDescent="0.25">
      <c r="A32" s="1">
        <v>45179</v>
      </c>
      <c r="B32" s="1" t="str">
        <f t="shared" si="0"/>
        <v>Sep</v>
      </c>
      <c r="C32" s="3">
        <v>2023</v>
      </c>
      <c r="D32" t="s">
        <v>12</v>
      </c>
      <c r="E32">
        <v>1600</v>
      </c>
      <c r="F32" s="2">
        <v>2957.1428571428601</v>
      </c>
      <c r="G32" s="2">
        <v>2857.1428571428573</v>
      </c>
      <c r="H32">
        <v>90</v>
      </c>
      <c r="I32">
        <v>0.93</v>
      </c>
      <c r="J32">
        <v>0.74</v>
      </c>
      <c r="K32">
        <v>0.93</v>
      </c>
      <c r="L32" t="s">
        <v>19</v>
      </c>
      <c r="M32" t="s">
        <v>14</v>
      </c>
      <c r="N32">
        <v>5</v>
      </c>
      <c r="O32" t="str">
        <f t="shared" si="1"/>
        <v>Q2</v>
      </c>
    </row>
    <row r="33" spans="1:15" x14ac:dyDescent="0.25">
      <c r="A33" s="1">
        <v>44928</v>
      </c>
      <c r="B33" s="1" t="str">
        <f t="shared" si="0"/>
        <v>Jan</v>
      </c>
      <c r="C33" s="3">
        <v>2023</v>
      </c>
      <c r="D33" t="s">
        <v>15</v>
      </c>
      <c r="E33">
        <v>1200</v>
      </c>
      <c r="F33" s="2">
        <v>2957.1428571428601</v>
      </c>
      <c r="G33" s="2">
        <v>2857.1428571428573</v>
      </c>
      <c r="H33">
        <v>110</v>
      </c>
      <c r="I33">
        <v>0.85</v>
      </c>
      <c r="J33">
        <v>0.7</v>
      </c>
      <c r="K33">
        <v>0.99</v>
      </c>
      <c r="L33" t="s">
        <v>21</v>
      </c>
      <c r="M33" t="s">
        <v>17</v>
      </c>
      <c r="N33">
        <v>6</v>
      </c>
      <c r="O33" t="str">
        <f t="shared" si="1"/>
        <v>Q4</v>
      </c>
    </row>
    <row r="34" spans="1:15" x14ac:dyDescent="0.25">
      <c r="A34" s="1">
        <v>45227</v>
      </c>
      <c r="B34" s="1" t="str">
        <f t="shared" ref="B34:B64" si="2">TEXT(A34,"mmm")</f>
        <v>Oct</v>
      </c>
      <c r="C34" s="3">
        <v>2023</v>
      </c>
      <c r="D34" t="s">
        <v>18</v>
      </c>
      <c r="E34">
        <v>2500</v>
      </c>
      <c r="F34" s="2">
        <v>2957.1428571428601</v>
      </c>
      <c r="G34" s="2">
        <v>2857.1428571428573</v>
      </c>
      <c r="H34">
        <v>90</v>
      </c>
      <c r="I34">
        <v>0.92</v>
      </c>
      <c r="J34">
        <v>0.99</v>
      </c>
      <c r="K34">
        <v>0.88</v>
      </c>
      <c r="L34" t="s">
        <v>13</v>
      </c>
      <c r="M34" t="s">
        <v>20</v>
      </c>
      <c r="N34">
        <v>8</v>
      </c>
      <c r="O34" t="str">
        <f t="shared" ref="O34:O64" si="3">_xlfn.XLOOKUP(B34,$T$2:$T$13,$U$2:$U$13,,-1)</f>
        <v>Q3</v>
      </c>
    </row>
    <row r="35" spans="1:15" x14ac:dyDescent="0.25">
      <c r="A35" s="1">
        <v>45103</v>
      </c>
      <c r="B35" s="1" t="str">
        <f t="shared" si="2"/>
        <v>Jun</v>
      </c>
      <c r="C35" s="3">
        <v>2023</v>
      </c>
      <c r="D35" t="s">
        <v>18</v>
      </c>
      <c r="E35">
        <v>2100</v>
      </c>
      <c r="F35" s="2">
        <v>2957.1428571428601</v>
      </c>
      <c r="G35" s="2">
        <v>2857.1428571428573</v>
      </c>
      <c r="H35">
        <v>100</v>
      </c>
      <c r="I35">
        <v>0.75</v>
      </c>
      <c r="J35">
        <v>0.97</v>
      </c>
      <c r="K35">
        <v>0.83</v>
      </c>
      <c r="L35" t="s">
        <v>16</v>
      </c>
      <c r="M35" t="s">
        <v>23</v>
      </c>
      <c r="N35">
        <v>4</v>
      </c>
      <c r="O35" t="str">
        <f t="shared" si="3"/>
        <v>Q1</v>
      </c>
    </row>
    <row r="36" spans="1:15" x14ac:dyDescent="0.25">
      <c r="A36" s="1">
        <v>45243</v>
      </c>
      <c r="B36" s="1" t="str">
        <f t="shared" si="2"/>
        <v>Nov</v>
      </c>
      <c r="C36" s="3">
        <v>2023</v>
      </c>
      <c r="D36" t="s">
        <v>18</v>
      </c>
      <c r="E36">
        <v>2150</v>
      </c>
      <c r="F36" s="2">
        <v>2957.1428571428601</v>
      </c>
      <c r="G36" s="2">
        <v>2857.1428571428573</v>
      </c>
      <c r="H36">
        <v>90</v>
      </c>
      <c r="I36">
        <v>0.77</v>
      </c>
      <c r="J36">
        <v>0.97</v>
      </c>
      <c r="K36">
        <v>0.78</v>
      </c>
      <c r="L36" t="s">
        <v>13</v>
      </c>
      <c r="M36" t="s">
        <v>25</v>
      </c>
      <c r="N36">
        <v>3</v>
      </c>
      <c r="O36" t="str">
        <f t="shared" si="3"/>
        <v>Q3</v>
      </c>
    </row>
    <row r="37" spans="1:15" x14ac:dyDescent="0.25">
      <c r="A37" s="1">
        <v>45107</v>
      </c>
      <c r="B37" s="1" t="str">
        <f t="shared" si="2"/>
        <v>Jun</v>
      </c>
      <c r="C37" s="3">
        <v>2023</v>
      </c>
      <c r="D37" t="s">
        <v>18</v>
      </c>
      <c r="E37">
        <v>2200</v>
      </c>
      <c r="F37" s="2">
        <v>757.142857142857</v>
      </c>
      <c r="G37" s="2">
        <v>857.14285714285711</v>
      </c>
      <c r="H37">
        <v>228</v>
      </c>
      <c r="I37">
        <v>0.79</v>
      </c>
      <c r="J37">
        <v>0.75</v>
      </c>
      <c r="K37">
        <v>0.93</v>
      </c>
      <c r="L37" t="s">
        <v>16</v>
      </c>
      <c r="M37" t="s">
        <v>14</v>
      </c>
      <c r="N37">
        <v>2</v>
      </c>
      <c r="O37" t="str">
        <f t="shared" si="3"/>
        <v>Q1</v>
      </c>
    </row>
    <row r="38" spans="1:15" x14ac:dyDescent="0.25">
      <c r="A38" s="1">
        <v>45030</v>
      </c>
      <c r="B38" s="1" t="str">
        <f t="shared" si="2"/>
        <v>Apr</v>
      </c>
      <c r="C38" s="3">
        <v>2023</v>
      </c>
      <c r="D38" t="s">
        <v>15</v>
      </c>
      <c r="E38">
        <v>1800</v>
      </c>
      <c r="F38" s="2">
        <v>757.142857142857</v>
      </c>
      <c r="G38" s="2">
        <v>857.14285714285711</v>
      </c>
      <c r="H38">
        <v>220</v>
      </c>
      <c r="I38">
        <v>0.81</v>
      </c>
      <c r="J38">
        <v>0.98</v>
      </c>
      <c r="K38">
        <v>0.86</v>
      </c>
      <c r="L38" t="s">
        <v>19</v>
      </c>
      <c r="M38" t="s">
        <v>17</v>
      </c>
      <c r="N38">
        <v>7</v>
      </c>
      <c r="O38" t="str">
        <f t="shared" si="3"/>
        <v>Q1</v>
      </c>
    </row>
    <row r="39" spans="1:15" x14ac:dyDescent="0.25">
      <c r="A39" s="1">
        <v>45266</v>
      </c>
      <c r="B39" s="1" t="str">
        <f t="shared" si="2"/>
        <v>Dec</v>
      </c>
      <c r="C39" s="3">
        <v>2023</v>
      </c>
      <c r="D39" t="s">
        <v>24</v>
      </c>
      <c r="E39">
        <v>1800</v>
      </c>
      <c r="F39" s="2">
        <v>757.142857142857</v>
      </c>
      <c r="G39" s="2">
        <v>857.14285714285711</v>
      </c>
      <c r="H39">
        <v>228</v>
      </c>
      <c r="I39">
        <v>0.86</v>
      </c>
      <c r="J39">
        <v>0.82</v>
      </c>
      <c r="K39">
        <v>0.86</v>
      </c>
      <c r="L39" t="s">
        <v>21</v>
      </c>
      <c r="M39" t="s">
        <v>20</v>
      </c>
      <c r="N39">
        <v>9</v>
      </c>
      <c r="O39" t="str">
        <f t="shared" si="3"/>
        <v>Q3</v>
      </c>
    </row>
    <row r="40" spans="1:15" x14ac:dyDescent="0.25">
      <c r="A40" s="1">
        <v>45054</v>
      </c>
      <c r="B40" s="1" t="str">
        <f t="shared" si="2"/>
        <v>May</v>
      </c>
      <c r="C40" s="3">
        <v>2023</v>
      </c>
      <c r="D40" t="s">
        <v>12</v>
      </c>
      <c r="E40">
        <v>1414</v>
      </c>
      <c r="F40" s="2">
        <v>757.142857142857</v>
      </c>
      <c r="G40" s="2">
        <v>857.14285714285711</v>
      </c>
      <c r="H40">
        <v>238</v>
      </c>
      <c r="I40">
        <v>0.72</v>
      </c>
      <c r="J40">
        <v>0.95</v>
      </c>
      <c r="K40">
        <v>0.9</v>
      </c>
      <c r="L40" t="s">
        <v>22</v>
      </c>
      <c r="M40" t="s">
        <v>23</v>
      </c>
      <c r="N40">
        <v>5</v>
      </c>
      <c r="O40" t="str">
        <f t="shared" si="3"/>
        <v>Q1</v>
      </c>
    </row>
    <row r="41" spans="1:15" x14ac:dyDescent="0.25">
      <c r="A41" s="1">
        <v>45019</v>
      </c>
      <c r="B41" s="1" t="str">
        <f t="shared" si="2"/>
        <v>Apr</v>
      </c>
      <c r="C41" s="3">
        <v>2023</v>
      </c>
      <c r="D41" t="s">
        <v>18</v>
      </c>
      <c r="E41">
        <v>2100</v>
      </c>
      <c r="F41" s="2">
        <v>757.142857142857</v>
      </c>
      <c r="G41" s="2">
        <v>857.14285714285711</v>
      </c>
      <c r="H41">
        <v>228</v>
      </c>
      <c r="I41">
        <v>0.71</v>
      </c>
      <c r="J41">
        <v>0.8</v>
      </c>
      <c r="K41">
        <v>0.76</v>
      </c>
      <c r="L41" t="s">
        <v>22</v>
      </c>
      <c r="M41" t="s">
        <v>25</v>
      </c>
      <c r="N41">
        <v>5</v>
      </c>
      <c r="O41" t="str">
        <f t="shared" si="3"/>
        <v>Q1</v>
      </c>
    </row>
    <row r="42" spans="1:15" x14ac:dyDescent="0.25">
      <c r="A42" s="1">
        <v>45078</v>
      </c>
      <c r="B42" s="1" t="str">
        <f t="shared" si="2"/>
        <v>Jun</v>
      </c>
      <c r="C42" s="3">
        <v>2023</v>
      </c>
      <c r="D42" t="s">
        <v>18</v>
      </c>
      <c r="E42">
        <v>2500</v>
      </c>
      <c r="F42" s="2">
        <v>757.142857142857</v>
      </c>
      <c r="G42" s="2">
        <v>857.14285714285711</v>
      </c>
      <c r="H42">
        <v>230</v>
      </c>
      <c r="I42">
        <v>0.97</v>
      </c>
      <c r="J42">
        <v>0.95</v>
      </c>
      <c r="K42">
        <v>0.85</v>
      </c>
      <c r="L42" t="s">
        <v>22</v>
      </c>
      <c r="M42" t="s">
        <v>14</v>
      </c>
      <c r="N42">
        <v>8</v>
      </c>
      <c r="O42" t="str">
        <f t="shared" si="3"/>
        <v>Q1</v>
      </c>
    </row>
    <row r="43" spans="1:15" x14ac:dyDescent="0.25">
      <c r="A43" s="1">
        <v>45233</v>
      </c>
      <c r="B43" s="1" t="str">
        <f t="shared" si="2"/>
        <v>Nov</v>
      </c>
      <c r="C43" s="3">
        <v>2023</v>
      </c>
      <c r="D43" t="s">
        <v>24</v>
      </c>
      <c r="E43">
        <v>2200</v>
      </c>
      <c r="F43" s="2">
        <v>757.142857142857</v>
      </c>
      <c r="G43" s="2">
        <v>857.14285714285711</v>
      </c>
      <c r="H43">
        <v>228</v>
      </c>
      <c r="I43">
        <v>0.95</v>
      </c>
      <c r="J43">
        <v>0.85</v>
      </c>
      <c r="K43">
        <v>0.91</v>
      </c>
      <c r="L43" t="s">
        <v>19</v>
      </c>
      <c r="M43" t="s">
        <v>17</v>
      </c>
      <c r="N43">
        <v>4</v>
      </c>
      <c r="O43" t="str">
        <f t="shared" si="3"/>
        <v>Q3</v>
      </c>
    </row>
    <row r="44" spans="1:15" x14ac:dyDescent="0.25">
      <c r="A44" s="1">
        <v>45060</v>
      </c>
      <c r="B44" s="1" t="str">
        <f t="shared" si="2"/>
        <v>May</v>
      </c>
      <c r="C44" s="3">
        <v>2023</v>
      </c>
      <c r="D44" t="s">
        <v>12</v>
      </c>
      <c r="E44">
        <v>2500</v>
      </c>
      <c r="F44" s="2">
        <v>914.28571428571399</v>
      </c>
      <c r="G44" s="2">
        <v>714.28571428571433</v>
      </c>
      <c r="H44">
        <v>250</v>
      </c>
      <c r="I44">
        <v>0.97</v>
      </c>
      <c r="J44">
        <v>0.7</v>
      </c>
      <c r="K44">
        <v>0.93</v>
      </c>
      <c r="L44" t="s">
        <v>19</v>
      </c>
      <c r="M44" t="s">
        <v>20</v>
      </c>
      <c r="N44">
        <v>3</v>
      </c>
      <c r="O44" t="str">
        <f t="shared" si="3"/>
        <v>Q1</v>
      </c>
    </row>
    <row r="45" spans="1:15" x14ac:dyDescent="0.25">
      <c r="A45" s="1">
        <v>45225</v>
      </c>
      <c r="B45" s="1" t="str">
        <f t="shared" si="2"/>
        <v>Oct</v>
      </c>
      <c r="C45" s="3">
        <v>2023</v>
      </c>
      <c r="D45" t="s">
        <v>18</v>
      </c>
      <c r="E45">
        <v>2200</v>
      </c>
      <c r="F45" s="2">
        <v>914.28571428571399</v>
      </c>
      <c r="G45" s="2">
        <v>714.28571428571433</v>
      </c>
      <c r="H45">
        <v>240</v>
      </c>
      <c r="I45">
        <v>0.9</v>
      </c>
      <c r="J45">
        <v>0.98</v>
      </c>
      <c r="K45">
        <v>0.96</v>
      </c>
      <c r="L45" t="s">
        <v>19</v>
      </c>
      <c r="M45" t="s">
        <v>23</v>
      </c>
      <c r="N45">
        <v>2</v>
      </c>
      <c r="O45" t="str">
        <f t="shared" si="3"/>
        <v>Q3</v>
      </c>
    </row>
    <row r="46" spans="1:15" x14ac:dyDescent="0.25">
      <c r="A46" s="1">
        <v>45226</v>
      </c>
      <c r="B46" s="1" t="str">
        <f t="shared" si="2"/>
        <v>Oct</v>
      </c>
      <c r="C46" s="3">
        <v>2023</v>
      </c>
      <c r="D46" t="s">
        <v>12</v>
      </c>
      <c r="E46">
        <v>2500</v>
      </c>
      <c r="F46" s="2">
        <v>914.28571428571399</v>
      </c>
      <c r="G46" s="2">
        <v>714.28571428571433</v>
      </c>
      <c r="H46">
        <v>270</v>
      </c>
      <c r="I46">
        <v>0.9</v>
      </c>
      <c r="J46">
        <v>0.95</v>
      </c>
      <c r="K46">
        <v>0.98</v>
      </c>
      <c r="L46" t="s">
        <v>19</v>
      </c>
      <c r="M46" t="s">
        <v>25</v>
      </c>
      <c r="N46">
        <v>3</v>
      </c>
      <c r="O46" t="str">
        <f t="shared" si="3"/>
        <v>Q3</v>
      </c>
    </row>
    <row r="47" spans="1:15" x14ac:dyDescent="0.25">
      <c r="A47" s="1">
        <v>44954</v>
      </c>
      <c r="B47" s="1" t="str">
        <f t="shared" si="2"/>
        <v>Jan</v>
      </c>
      <c r="C47" s="3">
        <v>2023</v>
      </c>
      <c r="D47" t="s">
        <v>15</v>
      </c>
      <c r="E47">
        <v>2000</v>
      </c>
      <c r="F47" s="2">
        <v>914.28571428571399</v>
      </c>
      <c r="G47" s="2">
        <v>714.28571428571433</v>
      </c>
      <c r="H47">
        <v>259</v>
      </c>
      <c r="I47">
        <v>0.96</v>
      </c>
      <c r="J47">
        <v>0.81</v>
      </c>
      <c r="K47">
        <v>0.85</v>
      </c>
      <c r="L47" t="s">
        <v>19</v>
      </c>
      <c r="M47" t="s">
        <v>14</v>
      </c>
      <c r="N47">
        <v>9</v>
      </c>
      <c r="O47" t="str">
        <f t="shared" si="3"/>
        <v>Q4</v>
      </c>
    </row>
    <row r="48" spans="1:15" x14ac:dyDescent="0.25">
      <c r="A48" s="1">
        <v>44955</v>
      </c>
      <c r="B48" s="1" t="str">
        <f t="shared" si="2"/>
        <v>Jan</v>
      </c>
      <c r="C48" s="3">
        <v>2023</v>
      </c>
      <c r="D48" t="s">
        <v>15</v>
      </c>
      <c r="E48">
        <v>2500</v>
      </c>
      <c r="F48" s="2">
        <v>914.28571428571399</v>
      </c>
      <c r="G48" s="2">
        <v>714.28571428571433</v>
      </c>
      <c r="H48">
        <v>260</v>
      </c>
      <c r="I48">
        <v>0.98</v>
      </c>
      <c r="J48">
        <v>0.84</v>
      </c>
      <c r="K48">
        <v>0.89</v>
      </c>
      <c r="L48" t="s">
        <v>19</v>
      </c>
      <c r="M48" t="s">
        <v>14</v>
      </c>
      <c r="N48">
        <v>5</v>
      </c>
      <c r="O48" t="str">
        <f t="shared" si="3"/>
        <v>Q4</v>
      </c>
    </row>
    <row r="49" spans="1:15" x14ac:dyDescent="0.25">
      <c r="A49" s="1">
        <v>44956</v>
      </c>
      <c r="B49" s="1" t="str">
        <f t="shared" si="2"/>
        <v>Jan</v>
      </c>
      <c r="C49" s="3">
        <v>2023</v>
      </c>
      <c r="D49" t="s">
        <v>15</v>
      </c>
      <c r="E49">
        <v>2500</v>
      </c>
      <c r="F49" s="2">
        <v>914.28571428571399</v>
      </c>
      <c r="G49" s="2">
        <v>714.28571428571433</v>
      </c>
      <c r="H49">
        <v>260</v>
      </c>
      <c r="I49">
        <v>0.76</v>
      </c>
      <c r="J49">
        <v>0.7</v>
      </c>
      <c r="K49">
        <v>0.86</v>
      </c>
      <c r="L49" t="s">
        <v>19</v>
      </c>
      <c r="M49" t="s">
        <v>20</v>
      </c>
      <c r="N49">
        <v>6</v>
      </c>
      <c r="O49" t="str">
        <f t="shared" si="3"/>
        <v>Q4</v>
      </c>
    </row>
    <row r="50" spans="1:15" x14ac:dyDescent="0.25">
      <c r="A50" s="1">
        <v>44957</v>
      </c>
      <c r="B50" s="1" t="str">
        <f t="shared" si="2"/>
        <v>Jan</v>
      </c>
      <c r="C50" s="3">
        <v>2023</v>
      </c>
      <c r="D50" t="s">
        <v>12</v>
      </c>
      <c r="E50">
        <v>2500</v>
      </c>
      <c r="F50" s="2">
        <v>914.28571428571399</v>
      </c>
      <c r="G50" s="2">
        <v>714.28571428571433</v>
      </c>
      <c r="H50">
        <v>261</v>
      </c>
      <c r="I50">
        <v>0.91</v>
      </c>
      <c r="J50">
        <v>0.77</v>
      </c>
      <c r="K50">
        <v>0.75</v>
      </c>
      <c r="L50" t="s">
        <v>13</v>
      </c>
      <c r="M50" t="s">
        <v>23</v>
      </c>
      <c r="N50">
        <v>8</v>
      </c>
      <c r="O50" t="str">
        <f t="shared" si="3"/>
        <v>Q4</v>
      </c>
    </row>
    <row r="51" spans="1:15" x14ac:dyDescent="0.25">
      <c r="A51" s="1">
        <v>45231</v>
      </c>
      <c r="B51" s="1" t="str">
        <f t="shared" si="2"/>
        <v>Nov</v>
      </c>
      <c r="C51" s="3">
        <v>2023</v>
      </c>
      <c r="D51" t="s">
        <v>12</v>
      </c>
      <c r="E51">
        <v>2500</v>
      </c>
      <c r="F51" s="2">
        <v>914.28571428571399</v>
      </c>
      <c r="G51" s="2">
        <v>714.28571428571433</v>
      </c>
      <c r="H51">
        <v>242</v>
      </c>
      <c r="I51">
        <v>0.79</v>
      </c>
      <c r="J51">
        <v>0.81</v>
      </c>
      <c r="K51">
        <v>0.74</v>
      </c>
      <c r="L51" t="s">
        <v>16</v>
      </c>
      <c r="M51" t="s">
        <v>25</v>
      </c>
      <c r="N51">
        <v>4</v>
      </c>
      <c r="O51" t="str">
        <f t="shared" si="3"/>
        <v>Q3</v>
      </c>
    </row>
    <row r="52" spans="1:15" x14ac:dyDescent="0.25">
      <c r="A52" s="1">
        <v>45232</v>
      </c>
      <c r="B52" s="1" t="str">
        <f t="shared" si="2"/>
        <v>Nov</v>
      </c>
      <c r="C52" s="3">
        <v>2023</v>
      </c>
      <c r="D52" t="s">
        <v>12</v>
      </c>
      <c r="E52">
        <v>2250</v>
      </c>
      <c r="F52" s="2">
        <v>914.28571428571399</v>
      </c>
      <c r="G52" s="2">
        <v>714.28571428571433</v>
      </c>
      <c r="H52">
        <v>250</v>
      </c>
      <c r="I52">
        <v>0.85</v>
      </c>
      <c r="J52">
        <v>0.82</v>
      </c>
      <c r="K52">
        <v>0.73</v>
      </c>
      <c r="L52" t="s">
        <v>19</v>
      </c>
      <c r="M52" t="s">
        <v>14</v>
      </c>
      <c r="N52">
        <v>3</v>
      </c>
      <c r="O52" t="str">
        <f t="shared" si="3"/>
        <v>Q3</v>
      </c>
    </row>
    <row r="53" spans="1:15" x14ac:dyDescent="0.25">
      <c r="A53" s="1">
        <v>45233</v>
      </c>
      <c r="B53" s="1" t="str">
        <f t="shared" si="2"/>
        <v>Nov</v>
      </c>
      <c r="C53" s="3">
        <v>2023</v>
      </c>
      <c r="D53" t="s">
        <v>12</v>
      </c>
      <c r="E53">
        <v>2500</v>
      </c>
      <c r="F53" s="2">
        <v>914.28571428571399</v>
      </c>
      <c r="G53" s="2">
        <v>714.28571428571433</v>
      </c>
      <c r="H53">
        <v>242</v>
      </c>
      <c r="I53">
        <v>0.88</v>
      </c>
      <c r="J53">
        <v>0.84</v>
      </c>
      <c r="K53">
        <v>0.75</v>
      </c>
      <c r="L53" t="s">
        <v>21</v>
      </c>
      <c r="M53" t="s">
        <v>17</v>
      </c>
      <c r="N53">
        <v>2</v>
      </c>
      <c r="O53" t="str">
        <f t="shared" si="3"/>
        <v>Q3</v>
      </c>
    </row>
    <row r="54" spans="1:15" x14ac:dyDescent="0.25">
      <c r="A54" s="1">
        <v>45060</v>
      </c>
      <c r="B54" s="1" t="str">
        <f t="shared" si="2"/>
        <v>May</v>
      </c>
      <c r="C54" s="3">
        <v>2023</v>
      </c>
      <c r="D54" t="s">
        <v>12</v>
      </c>
      <c r="E54">
        <v>2500</v>
      </c>
      <c r="F54" s="2">
        <v>914.28571428571399</v>
      </c>
      <c r="G54" s="2">
        <v>714.28571428571433</v>
      </c>
      <c r="H54">
        <v>242</v>
      </c>
      <c r="I54">
        <v>0.81</v>
      </c>
      <c r="J54">
        <v>0.92</v>
      </c>
      <c r="K54">
        <v>0.91</v>
      </c>
      <c r="L54" t="s">
        <v>13</v>
      </c>
      <c r="M54" t="s">
        <v>20</v>
      </c>
      <c r="N54">
        <v>7</v>
      </c>
      <c r="O54" t="str">
        <f t="shared" si="3"/>
        <v>Q1</v>
      </c>
    </row>
    <row r="55" spans="1:15" x14ac:dyDescent="0.25">
      <c r="A55" s="1">
        <v>45225</v>
      </c>
      <c r="B55" s="1" t="str">
        <f t="shared" si="2"/>
        <v>Oct</v>
      </c>
      <c r="C55" s="3">
        <v>2023</v>
      </c>
      <c r="D55" t="s">
        <v>18</v>
      </c>
      <c r="E55">
        <v>2500</v>
      </c>
      <c r="F55" s="2">
        <v>914.28571428571399</v>
      </c>
      <c r="G55" s="2">
        <v>714.28571428571433</v>
      </c>
      <c r="H55">
        <v>242</v>
      </c>
      <c r="I55">
        <v>0.84</v>
      </c>
      <c r="J55">
        <v>0.73</v>
      </c>
      <c r="K55">
        <v>0.99</v>
      </c>
      <c r="L55" t="s">
        <v>16</v>
      </c>
      <c r="M55" t="s">
        <v>23</v>
      </c>
      <c r="N55">
        <v>9</v>
      </c>
      <c r="O55" t="str">
        <f t="shared" si="3"/>
        <v>Q3</v>
      </c>
    </row>
    <row r="56" spans="1:15" x14ac:dyDescent="0.25">
      <c r="A56" s="1">
        <v>44995</v>
      </c>
      <c r="B56" s="1" t="str">
        <f t="shared" si="2"/>
        <v>Mar</v>
      </c>
      <c r="C56" s="3">
        <v>2023</v>
      </c>
      <c r="D56" t="s">
        <v>18</v>
      </c>
      <c r="E56">
        <v>2500</v>
      </c>
      <c r="F56" s="2">
        <v>914.28571428571399</v>
      </c>
      <c r="G56" s="2">
        <v>714.28571428571433</v>
      </c>
      <c r="H56">
        <v>240</v>
      </c>
      <c r="I56">
        <v>0.93</v>
      </c>
      <c r="J56">
        <v>0.79</v>
      </c>
      <c r="K56">
        <v>0.72</v>
      </c>
      <c r="L56" t="s">
        <v>19</v>
      </c>
      <c r="M56" t="s">
        <v>25</v>
      </c>
      <c r="N56">
        <v>5</v>
      </c>
      <c r="O56" t="str">
        <f t="shared" si="3"/>
        <v>Q4</v>
      </c>
    </row>
    <row r="57" spans="1:15" x14ac:dyDescent="0.25">
      <c r="A57" s="1">
        <v>45044</v>
      </c>
      <c r="B57" s="1" t="str">
        <f t="shared" si="2"/>
        <v>Apr</v>
      </c>
      <c r="C57" s="3">
        <v>2023</v>
      </c>
      <c r="D57" t="s">
        <v>18</v>
      </c>
      <c r="E57">
        <v>2500</v>
      </c>
      <c r="F57" s="2">
        <v>914.28571428571399</v>
      </c>
      <c r="G57" s="2">
        <v>714.28571428571433</v>
      </c>
      <c r="H57">
        <v>242</v>
      </c>
      <c r="I57">
        <v>0.84</v>
      </c>
      <c r="J57">
        <v>0.79</v>
      </c>
      <c r="K57">
        <v>0.8</v>
      </c>
      <c r="L57" t="s">
        <v>21</v>
      </c>
      <c r="M57" t="s">
        <v>14</v>
      </c>
      <c r="N57">
        <v>6</v>
      </c>
      <c r="O57" t="str">
        <f t="shared" si="3"/>
        <v>Q1</v>
      </c>
    </row>
    <row r="58" spans="1:15" x14ac:dyDescent="0.25">
      <c r="A58" s="1">
        <v>44945</v>
      </c>
      <c r="B58" s="1" t="str">
        <f t="shared" si="2"/>
        <v>Jan</v>
      </c>
      <c r="C58" s="3">
        <v>2023</v>
      </c>
      <c r="D58" t="s">
        <v>18</v>
      </c>
      <c r="E58">
        <v>2200</v>
      </c>
      <c r="F58" s="2">
        <v>385.71428571428601</v>
      </c>
      <c r="G58" s="2">
        <v>285.71428571428572</v>
      </c>
      <c r="H58">
        <v>285</v>
      </c>
      <c r="I58">
        <v>0.85</v>
      </c>
      <c r="J58">
        <v>0.91</v>
      </c>
      <c r="K58">
        <v>0.84</v>
      </c>
      <c r="L58" t="s">
        <v>13</v>
      </c>
      <c r="M58" t="s">
        <v>17</v>
      </c>
      <c r="N58">
        <v>8</v>
      </c>
      <c r="O58" t="str">
        <f t="shared" si="3"/>
        <v>Q4</v>
      </c>
    </row>
    <row r="59" spans="1:15" x14ac:dyDescent="0.25">
      <c r="A59" s="1">
        <v>45160</v>
      </c>
      <c r="B59" s="1" t="str">
        <f t="shared" si="2"/>
        <v>Aug</v>
      </c>
      <c r="C59" s="3">
        <v>2023</v>
      </c>
      <c r="D59" t="s">
        <v>15</v>
      </c>
      <c r="E59">
        <v>2150</v>
      </c>
      <c r="F59" s="2">
        <v>385.71428571428601</v>
      </c>
      <c r="G59" s="2">
        <v>285.71428571428572</v>
      </c>
      <c r="H59">
        <v>275</v>
      </c>
      <c r="I59">
        <v>0.86</v>
      </c>
      <c r="J59">
        <v>0.75</v>
      </c>
      <c r="K59">
        <v>0.96</v>
      </c>
      <c r="L59" t="s">
        <v>19</v>
      </c>
      <c r="M59" t="s">
        <v>20</v>
      </c>
      <c r="N59">
        <v>4</v>
      </c>
      <c r="O59" t="str">
        <f t="shared" si="3"/>
        <v>Q2</v>
      </c>
    </row>
    <row r="60" spans="1:15" x14ac:dyDescent="0.25">
      <c r="A60" s="1">
        <v>45147</v>
      </c>
      <c r="B60" s="1" t="str">
        <f t="shared" si="2"/>
        <v>Aug</v>
      </c>
      <c r="C60" s="3">
        <v>2023</v>
      </c>
      <c r="D60" t="s">
        <v>24</v>
      </c>
      <c r="E60">
        <v>2400</v>
      </c>
      <c r="F60" s="2">
        <v>385.71428571428601</v>
      </c>
      <c r="G60" s="2">
        <v>285.71428571428572</v>
      </c>
      <c r="H60">
        <v>285</v>
      </c>
      <c r="I60">
        <v>0.96</v>
      </c>
      <c r="J60">
        <v>0.77</v>
      </c>
      <c r="K60">
        <v>0.92</v>
      </c>
      <c r="L60" t="s">
        <v>21</v>
      </c>
      <c r="M60" t="s">
        <v>23</v>
      </c>
      <c r="N60">
        <v>3</v>
      </c>
      <c r="O60" t="str">
        <f t="shared" si="3"/>
        <v>Q2</v>
      </c>
    </row>
    <row r="61" spans="1:15" x14ac:dyDescent="0.25">
      <c r="A61" s="1">
        <v>45078</v>
      </c>
      <c r="B61" s="1" t="str">
        <f t="shared" si="2"/>
        <v>Jun</v>
      </c>
      <c r="C61" s="3">
        <v>2023</v>
      </c>
      <c r="D61" t="s">
        <v>18</v>
      </c>
      <c r="E61">
        <v>2450</v>
      </c>
      <c r="F61" s="2">
        <v>385.71428571428601</v>
      </c>
      <c r="G61" s="2">
        <v>285.71428571428572</v>
      </c>
      <c r="H61">
        <v>290</v>
      </c>
      <c r="I61">
        <v>0.99</v>
      </c>
      <c r="J61">
        <v>0.97</v>
      </c>
      <c r="K61">
        <v>0.73</v>
      </c>
      <c r="L61" t="s">
        <v>13</v>
      </c>
      <c r="M61" t="s">
        <v>25</v>
      </c>
      <c r="N61">
        <v>2</v>
      </c>
      <c r="O61" t="str">
        <f t="shared" si="3"/>
        <v>Q1</v>
      </c>
    </row>
    <row r="62" spans="1:15" x14ac:dyDescent="0.25">
      <c r="A62" s="1">
        <v>44986</v>
      </c>
      <c r="B62" s="1" t="str">
        <f t="shared" si="2"/>
        <v>Mar</v>
      </c>
      <c r="C62" s="3">
        <v>2023</v>
      </c>
      <c r="D62" t="s">
        <v>15</v>
      </c>
      <c r="E62">
        <v>2500</v>
      </c>
      <c r="F62" s="2">
        <v>385.71428571428601</v>
      </c>
      <c r="G62" s="2">
        <v>285.71428571428572</v>
      </c>
      <c r="H62">
        <v>310</v>
      </c>
      <c r="I62">
        <v>0.77</v>
      </c>
      <c r="J62">
        <v>0.72</v>
      </c>
      <c r="K62">
        <v>0.85</v>
      </c>
      <c r="L62" t="s">
        <v>16</v>
      </c>
      <c r="M62" t="s">
        <v>14</v>
      </c>
      <c r="N62">
        <v>7</v>
      </c>
      <c r="O62" t="str">
        <f t="shared" si="3"/>
        <v>Q4</v>
      </c>
    </row>
    <row r="63" spans="1:15" x14ac:dyDescent="0.25">
      <c r="A63" s="1">
        <v>45257</v>
      </c>
      <c r="B63" s="1" t="str">
        <f t="shared" si="2"/>
        <v>Nov</v>
      </c>
      <c r="C63" s="3">
        <v>2023</v>
      </c>
      <c r="D63" t="s">
        <v>24</v>
      </c>
      <c r="E63">
        <v>2450</v>
      </c>
      <c r="F63" s="2">
        <v>385.71428571428601</v>
      </c>
      <c r="G63" s="2">
        <v>285.71428571428572</v>
      </c>
      <c r="H63">
        <v>270</v>
      </c>
      <c r="I63">
        <v>0.77</v>
      </c>
      <c r="J63">
        <v>0.96</v>
      </c>
      <c r="K63">
        <v>0.78</v>
      </c>
      <c r="L63" t="s">
        <v>19</v>
      </c>
      <c r="M63" t="s">
        <v>17</v>
      </c>
      <c r="N63">
        <v>9</v>
      </c>
      <c r="O63" t="str">
        <f t="shared" si="3"/>
        <v>Q3</v>
      </c>
    </row>
    <row r="64" spans="1:15" x14ac:dyDescent="0.25">
      <c r="A64" s="1">
        <v>45213</v>
      </c>
      <c r="B64" s="1" t="str">
        <f t="shared" si="2"/>
        <v>Oct</v>
      </c>
      <c r="C64" s="3">
        <v>2023</v>
      </c>
      <c r="D64" t="s">
        <v>18</v>
      </c>
      <c r="E64">
        <v>2400</v>
      </c>
      <c r="F64" s="2">
        <v>385.71428571428601</v>
      </c>
      <c r="G64" s="2">
        <v>285.71428571428572</v>
      </c>
      <c r="H64">
        <v>285</v>
      </c>
      <c r="I64">
        <v>0.78</v>
      </c>
      <c r="J64">
        <v>0.8</v>
      </c>
      <c r="K64">
        <v>0.85</v>
      </c>
      <c r="L64" t="s">
        <v>21</v>
      </c>
      <c r="M64" t="s">
        <v>20</v>
      </c>
      <c r="N64">
        <v>5</v>
      </c>
      <c r="O64" t="str">
        <f t="shared" si="3"/>
        <v>Q3</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E3C62-FA56-487E-BB42-9F99235BA278}">
  <dimension ref="A1:X23"/>
  <sheetViews>
    <sheetView showGridLines="0" topLeftCell="A3" workbookViewId="0">
      <selection activeCell="E16" sqref="E16"/>
    </sheetView>
  </sheetViews>
  <sheetFormatPr defaultRowHeight="15" x14ac:dyDescent="0.25"/>
  <cols>
    <col min="1" max="1" width="25.140625" bestFit="1" customWidth="1"/>
    <col min="2" max="2" width="4.5703125" bestFit="1" customWidth="1"/>
    <col min="3" max="3" width="12.7109375" bestFit="1" customWidth="1"/>
    <col min="4" max="4" width="2.85546875" customWidth="1"/>
    <col min="5" max="5" width="23.42578125" bestFit="1" customWidth="1"/>
    <col min="6" max="6" width="12.7109375" bestFit="1" customWidth="1"/>
    <col min="7" max="7" width="18.85546875" bestFit="1" customWidth="1"/>
    <col min="8" max="8" width="1.5703125" style="9" customWidth="1"/>
    <col min="9" max="9" width="13.42578125" bestFit="1" customWidth="1"/>
    <col min="10" max="10" width="12.5703125" bestFit="1" customWidth="1"/>
    <col min="11" max="11" width="18.85546875" bestFit="1" customWidth="1"/>
    <col min="12" max="12" width="3.5703125" customWidth="1"/>
    <col min="13" max="13" width="11.140625" bestFit="1" customWidth="1"/>
    <col min="14" max="14" width="12.5703125" bestFit="1" customWidth="1"/>
    <col min="15" max="15" width="18.85546875" bestFit="1" customWidth="1"/>
    <col min="16" max="16" width="1.5703125" style="9" customWidth="1"/>
    <col min="17" max="17" width="11.140625" bestFit="1" customWidth="1"/>
    <col min="18" max="18" width="23.42578125" bestFit="1" customWidth="1"/>
    <col min="19" max="19" width="1.42578125" customWidth="1"/>
    <col min="20" max="20" width="11.140625" bestFit="1" customWidth="1"/>
    <col min="21" max="21" width="26.42578125" customWidth="1"/>
    <col min="22" max="22" width="1.5703125" style="9" customWidth="1"/>
    <col min="23" max="23" width="14.5703125" customWidth="1"/>
    <col min="24" max="24" width="12.5703125" bestFit="1" customWidth="1"/>
    <col min="25" max="28" width="3" bestFit="1" customWidth="1"/>
    <col min="29" max="45" width="4" bestFit="1" customWidth="1"/>
    <col min="46" max="46" width="10.42578125" bestFit="1" customWidth="1"/>
  </cols>
  <sheetData>
    <row r="1" spans="1:24" ht="21" x14ac:dyDescent="0.35">
      <c r="A1" s="15" t="s">
        <v>33</v>
      </c>
      <c r="B1" s="15"/>
      <c r="C1" s="15"/>
      <c r="D1" s="15"/>
      <c r="E1" s="15"/>
      <c r="F1" s="15"/>
      <c r="G1" s="15"/>
      <c r="H1" s="8"/>
      <c r="I1" s="15" t="s">
        <v>49</v>
      </c>
      <c r="J1" s="15"/>
      <c r="K1" s="15"/>
      <c r="L1" s="15"/>
      <c r="M1" s="15"/>
      <c r="N1" s="15"/>
      <c r="O1" s="15"/>
      <c r="P1" s="8"/>
      <c r="Q1" s="15" t="s">
        <v>29</v>
      </c>
      <c r="R1" s="15"/>
      <c r="S1" s="15"/>
      <c r="T1" s="15"/>
      <c r="U1" s="15"/>
      <c r="V1" s="8"/>
      <c r="W1" s="15" t="s">
        <v>9</v>
      </c>
      <c r="X1" s="15"/>
    </row>
    <row r="3" spans="1:24" ht="18.75" x14ac:dyDescent="0.25">
      <c r="A3" s="5" t="s">
        <v>2</v>
      </c>
      <c r="C3" s="5" t="s">
        <v>3</v>
      </c>
      <c r="E3" s="5" t="s">
        <v>29</v>
      </c>
      <c r="G3" s="7" t="s">
        <v>4</v>
      </c>
      <c r="I3" s="14" t="s">
        <v>47</v>
      </c>
      <c r="J3" s="14"/>
      <c r="K3" s="14"/>
      <c r="M3" s="14" t="s">
        <v>52</v>
      </c>
      <c r="N3" s="14"/>
      <c r="O3" s="14"/>
      <c r="Q3" s="14" t="s">
        <v>48</v>
      </c>
      <c r="R3" s="14"/>
      <c r="T3" s="14" t="s">
        <v>51</v>
      </c>
      <c r="U3" s="14"/>
      <c r="W3" s="14" t="s">
        <v>53</v>
      </c>
      <c r="X3" s="14"/>
    </row>
    <row r="5" spans="1:24" x14ac:dyDescent="0.25">
      <c r="A5" t="s">
        <v>28</v>
      </c>
      <c r="C5" t="s">
        <v>30</v>
      </c>
      <c r="E5" t="s">
        <v>32</v>
      </c>
      <c r="G5" t="s">
        <v>31</v>
      </c>
      <c r="I5" s="4" t="s">
        <v>34</v>
      </c>
      <c r="J5" t="s">
        <v>28</v>
      </c>
      <c r="K5" t="s">
        <v>31</v>
      </c>
      <c r="M5" s="4" t="s">
        <v>34</v>
      </c>
      <c r="N5" t="s">
        <v>28</v>
      </c>
      <c r="O5" t="s">
        <v>31</v>
      </c>
      <c r="Q5" s="4" t="s">
        <v>34</v>
      </c>
      <c r="R5" t="s">
        <v>32</v>
      </c>
      <c r="T5" s="4" t="s">
        <v>34</v>
      </c>
      <c r="U5" t="s">
        <v>50</v>
      </c>
      <c r="W5" s="4" t="s">
        <v>34</v>
      </c>
      <c r="X5" t="s">
        <v>28</v>
      </c>
    </row>
    <row r="6" spans="1:24" x14ac:dyDescent="0.25">
      <c r="A6" s="13">
        <v>157361</v>
      </c>
      <c r="C6" s="13">
        <v>113300.8571428571</v>
      </c>
      <c r="E6" s="3">
        <v>9360</v>
      </c>
      <c r="G6" s="13">
        <v>166999.00000000015</v>
      </c>
      <c r="I6" s="6" t="s">
        <v>35</v>
      </c>
      <c r="J6" s="13">
        <v>12900</v>
      </c>
      <c r="K6" s="13">
        <v>6000.0000000000009</v>
      </c>
      <c r="L6" s="2"/>
      <c r="M6" s="6" t="s">
        <v>12</v>
      </c>
      <c r="N6" s="13">
        <v>50045</v>
      </c>
      <c r="O6" s="13">
        <v>64142.714285714283</v>
      </c>
      <c r="Q6" s="6" t="s">
        <v>35</v>
      </c>
      <c r="R6" s="3">
        <v>1435</v>
      </c>
      <c r="T6" s="6" t="s">
        <v>25</v>
      </c>
      <c r="U6" s="3">
        <v>41</v>
      </c>
      <c r="W6" s="6" t="s">
        <v>13</v>
      </c>
      <c r="X6" s="12">
        <v>30381</v>
      </c>
    </row>
    <row r="7" spans="1:24" x14ac:dyDescent="0.25">
      <c r="I7" s="6" t="s">
        <v>36</v>
      </c>
      <c r="J7" s="13">
        <v>11256</v>
      </c>
      <c r="K7" s="13">
        <v>24285.28571428571</v>
      </c>
      <c r="L7" s="2"/>
      <c r="M7" s="6" t="s">
        <v>24</v>
      </c>
      <c r="N7" s="13">
        <v>22921</v>
      </c>
      <c r="O7" s="13">
        <v>22714.142857142866</v>
      </c>
      <c r="Q7" s="6" t="s">
        <v>36</v>
      </c>
      <c r="R7" s="3">
        <v>185</v>
      </c>
      <c r="T7" s="6" t="s">
        <v>20</v>
      </c>
      <c r="U7" s="3">
        <v>59</v>
      </c>
      <c r="W7" s="6" t="s">
        <v>19</v>
      </c>
      <c r="X7" s="12">
        <v>63874</v>
      </c>
    </row>
    <row r="8" spans="1:24" x14ac:dyDescent="0.25">
      <c r="I8" s="6" t="s">
        <v>37</v>
      </c>
      <c r="J8" s="13">
        <v>11700</v>
      </c>
      <c r="K8" s="13">
        <v>9714.2857142857156</v>
      </c>
      <c r="L8" s="2"/>
      <c r="M8" s="6" t="s">
        <v>18</v>
      </c>
      <c r="N8" s="13">
        <v>46112</v>
      </c>
      <c r="O8" s="13">
        <v>39142.571428571428</v>
      </c>
      <c r="Q8" s="6" t="s">
        <v>37</v>
      </c>
      <c r="R8" s="3">
        <v>688</v>
      </c>
      <c r="T8" s="6" t="s">
        <v>17</v>
      </c>
      <c r="U8" s="3">
        <v>74</v>
      </c>
      <c r="W8" s="6" t="s">
        <v>16</v>
      </c>
      <c r="X8" s="12">
        <v>25744</v>
      </c>
    </row>
    <row r="9" spans="1:24" x14ac:dyDescent="0.25">
      <c r="A9" s="4" t="s">
        <v>71</v>
      </c>
      <c r="E9" t="s">
        <v>50</v>
      </c>
      <c r="I9" s="6" t="s">
        <v>38</v>
      </c>
      <c r="J9" s="13">
        <v>10400</v>
      </c>
      <c r="K9" s="13">
        <v>13571.428571428569</v>
      </c>
      <c r="L9" s="2"/>
      <c r="M9" s="6" t="s">
        <v>15</v>
      </c>
      <c r="N9" s="13">
        <v>38283</v>
      </c>
      <c r="O9" s="13">
        <v>40999.571428571428</v>
      </c>
      <c r="Q9" s="6" t="s">
        <v>38</v>
      </c>
      <c r="R9" s="3">
        <v>810</v>
      </c>
      <c r="T9" s="6" t="s">
        <v>23</v>
      </c>
      <c r="U9" s="3">
        <v>66</v>
      </c>
      <c r="W9" s="6" t="s">
        <v>21</v>
      </c>
      <c r="X9" s="12">
        <v>23719</v>
      </c>
    </row>
    <row r="10" spans="1:24" x14ac:dyDescent="0.25">
      <c r="A10" t="s">
        <v>72</v>
      </c>
      <c r="B10" s="10">
        <v>0.85555555555555574</v>
      </c>
      <c r="E10" s="3">
        <v>336</v>
      </c>
      <c r="I10" s="6" t="s">
        <v>39</v>
      </c>
      <c r="J10" s="13">
        <v>12995</v>
      </c>
      <c r="K10" s="13">
        <v>12571.285714285716</v>
      </c>
      <c r="L10" s="2"/>
      <c r="Q10" s="6" t="s">
        <v>39</v>
      </c>
      <c r="R10" s="3">
        <v>850</v>
      </c>
      <c r="T10" s="6" t="s">
        <v>14</v>
      </c>
      <c r="U10" s="3">
        <v>96</v>
      </c>
      <c r="W10" s="6" t="s">
        <v>22</v>
      </c>
      <c r="X10" s="12">
        <v>13643</v>
      </c>
    </row>
    <row r="11" spans="1:24" x14ac:dyDescent="0.25">
      <c r="A11" t="s">
        <v>73</v>
      </c>
      <c r="B11" s="10">
        <v>0.85492063492063519</v>
      </c>
      <c r="C11" s="10"/>
      <c r="I11" s="6" t="s">
        <v>40</v>
      </c>
      <c r="J11" s="13">
        <v>13450</v>
      </c>
      <c r="K11" s="13">
        <v>12999.999999999998</v>
      </c>
      <c r="L11" s="2"/>
      <c r="Q11" s="6" t="s">
        <v>40</v>
      </c>
      <c r="R11" s="3">
        <v>991</v>
      </c>
    </row>
    <row r="12" spans="1:24" x14ac:dyDescent="0.25">
      <c r="A12" t="s">
        <v>74</v>
      </c>
      <c r="B12" s="10">
        <v>0.8447619047619046</v>
      </c>
      <c r="C12" s="10"/>
      <c r="I12" s="6" t="s">
        <v>41</v>
      </c>
      <c r="J12" s="13">
        <v>11000</v>
      </c>
      <c r="K12" s="13">
        <v>20142.85714285713</v>
      </c>
      <c r="L12" s="2"/>
      <c r="Q12" s="6" t="s">
        <v>41</v>
      </c>
      <c r="R12" s="3">
        <v>300</v>
      </c>
    </row>
    <row r="13" spans="1:24" x14ac:dyDescent="0.25">
      <c r="I13" s="6" t="s">
        <v>42</v>
      </c>
      <c r="J13" s="13">
        <v>17050</v>
      </c>
      <c r="K13" s="13">
        <v>3428.5714285714316</v>
      </c>
      <c r="L13" s="2"/>
      <c r="Q13" s="6" t="s">
        <v>42</v>
      </c>
      <c r="R13" s="3">
        <v>646</v>
      </c>
    </row>
    <row r="14" spans="1:24" x14ac:dyDescent="0.25">
      <c r="A14" t="str" cm="1">
        <f t="array" ref="A14:B14">A10:B10</f>
        <v xml:space="preserve"> Sales Completion Rate</v>
      </c>
      <c r="B14" s="11">
        <v>0.85555555555555574</v>
      </c>
      <c r="I14" s="6" t="s">
        <v>43</v>
      </c>
      <c r="J14" s="13">
        <v>3600</v>
      </c>
      <c r="K14" s="13">
        <v>9571.428571428567</v>
      </c>
      <c r="L14" s="2"/>
      <c r="Q14" s="6" t="s">
        <v>43</v>
      </c>
      <c r="R14" s="3">
        <v>190</v>
      </c>
    </row>
    <row r="15" spans="1:24" x14ac:dyDescent="0.25">
      <c r="A15" t="s">
        <v>75</v>
      </c>
      <c r="B15" s="11">
        <f>100%-B14</f>
        <v>0.14444444444444426</v>
      </c>
      <c r="I15" s="6" t="s">
        <v>44</v>
      </c>
      <c r="J15" s="13">
        <v>26729</v>
      </c>
      <c r="K15" s="13">
        <v>30142.428571428576</v>
      </c>
      <c r="L15" s="2"/>
      <c r="Q15" s="6" t="s">
        <v>44</v>
      </c>
      <c r="R15" s="3">
        <v>1450</v>
      </c>
    </row>
    <row r="16" spans="1:24" x14ac:dyDescent="0.25">
      <c r="A16" t="str" cm="1">
        <f t="array" ref="A16:B16">A11:B11</f>
        <v xml:space="preserve"> Profit Completion Rate</v>
      </c>
      <c r="B16" s="11">
        <v>0.85492063492063519</v>
      </c>
      <c r="E16" s="16">
        <f>A6</f>
        <v>157361</v>
      </c>
      <c r="I16" s="6" t="s">
        <v>45</v>
      </c>
      <c r="J16" s="13">
        <v>22481</v>
      </c>
      <c r="K16" s="13">
        <v>20857.142857142862</v>
      </c>
      <c r="L16" s="2"/>
      <c r="Q16" s="6" t="s">
        <v>45</v>
      </c>
      <c r="R16" s="3">
        <v>1497</v>
      </c>
    </row>
    <row r="17" spans="1:24" x14ac:dyDescent="0.25">
      <c r="A17" t="s">
        <v>75</v>
      </c>
      <c r="B17" s="11">
        <f>100%-B16</f>
        <v>0.14507936507936481</v>
      </c>
      <c r="I17" s="6" t="s">
        <v>46</v>
      </c>
      <c r="J17" s="13">
        <v>3800</v>
      </c>
      <c r="K17" s="13">
        <v>3714.2857142857147</v>
      </c>
      <c r="L17" s="2"/>
      <c r="Q17" s="6" t="s">
        <v>46</v>
      </c>
      <c r="R17" s="3">
        <v>318</v>
      </c>
    </row>
    <row r="18" spans="1:24" x14ac:dyDescent="0.25">
      <c r="A18" t="s">
        <v>74</v>
      </c>
      <c r="B18" s="10">
        <v>0.8447619047619046</v>
      </c>
    </row>
    <row r="19" spans="1:24" x14ac:dyDescent="0.25">
      <c r="A19" t="s">
        <v>75</v>
      </c>
      <c r="B19" s="11">
        <f>100%-B18</f>
        <v>0.1552380952380954</v>
      </c>
      <c r="T19" t="str" cm="1">
        <f t="array" ref="T19:U23">_xlfn._xlws.SORT(T6:U10,2,-1)</f>
        <v>Speed</v>
      </c>
      <c r="U19">
        <v>96</v>
      </c>
      <c r="W19" t="str" cm="1">
        <f t="array" ref="W19:X23">W6:X10</f>
        <v>Argentina</v>
      </c>
      <c r="X19">
        <v>30381</v>
      </c>
    </row>
    <row r="20" spans="1:24" x14ac:dyDescent="0.25">
      <c r="T20" t="str">
        <v>Quality</v>
      </c>
      <c r="U20">
        <v>74</v>
      </c>
      <c r="W20" t="str">
        <v>Brazil</v>
      </c>
      <c r="X20">
        <v>63874</v>
      </c>
    </row>
    <row r="21" spans="1:24" x14ac:dyDescent="0.25">
      <c r="A21" t="s">
        <v>76</v>
      </c>
      <c r="B21" s="11">
        <f>A6/G6</f>
        <v>0.94228707956334989</v>
      </c>
      <c r="T21" t="str">
        <v>Service</v>
      </c>
      <c r="U21">
        <v>66</v>
      </c>
      <c r="W21" t="str">
        <v>Colombia</v>
      </c>
      <c r="X21">
        <v>25744</v>
      </c>
    </row>
    <row r="22" spans="1:24" x14ac:dyDescent="0.25">
      <c r="A22" t="s">
        <v>75</v>
      </c>
      <c r="B22" s="11">
        <f>100%-B21</f>
        <v>5.7712920436650106E-2</v>
      </c>
      <c r="T22" t="str">
        <v>Hygiene</v>
      </c>
      <c r="U22">
        <v>59</v>
      </c>
      <c r="W22" t="str">
        <v>Ecuador</v>
      </c>
      <c r="X22">
        <v>23719</v>
      </c>
    </row>
    <row r="23" spans="1:24" x14ac:dyDescent="0.25">
      <c r="T23" t="str">
        <v>Availability</v>
      </c>
      <c r="U23">
        <v>41</v>
      </c>
      <c r="W23" t="str">
        <v>Peru</v>
      </c>
      <c r="X23">
        <v>13643</v>
      </c>
    </row>
  </sheetData>
  <mergeCells count="9">
    <mergeCell ref="T3:U3"/>
    <mergeCell ref="Q1:U1"/>
    <mergeCell ref="W3:X3"/>
    <mergeCell ref="W1:X1"/>
    <mergeCell ref="A1:G1"/>
    <mergeCell ref="I3:K3"/>
    <mergeCell ref="M3:O3"/>
    <mergeCell ref="I1:O1"/>
    <mergeCell ref="Q3:R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18962-4BBA-474E-B950-980F225CED5A}">
  <dimension ref="A1"/>
  <sheetViews>
    <sheetView showGridLines="0" tabSelected="1" topLeftCell="A31" zoomScale="90" zoomScaleNormal="90" workbookViewId="0">
      <selection activeCell="W8" sqref="W8"/>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ADMIN</cp:lastModifiedBy>
  <dcterms:created xsi:type="dcterms:W3CDTF">2025-01-31T08:22:50Z</dcterms:created>
  <dcterms:modified xsi:type="dcterms:W3CDTF">2026-04-05T17:39:32Z</dcterms:modified>
</cp:coreProperties>
</file>