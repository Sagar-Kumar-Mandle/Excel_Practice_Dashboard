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VCE\Sagar BCC\2) Pratice Project Dashboard\1) Excel\4) Finance Expenses Data\"/>
    </mc:Choice>
  </mc:AlternateContent>
  <xr:revisionPtr revIDLastSave="0" documentId="13_ncr:1_{4D96E08B-E888-4B3B-9D35-9882AF701414}" xr6:coauthVersionLast="47" xr6:coauthVersionMax="47" xr10:uidLastSave="{00000000-0000-0000-0000-000000000000}"/>
  <bookViews>
    <workbookView xWindow="-120" yWindow="-120" windowWidth="20730" windowHeight="11160" firstSheet="1" activeTab="3" xr2:uid="{16A31CDA-A47D-4EBB-BEF8-7F4516B0591E}"/>
  </bookViews>
  <sheets>
    <sheet name="Main Sheet" sheetId="1" r:id="rId1"/>
    <sheet name="Income &amp; Expenses 2021" sheetId="2" r:id="rId2"/>
    <sheet name="Pivot Table" sheetId="4" r:id="rId3"/>
    <sheet name="Dashboard" sheetId="5" r:id="rId4"/>
  </sheets>
  <definedNames>
    <definedName name="Slicer_Category">#N/A</definedName>
    <definedName name="Slicer_Category_Type">#N/A</definedName>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4" i="4" l="1"/>
  <c r="P23" i="4" a="1"/>
  <c r="P23" i="4" s="1"/>
  <c r="D21" i="4" a="1"/>
  <c r="D21" i="4" s="1"/>
  <c r="Q7" i="2"/>
  <c r="Q8" i="2"/>
  <c r="Q10" i="2"/>
  <c r="Q11" i="2"/>
  <c r="Q12" i="2"/>
  <c r="Q20" i="2"/>
  <c r="B13" i="2" a="1"/>
  <c r="B13" i="2" s="1"/>
  <c r="E13" i="2" s="1" a="1"/>
  <c r="E13" i="2" s="1"/>
  <c r="D11" i="2" a="1"/>
  <c r="D11" i="2" s="1"/>
  <c r="E6" i="2" a="1"/>
  <c r="E6" i="2" s="1"/>
  <c r="E9" i="2" s="1"/>
  <c r="F6" i="2" a="1"/>
  <c r="F6" i="2" s="1"/>
  <c r="F9" i="2" s="1"/>
  <c r="G6" i="2" a="1"/>
  <c r="G6" i="2" s="1"/>
  <c r="G9" i="2" s="1"/>
  <c r="H6" i="2" a="1"/>
  <c r="H6" i="2" s="1"/>
  <c r="H9" i="2" s="1"/>
  <c r="I6" i="2" a="1"/>
  <c r="I6" i="2" s="1"/>
  <c r="I9" i="2" s="1"/>
  <c r="J6" i="2" a="1"/>
  <c r="J6" i="2" s="1"/>
  <c r="J9" i="2" s="1"/>
  <c r="K6" i="2" a="1"/>
  <c r="K6" i="2" s="1"/>
  <c r="K9" i="2" s="1"/>
  <c r="L6" i="2" a="1"/>
  <c r="L6" i="2" s="1"/>
  <c r="L9" i="2" s="1"/>
  <c r="M6" i="2" a="1"/>
  <c r="M6" i="2" s="1"/>
  <c r="M9" i="2" s="1"/>
  <c r="N6" i="2" a="1"/>
  <c r="N6" i="2" s="1"/>
  <c r="N9" i="2" s="1"/>
  <c r="O6" i="2" a="1"/>
  <c r="O6" i="2" s="1"/>
  <c r="O9" i="2" s="1"/>
  <c r="D6" i="2" a="1"/>
  <c r="D6" i="2" s="1"/>
  <c r="Q6" i="2" s="1"/>
  <c r="M2" i="1" a="1"/>
  <c r="M2" i="1" s="1"/>
  <c r="N2" i="1" s="1" a="1"/>
  <c r="N2" i="1" s="1"/>
  <c r="N3" i="1" l="1" a="1"/>
  <c r="N3" i="1" s="1"/>
  <c r="G13" i="2" a="1"/>
  <c r="G13" i="2" s="1"/>
  <c r="L18" i="2" a="1"/>
  <c r="L18" i="2" s="1"/>
  <c r="G18" i="2" a="1"/>
  <c r="G18" i="2" s="1"/>
  <c r="D18" i="2" a="1"/>
  <c r="D18" i="2" s="1"/>
  <c r="K17" i="2" a="1"/>
  <c r="K17" i="2" s="1"/>
  <c r="H17" i="2" a="1"/>
  <c r="H17" i="2" s="1"/>
  <c r="O16" i="2" a="1"/>
  <c r="O16" i="2" s="1"/>
  <c r="L16" i="2" a="1"/>
  <c r="L16" i="2" s="1"/>
  <c r="G16" i="2" a="1"/>
  <c r="G16" i="2" s="1"/>
  <c r="D16" i="2" a="1"/>
  <c r="D16" i="2" s="1"/>
  <c r="K15" i="2" a="1"/>
  <c r="K15" i="2" s="1"/>
  <c r="H15" i="2" a="1"/>
  <c r="H15" i="2" s="1"/>
  <c r="O14" i="2" a="1"/>
  <c r="O14" i="2" s="1"/>
  <c r="L14" i="2" a="1"/>
  <c r="L14" i="2" s="1"/>
  <c r="G14" i="2" a="1"/>
  <c r="G14" i="2" s="1"/>
  <c r="D14" i="2" a="1"/>
  <c r="D14" i="2" s="1"/>
  <c r="C17" i="2" a="1"/>
  <c r="C17" i="2" s="1"/>
  <c r="N6" i="1" a="1"/>
  <c r="N6" i="1" s="1"/>
  <c r="C16" i="2" a="1"/>
  <c r="C16" i="2" s="1"/>
  <c r="D13" i="2" a="1"/>
  <c r="D13" i="2" s="1"/>
  <c r="L13" i="2" a="1"/>
  <c r="L13" i="2" s="1"/>
  <c r="I13" i="2" a="1"/>
  <c r="I13" i="2" s="1"/>
  <c r="O18" i="2" a="1"/>
  <c r="O18" i="2" s="1"/>
  <c r="I18" i="2" a="1"/>
  <c r="I18" i="2" s="1"/>
  <c r="F18" i="2" a="1"/>
  <c r="F18" i="2" s="1"/>
  <c r="M17" i="2" a="1"/>
  <c r="M17" i="2" s="1"/>
  <c r="J17" i="2" a="1"/>
  <c r="J17" i="2" s="1"/>
  <c r="E17" i="2" a="1"/>
  <c r="E17" i="2" s="1"/>
  <c r="N16" i="2" a="1"/>
  <c r="N16" i="2" s="1"/>
  <c r="I16" i="2" a="1"/>
  <c r="I16" i="2" s="1"/>
  <c r="F16" i="2" a="1"/>
  <c r="F16" i="2" s="1"/>
  <c r="M15" i="2" a="1"/>
  <c r="M15" i="2" s="1"/>
  <c r="J15" i="2" a="1"/>
  <c r="J15" i="2" s="1"/>
  <c r="E15" i="2" a="1"/>
  <c r="E15" i="2" s="1"/>
  <c r="N14" i="2" a="1"/>
  <c r="N14" i="2" s="1"/>
  <c r="I14" i="2" a="1"/>
  <c r="I14" i="2" s="1"/>
  <c r="F14" i="2" a="1"/>
  <c r="F14" i="2" s="1"/>
  <c r="M13" i="2" a="1"/>
  <c r="M13" i="2" s="1"/>
  <c r="N5" i="1" a="1"/>
  <c r="N5" i="1" s="1"/>
  <c r="O13" i="2" a="1"/>
  <c r="O13" i="2" s="1"/>
  <c r="F13" i="2" a="1"/>
  <c r="F13" i="2" s="1"/>
  <c r="K18" i="2" a="1"/>
  <c r="K18" i="2" s="1"/>
  <c r="H18" i="2" a="1"/>
  <c r="H18" i="2" s="1"/>
  <c r="O17" i="2" a="1"/>
  <c r="O17" i="2" s="1"/>
  <c r="L17" i="2" a="1"/>
  <c r="L17" i="2" s="1"/>
  <c r="G17" i="2" a="1"/>
  <c r="G17" i="2" s="1"/>
  <c r="D17" i="2" a="1"/>
  <c r="D17" i="2" s="1"/>
  <c r="K16" i="2" a="1"/>
  <c r="K16" i="2" s="1"/>
  <c r="H16" i="2" a="1"/>
  <c r="H16" i="2" s="1"/>
  <c r="O15" i="2" a="1"/>
  <c r="O15" i="2" s="1"/>
  <c r="L15" i="2" a="1"/>
  <c r="L15" i="2" s="1"/>
  <c r="G15" i="2" a="1"/>
  <c r="G15" i="2" s="1"/>
  <c r="D15" i="2" a="1"/>
  <c r="D15" i="2" s="1"/>
  <c r="K14" i="2" a="1"/>
  <c r="K14" i="2" s="1"/>
  <c r="H14" i="2" a="1"/>
  <c r="H14" i="2" s="1"/>
  <c r="J13" i="2" a="1"/>
  <c r="J13" i="2" s="1"/>
  <c r="C15" i="2" a="1"/>
  <c r="C15" i="2" s="1"/>
  <c r="K13" i="2" a="1"/>
  <c r="K13" i="2" s="1"/>
  <c r="N18" i="2" a="1"/>
  <c r="N18" i="2" s="1"/>
  <c r="N7" i="1" a="1"/>
  <c r="N7" i="1" s="1"/>
  <c r="N4" i="1" a="1"/>
  <c r="N4" i="1" s="1"/>
  <c r="C18" i="2" a="1"/>
  <c r="C18" i="2" s="1"/>
  <c r="C14" i="2" a="1"/>
  <c r="C14" i="2" s="1"/>
  <c r="N13" i="2" a="1"/>
  <c r="N13" i="2" s="1"/>
  <c r="H13" i="2" a="1"/>
  <c r="H13" i="2" s="1"/>
  <c r="M18" i="2" a="1"/>
  <c r="M18" i="2" s="1"/>
  <c r="J18" i="2" a="1"/>
  <c r="J18" i="2" s="1"/>
  <c r="E18" i="2" a="1"/>
  <c r="E18" i="2" s="1"/>
  <c r="N17" i="2" a="1"/>
  <c r="N17" i="2" s="1"/>
  <c r="I17" i="2" a="1"/>
  <c r="I17" i="2" s="1"/>
  <c r="F17" i="2" a="1"/>
  <c r="F17" i="2" s="1"/>
  <c r="M16" i="2" a="1"/>
  <c r="M16" i="2" s="1"/>
  <c r="J16" i="2" a="1"/>
  <c r="J16" i="2" s="1"/>
  <c r="E16" i="2" a="1"/>
  <c r="E16" i="2" s="1"/>
  <c r="N15" i="2" a="1"/>
  <c r="N15" i="2" s="1"/>
  <c r="I15" i="2" a="1"/>
  <c r="I15" i="2" s="1"/>
  <c r="F15" i="2" a="1"/>
  <c r="F15" i="2" s="1"/>
  <c r="M14" i="2" a="1"/>
  <c r="M14" i="2" s="1"/>
  <c r="J14" i="2" a="1"/>
  <c r="J14" i="2" s="1"/>
  <c r="E14" i="2" a="1"/>
  <c r="E14" i="2" s="1"/>
  <c r="E19" i="2" s="1"/>
  <c r="E21" i="2" s="1"/>
  <c r="C13" i="2" a="1"/>
  <c r="C13" i="2" s="1"/>
  <c r="D9" i="2"/>
  <c r="N19" i="2" l="1"/>
  <c r="N21" i="2" s="1"/>
  <c r="J19" i="2"/>
  <c r="J21" i="2" s="1"/>
  <c r="D19" i="2"/>
  <c r="Q13" i="2"/>
  <c r="Q18" i="2"/>
  <c r="Q17" i="2"/>
  <c r="O19" i="2"/>
  <c r="O21" i="2" s="1"/>
  <c r="D21" i="2"/>
  <c r="Q9" i="2"/>
  <c r="K19" i="2"/>
  <c r="K21" i="2" s="1"/>
  <c r="M19" i="2"/>
  <c r="M21" i="2" s="1"/>
  <c r="I19" i="2"/>
  <c r="I21" i="2" s="1"/>
  <c r="Q16" i="2"/>
  <c r="Q14" i="2"/>
  <c r="H19" i="2"/>
  <c r="H21" i="2" s="1"/>
  <c r="Q15" i="2"/>
  <c r="F19" i="2"/>
  <c r="F21" i="2" s="1"/>
  <c r="L19" i="2"/>
  <c r="L21" i="2" s="1"/>
  <c r="G19" i="2"/>
  <c r="G21" i="2" s="1"/>
  <c r="D22" i="2" l="1"/>
  <c r="E22" i="2" s="1"/>
  <c r="F22" i="2" s="1"/>
  <c r="G22" i="2" s="1"/>
  <c r="H22" i="2" s="1"/>
  <c r="I22" i="2" s="1"/>
  <c r="J22" i="2" s="1"/>
  <c r="K22" i="2" s="1"/>
  <c r="L22" i="2" s="1"/>
  <c r="M22" i="2" s="1"/>
  <c r="N22" i="2" s="1"/>
  <c r="O22" i="2" s="1"/>
  <c r="Q22" i="2" s="1"/>
  <c r="Q21" i="2"/>
  <c r="Q19" i="2"/>
  <c r="D4" i="2" l="1" a="1"/>
  <c r="D4" i="2" s="1"/>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<sst xmlns="http://schemas.openxmlformats.org/spreadsheetml/2006/main" count="2928" uniqueCount="99">
  <si>
    <t>Account</t>
  </si>
  <si>
    <t>Date</t>
  </si>
  <si>
    <t>Description</t>
  </si>
  <si>
    <t>Debit</t>
  </si>
  <si>
    <t>Credit</t>
  </si>
  <si>
    <t>Amount</t>
  </si>
  <si>
    <t>Sub-category</t>
  </si>
  <si>
    <t>Category</t>
  </si>
  <si>
    <t>Category Type</t>
  </si>
  <si>
    <t>Checking</t>
  </si>
  <si>
    <t>ACME Pty Ltd</t>
  </si>
  <si>
    <t>Salary</t>
  </si>
  <si>
    <t>Income</t>
  </si>
  <si>
    <t>Ground</t>
  </si>
  <si>
    <t>Coffee</t>
  </si>
  <si>
    <t>Dining Out</t>
  </si>
  <si>
    <t>Expense</t>
  </si>
  <si>
    <t>Estate Mgt.</t>
  </si>
  <si>
    <t>Rent</t>
  </si>
  <si>
    <t>Living Expenses</t>
  </si>
  <si>
    <t>Finance Co.</t>
  </si>
  <si>
    <t>Entertainment</t>
  </si>
  <si>
    <t>Transport</t>
  </si>
  <si>
    <t>Green's</t>
  </si>
  <si>
    <t>Groceries</t>
  </si>
  <si>
    <t>Elec. Co.</t>
  </si>
  <si>
    <t>Gas/Electrics</t>
  </si>
  <si>
    <t>Fuel. Co</t>
  </si>
  <si>
    <t>MV Fuel</t>
  </si>
  <si>
    <t>Event Cinemas</t>
  </si>
  <si>
    <t>Discretionary</t>
  </si>
  <si>
    <t>Fashionistas</t>
  </si>
  <si>
    <t>Clothes</t>
  </si>
  <si>
    <t>Joe's Grill</t>
  </si>
  <si>
    <t>Restaurant</t>
  </si>
  <si>
    <t>Taxi Co.</t>
  </si>
  <si>
    <t>Taxi</t>
  </si>
  <si>
    <t>Muscle Beach</t>
  </si>
  <si>
    <t>Gym</t>
  </si>
  <si>
    <t>Smile Dental</t>
  </si>
  <si>
    <t>Doctor</t>
  </si>
  <si>
    <t>Medical</t>
  </si>
  <si>
    <t>Phone Co.</t>
  </si>
  <si>
    <t>Phone</t>
  </si>
  <si>
    <t>Sam's Gifts</t>
  </si>
  <si>
    <t>Gifts</t>
  </si>
  <si>
    <t>Streaming Co.</t>
  </si>
  <si>
    <t>Pizza Pomodoro</t>
  </si>
  <si>
    <t>Golden Arches</t>
  </si>
  <si>
    <t>Worldvision</t>
  </si>
  <si>
    <t>Donation</t>
  </si>
  <si>
    <t>Charity</t>
  </si>
  <si>
    <t>Ted's Trainers</t>
  </si>
  <si>
    <t>Ticketek</t>
  </si>
  <si>
    <t>Global Fashion</t>
  </si>
  <si>
    <t>Village Medical</t>
  </si>
  <si>
    <t>Sports Co.</t>
  </si>
  <si>
    <t>Foodary</t>
  </si>
  <si>
    <t>BW Club</t>
  </si>
  <si>
    <t>Home Decorator</t>
  </si>
  <si>
    <t>Furnishings</t>
  </si>
  <si>
    <t>Fodary</t>
  </si>
  <si>
    <t>Year</t>
  </si>
  <si>
    <t>Month</t>
  </si>
  <si>
    <t xml:space="preserve"> Income &amp; Expenses 2021</t>
  </si>
  <si>
    <t>Figures in USD</t>
  </si>
  <si>
    <t>Income:</t>
  </si>
  <si>
    <t>Basic Salary</t>
  </si>
  <si>
    <t>Bonus</t>
  </si>
  <si>
    <t>Side Hustle</t>
  </si>
  <si>
    <t>Total Income</t>
  </si>
  <si>
    <t>Expenses:</t>
  </si>
  <si>
    <t>Row Labels</t>
  </si>
  <si>
    <t>Jan</t>
  </si>
  <si>
    <t>Feb</t>
  </si>
  <si>
    <t>Mar</t>
  </si>
  <si>
    <t>Apr</t>
  </si>
  <si>
    <t>May</t>
  </si>
  <si>
    <t>Jun</t>
  </si>
  <si>
    <t>Jul</t>
  </si>
  <si>
    <t>Aug</t>
  </si>
  <si>
    <t>Sep</t>
  </si>
  <si>
    <t>Oct</t>
  </si>
  <si>
    <t>Nov</t>
  </si>
  <si>
    <t>Dec</t>
  </si>
  <si>
    <t>Sum of Debit</t>
  </si>
  <si>
    <t>Total Expenses</t>
  </si>
  <si>
    <t>Savings</t>
  </si>
  <si>
    <t>Cumulative Savings</t>
  </si>
  <si>
    <t>Total</t>
  </si>
  <si>
    <t>Sum of Credit</t>
  </si>
  <si>
    <t>Sum of Amount</t>
  </si>
  <si>
    <t>Total Income &amp; Expenses by Month</t>
  </si>
  <si>
    <t>Sum of Saving</t>
  </si>
  <si>
    <t>Total by Category Type</t>
  </si>
  <si>
    <t>Total by Category</t>
  </si>
  <si>
    <t>Total by Sub-Category</t>
  </si>
  <si>
    <t>% Money Saving</t>
  </si>
  <si>
    <t>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</si>
</sst>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_);\(#,##0\);\-\-_)"/>
    <numFmt numFmtId="165" formatCode="[$$-1004]#,##0.0;[Red][$$-1004]#,##0.0"/>
    <numFmt numFmtId="166" formatCode="&quot;$&quot;0.0,&quot;K&quot;"/>
    <numFmt numFmtId="167" formatCode="0.0%"/>
  </numFmts>
  <fonts count="15" x14ac:knownFonts="1">
    <font>
      <sz val="11"/>
      <color theme="1"/>
      <name val="Aptos Narrow"/>
      <family val="2"/>
      <scheme val="minor"/>
    </font>
    <font>
      <b/>
      <sz val="11"/>
      <color theme="1"/>
      <name val="Aptos Narrow"/>
      <family val="2"/>
      <scheme val="minor"/>
    </font>
    <font>
      <b/>
      <sz val="16"/>
      <color rgb="FF293D68"/>
      <name val="Calibri"/>
    </font>
    <font>
      <sz val="12"/>
      <color theme="1"/>
      <name val="Aptos Narrow"/>
      <scheme val="minor"/>
    </font>
    <font>
      <sz val="12"/>
      <color theme="1"/>
      <name val="Calibri"/>
    </font>
    <font>
      <b/>
      <sz val="12"/>
      <color theme="1"/>
      <name val="Calibri"/>
    </font>
    <font>
      <i/>
      <sz val="12"/>
      <color theme="0"/>
      <name val="Calibri"/>
    </font>
    <font>
      <b/>
      <sz val="12"/>
      <color theme="0"/>
      <name val="Calibri"/>
    </font>
    <font>
      <sz val="12"/>
      <color rgb="FF0432FF"/>
      <name val="Calibri"/>
      <family val="2"/>
    </font>
    <font>
      <b/>
      <sz val="12"/>
      <color theme="1"/>
      <name val="Calibri"/>
      <family val="2"/>
    </font>
    <font>
      <b/>
      <sz val="14"/>
      <name val="Aptos Narrow"/>
      <family val="2"/>
      <scheme val="minor"/>
    </font>
    <font>
      <b/>
      <sz val="24"/>
      <name val="Aptos Narrow"/>
      <family val="2"/>
      <scheme val="minor"/>
    </font>
    <font>
      <b/>
      <sz val="28"/>
      <name val="Aptos Narrow"/>
      <family val="2"/>
      <scheme val="minor"/>
    </font>
    <font>
      <sz val="11"/>
      <color rgb="FF0070C0"/>
      <name val="Aptos Narrow"/>
      <family val="2"/>
      <scheme val="minor"/>
    </font>
    <font>
      <sz val="24"/>
      <color rgb="FF0070C0"/>
      <name val="Aptos Narrow"/>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rgb="FF293D68"/>
        <bgColor rgb="FF293D68"/>
      </patternFill>
    </fill>
    <fill>
      <patternFill patternType="solid">
        <fgColor rgb="FFFFFF99"/>
        <bgColor rgb="FFFFFF99"/>
      </patternFill>
    </fill>
    <fill>
      <patternFill patternType="solid">
        <fgColor rgb="FFFFFF00"/>
        <bgColor indexed="64"/>
      </patternFill>
    </fill>
    <fill>
      <patternFill patternType="solid">
        <fgColor theme="0"/>
        <bgColor indexed="64"/>
      </patternFill>
    </fill>
    <fill>
      <patternFill patternType="solid">
        <fgColor rgb="FF0070C0"/>
        <bgColor indexed="64"/>
      </patternFill>
    </fill>
  </fills>
  <borders count="4">
    <border>
      <left/>
      <right/>
      <top/>
      <bottom/>
      <diagonal/>
    </border>
    <border>
      <left/>
      <right/>
      <top/>
      <bottom style="thin">
        <color rgb="FF000000"/>
      </bottom>
      <diagonal/>
    </border>
    <border>
      <left/>
      <right/>
      <top style="thin">
        <color rgb="FF000000"/>
      </top>
      <bottom/>
      <diagonal/>
    </border>
    <border>
      <left/>
      <right/>
      <top/>
      <bottom style="thin">
        <color theme="4" tint="0.39997558519241921"/>
      </bottom>
      <diagonal/>
    </border>
  </borders>
  <cellStyleXfs count="2">
    <xf numFmtId="0" fontId="0" fillId="0" borderId="0"/>
    <xf numFmtId="0" fontId="3" fillId="0" borderId="0"/>
  </cellStyleXfs>
  <cellXfs count="30">
    <xf numFmtId="0" fontId="0" fillId="0" borderId="0" xfId="0"/>
    <xf numFmtId="14" fontId="0" fillId="0" borderId="0" xfId="0" applyNumberFormat="1"/>
    <xf numFmtId="0" fontId="2" fillId="0" borderId="1" xfId="1" applyFont="1" applyBorder="1"/>
    <xf numFmtId="0" fontId="4" fillId="0" borderId="1" xfId="1" applyFont="1" applyBorder="1"/>
    <xf numFmtId="17" fontId="7" fillId="3" borderId="0" xfId="0" applyNumberFormat="1" applyFont="1" applyFill="1" applyAlignment="1">
      <alignment horizontal="center" vertical="center"/>
    </xf>
    <xf numFmtId="0" fontId="6" fillId="3" borderId="0" xfId="0" applyFont="1" applyFill="1"/>
    <xf numFmtId="0" fontId="3" fillId="0" borderId="0" xfId="0" applyFont="1"/>
    <xf numFmtId="0" fontId="5" fillId="0" borderId="2" xfId="0" applyFont="1" applyBorder="1" applyAlignment="1">
      <alignment horizontal="left"/>
    </xf>
    <xf numFmtId="164" fontId="5" fillId="0" borderId="2" xfId="0" applyNumberFormat="1" applyFont="1" applyBorder="1"/>
    <xf numFmtId="0" fontId="5" fillId="0" borderId="0" xfId="0" applyFont="1"/>
    <xf numFmtId="0" fontId="0" fillId="0" borderId="0" xfId="0" applyNumberFormat="1"/>
    <xf numFmtId="164" fontId="8" fillId="0" borderId="0" xfId="0" applyNumberFormat="1" applyFont="1"/>
    <xf numFmtId="0" fontId="0" fillId="0" borderId="0" xfId="0" pivotButton="1"/>
    <xf numFmtId="0" fontId="0" fillId="0" borderId="0" xfId="0" applyAlignment="1">
      <alignment horizontal="left"/>
    </xf>
    <xf numFmtId="0" fontId="1" fillId="2" borderId="3" xfId="0" applyFont="1" applyFill="1" applyBorder="1"/>
    <xf numFmtId="0" fontId="9" fillId="0" borderId="2" xfId="0" applyFont="1" applyBorder="1" applyAlignment="1">
      <alignment horizontal="left"/>
    </xf>
    <xf numFmtId="164" fontId="9" fillId="0" borderId="2" xfId="0" applyNumberFormat="1" applyFont="1" applyBorder="1"/>
    <xf numFmtId="0" fontId="9" fillId="4" borderId="2" xfId="0" applyFont="1" applyFill="1" applyBorder="1" applyAlignment="1">
      <alignment horizontal="left"/>
    </xf>
    <xf numFmtId="164" fontId="9" fillId="4" borderId="2" xfId="0" applyNumberFormat="1" applyFont="1" applyFill="1" applyBorder="1"/>
    <xf numFmtId="0" fontId="9" fillId="4" borderId="1" xfId="0" applyFont="1" applyFill="1" applyBorder="1"/>
    <xf numFmtId="164" fontId="9" fillId="4" borderId="1" xfId="0" applyNumberFormat="1" applyFont="1" applyFill="1" applyBorder="1"/>
    <xf numFmtId="165" fontId="9" fillId="4" borderId="1" xfId="0" applyNumberFormat="1" applyFont="1" applyFill="1" applyBorder="1"/>
    <xf numFmtId="165" fontId="9" fillId="4" borderId="2" xfId="0" applyNumberFormat="1" applyFont="1" applyFill="1" applyBorder="1"/>
    <xf numFmtId="0" fontId="10" fillId="6" borderId="0" xfId="0" applyFont="1" applyFill="1" applyAlignment="1">
      <alignment horizontal="center"/>
    </xf>
    <xf numFmtId="166" fontId="0" fillId="0" borderId="0" xfId="0" applyNumberFormat="1"/>
    <xf numFmtId="0" fontId="13" fillId="7" borderId="0" xfId="0" applyFont="1" applyFill="1"/>
    <xf numFmtId="0" fontId="14" fillId="7" borderId="0" xfId="0" applyFont="1" applyFill="1"/>
    <xf numFmtId="167" fontId="0" fillId="0" borderId="0" xfId="0" applyNumberFormat="1"/>
    <xf numFmtId="0" fontId="11" fillId="5" borderId="0" xfId="0" applyFont="1" applyFill="1" applyAlignment="1">
      <alignment horizontal="center" vertical="center"/>
    </xf>
    <xf numFmtId="0" fontId="12" fillId="5" borderId="0" xfId="0" applyFont="1" applyFill="1" applyAlignment="1">
      <alignment horizontal="center" vertical="center"/>
    </xf>
  </cellXfs>
  <cellStyles count="2">
    <cellStyle name="Normal" xfId="0" builtinId="0"/>
    <cellStyle name="Normal 2" xfId="1" xr:uid="{B71168A9-4C88-4D18-BAB6-4207D8E92B92}"/>
  </cellStyles>
  <dxfs count="12">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6" formatCode="&quot;$&quot;0.0,&quot;K&quot;"/>
    </dxf>
    <dxf>
      <numFmt numFmtId="167" formatCode="0.0%"/>
    </dxf>
    <dxf>
      <numFmt numFmtId="14" formatCode="0.00%"/>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rgbClr val="0070C0"/>
                </a:solidFill>
                <a:latin typeface="+mn-lt"/>
                <a:ea typeface="+mn-ea"/>
                <a:cs typeface="+mn-cs"/>
              </a:defRPr>
            </a:pPr>
            <a:r>
              <a:rPr lang="en-US" sz="2000" b="1">
                <a:solidFill>
                  <a:srgbClr val="0070C0"/>
                </a:solidFill>
              </a:rPr>
              <a:t>Total Income &amp; Expenses by Month</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0070C0"/>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70C0"/>
            </a:solidFill>
            <a:ln>
              <a:noFill/>
            </a:ln>
            <a:effectLst/>
          </c:spPr>
          <c:invertIfNegative val="0"/>
          <c:cat>
            <c:strRef>
              <c:f>'Pivot Table'!$D$21:$D$32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Table'!$E$21:$E$32</c:f>
              <c:numCache>
                <c:formatCode>"$"0.0,"K"</c:formatCode>
                <c:ptCount val="12"/>
                <c:pt idx="0">
                  <c:v>4000</c:v>
                </c:pt>
                <c:pt idx="1">
                  <c:v>4000</c:v>
                </c:pt>
                <c:pt idx="2">
                  <c:v>4000</c:v>
                </c:pt>
                <c:pt idx="3">
                  <c:v>4000</c:v>
                </c:pt>
                <c:pt idx="4">
                  <c:v>4000</c:v>
                </c:pt>
                <c:pt idx="5">
                  <c:v>4000</c:v>
                </c:pt>
                <c:pt idx="6">
                  <c:v>4000</c:v>
                </c:pt>
                <c:pt idx="7">
                  <c:v>4000</c:v>
                </c:pt>
                <c:pt idx="8">
                  <c:v>4000</c:v>
                </c:pt>
                <c:pt idx="9">
                  <c:v>4000</c:v>
                </c:pt>
                <c:pt idx="10">
                  <c:v>4000</c:v>
                </c:pt>
                <c:pt idx="11">
                  <c:v>4000</c:v>
                </c:pt>
              </c:numCache>
            </c:numRef>
          </c:val>
          <c:extLst>
            <c:ext xmlns:c16="http://schemas.microsoft.com/office/drawing/2014/chart" uri="{C3380CC4-5D6E-409C-BE32-E72D297353CC}">
              <c16:uniqueId val="{00000000-78E7-425F-A354-603AC09A689A}"/>
            </c:ext>
          </c:extLst>
        </c:ser>
        <c:dLbls>
          <c:showLegendKey val="0"/>
          <c:showVal val="0"/>
          <c:showCatName val="0"/>
          <c:showSerName val="0"/>
          <c:showPercent val="0"/>
          <c:showBubbleSize val="0"/>
        </c:dLbls>
        <c:gapWidth val="30"/>
        <c:axId val="1927272911"/>
        <c:axId val="1927273391"/>
      </c:barChart>
      <c:lineChart>
        <c:grouping val="standard"/>
        <c:varyColors val="0"/>
        <c:ser>
          <c:idx val="1"/>
          <c:order val="1"/>
          <c:spPr>
            <a:ln w="57150" cap="rnd">
              <a:solidFill>
                <a:srgbClr val="00B050"/>
              </a:solidFill>
              <a:round/>
            </a:ln>
            <a:effectLst/>
          </c:spPr>
          <c:marker>
            <c:symbol val="none"/>
          </c:marker>
          <c:cat>
            <c:strRef>
              <c:f>'Pivot Table'!$D$21:$D$32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Table'!$F$21:$F$32</c:f>
              <c:numCache>
                <c:formatCode>"$"0.0,"K"</c:formatCode>
                <c:ptCount val="12"/>
                <c:pt idx="0">
                  <c:v>4423</c:v>
                </c:pt>
                <c:pt idx="1">
                  <c:v>2934.6000000000004</c:v>
                </c:pt>
                <c:pt idx="2">
                  <c:v>3079.7</c:v>
                </c:pt>
                <c:pt idx="3">
                  <c:v>3068</c:v>
                </c:pt>
                <c:pt idx="4">
                  <c:v>3146.1</c:v>
                </c:pt>
                <c:pt idx="5">
                  <c:v>3035.7</c:v>
                </c:pt>
                <c:pt idx="6">
                  <c:v>3095</c:v>
                </c:pt>
                <c:pt idx="7">
                  <c:v>2982.0999999999995</c:v>
                </c:pt>
                <c:pt idx="8">
                  <c:v>3117.1</c:v>
                </c:pt>
                <c:pt idx="9">
                  <c:v>3128.7</c:v>
                </c:pt>
                <c:pt idx="10">
                  <c:v>2872</c:v>
                </c:pt>
                <c:pt idx="11">
                  <c:v>1913</c:v>
                </c:pt>
              </c:numCache>
            </c:numRef>
          </c:val>
          <c:smooth val="0"/>
          <c:extLst>
            <c:ext xmlns:c16="http://schemas.microsoft.com/office/drawing/2014/chart" uri="{C3380CC4-5D6E-409C-BE32-E72D297353CC}">
              <c16:uniqueId val="{00000001-78E7-425F-A354-603AC09A689A}"/>
            </c:ext>
          </c:extLst>
        </c:ser>
        <c:dLbls>
          <c:showLegendKey val="0"/>
          <c:showVal val="0"/>
          <c:showCatName val="0"/>
          <c:showSerName val="0"/>
          <c:showPercent val="0"/>
          <c:showBubbleSize val="0"/>
        </c:dLbls>
        <c:marker val="1"/>
        <c:smooth val="0"/>
        <c:axId val="1927272911"/>
        <c:axId val="1927273391"/>
      </c:lineChart>
      <c:catAx>
        <c:axId val="192727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273391"/>
        <c:crosses val="autoZero"/>
        <c:auto val="1"/>
        <c:lblAlgn val="ctr"/>
        <c:lblOffset val="100"/>
        <c:noMultiLvlLbl val="0"/>
      </c:catAx>
      <c:valAx>
        <c:axId val="1927273391"/>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19272729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rgbClr val="0070C0"/>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Expenses Data Dashboard.xlsx]Pivot Table!PivotTable9</c:name>
    <c:fmtId val="3"/>
  </c:pivotSource>
  <c:chart>
    <c:title>
      <c:tx>
        <c:rich>
          <a:bodyPr rot="0" spcFirstLastPara="1" vertOverflow="ellipsis" vert="horz" wrap="square" anchor="ctr" anchorCtr="1"/>
          <a:lstStyle/>
          <a:p>
            <a:pPr algn="ctr" rtl="0">
              <a:defRPr lang="en-US" sz="2000" b="1" i="0" u="none" strike="noStrike" kern="1200" spc="0" baseline="0">
                <a:solidFill>
                  <a:srgbClr val="0070C0"/>
                </a:solidFill>
                <a:latin typeface="+mn-lt"/>
                <a:ea typeface="+mn-ea"/>
                <a:cs typeface="+mn-cs"/>
              </a:defRPr>
            </a:pPr>
            <a:r>
              <a:rPr lang="en-US" sz="2000" b="1" i="0" u="none" strike="noStrike" kern="1200" spc="0" baseline="0">
                <a:solidFill>
                  <a:srgbClr val="0070C0"/>
                </a:solidFill>
                <a:latin typeface="+mn-lt"/>
                <a:ea typeface="+mn-ea"/>
                <a:cs typeface="+mn-cs"/>
              </a:rPr>
              <a:t>Total by Category</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w="19050">
            <a:noFill/>
          </a:ln>
          <a:effectLst/>
        </c:spPr>
      </c:pivotFmt>
      <c:pivotFmt>
        <c:idx val="10"/>
        <c:spPr>
          <a:solidFill>
            <a:schemeClr val="accent4">
              <a:lumMod val="60000"/>
              <a:lumOff val="40000"/>
            </a:schemeClr>
          </a:solidFill>
          <a:ln w="19050">
            <a:solidFill>
              <a:schemeClr val="accent4">
                <a:lumMod val="40000"/>
                <a:lumOff val="60000"/>
              </a:schemeClr>
            </a:solidFill>
          </a:ln>
          <a:effectLst/>
        </c:spPr>
      </c:pivotFmt>
      <c:pivotFmt>
        <c:idx val="11"/>
        <c:spPr>
          <a:solidFill>
            <a:schemeClr val="accent4">
              <a:lumMod val="75000"/>
            </a:schemeClr>
          </a:solidFill>
          <a:ln w="19050">
            <a:solidFill>
              <a:schemeClr val="accent4">
                <a:lumMod val="75000"/>
              </a:schemeClr>
            </a:solidFill>
          </a:ln>
          <a:effectLst/>
        </c:spPr>
      </c:pivotFmt>
      <c:pivotFmt>
        <c:idx val="12"/>
        <c:spPr>
          <a:solidFill>
            <a:srgbClr val="0070C0"/>
          </a:solidFill>
          <a:ln w="19050">
            <a:solidFill>
              <a:srgbClr val="0070C0"/>
            </a:solidFill>
          </a:ln>
          <a:effectLst/>
        </c:spPr>
      </c:pivotFmt>
      <c:pivotFmt>
        <c:idx val="13"/>
        <c:spPr>
          <a:solidFill>
            <a:schemeClr val="bg1">
              <a:lumMod val="95000"/>
            </a:schemeClr>
          </a:solidFill>
          <a:ln w="19050">
            <a:solidFill>
              <a:schemeClr val="lt1"/>
            </a:solidFill>
          </a:ln>
          <a:effectLst/>
        </c:spPr>
      </c:pivotFmt>
      <c:pivotFmt>
        <c:idx val="14"/>
        <c:spPr>
          <a:solidFill>
            <a:schemeClr val="accent4">
              <a:lumMod val="60000"/>
              <a:lumOff val="40000"/>
            </a:schemeClr>
          </a:solidFill>
          <a:ln w="19050">
            <a:solidFill>
              <a:schemeClr val="accent4">
                <a:lumMod val="60000"/>
                <a:lumOff val="40000"/>
              </a:schemeClr>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'Pivot Table'!$M$4</c:f>
              <c:strCache>
                <c:ptCount val="1"/>
                <c:pt idx="0">
                  <c:v>Total</c:v>
                </c:pt>
              </c:strCache>
            </c:strRef>
          </c:tx>
          <c:dPt>
            <c:idx val="0"/>
            <c:bubble3D val="0"/>
            <c:spPr>
              <a:solidFill>
                <a:schemeClr val="accent4">
                  <a:lumMod val="20000"/>
                  <a:lumOff val="80000"/>
                </a:schemeClr>
              </a:solidFill>
              <a:ln w="19050">
                <a:noFill/>
              </a:ln>
              <a:effectLst/>
            </c:spPr>
            <c:extLst>
              <c:ext xmlns:c16="http://schemas.microsoft.com/office/drawing/2014/chart" uri="{C3380CC4-5D6E-409C-BE32-E72D297353CC}">
                <c16:uniqueId val="{00000001-E637-4628-A53B-4010BBBBE3D5}"/>
              </c:ext>
            </c:extLst>
          </c:dPt>
          <c:dPt>
            <c:idx val="1"/>
            <c:bubble3D val="0"/>
            <c:spPr>
              <a:solidFill>
                <a:schemeClr val="accent4">
                  <a:lumMod val="60000"/>
                  <a:lumOff val="40000"/>
                </a:schemeClr>
              </a:solidFill>
              <a:ln w="19050">
                <a:solidFill>
                  <a:schemeClr val="accent4">
                    <a:lumMod val="40000"/>
                    <a:lumOff val="60000"/>
                  </a:schemeClr>
                </a:solidFill>
              </a:ln>
              <a:effectLst/>
            </c:spPr>
            <c:extLst>
              <c:ext xmlns:c16="http://schemas.microsoft.com/office/drawing/2014/chart" uri="{C3380CC4-5D6E-409C-BE32-E72D297353CC}">
                <c16:uniqueId val="{00000003-E637-4628-A53B-4010BBBBE3D5}"/>
              </c:ext>
            </c:extLst>
          </c:dPt>
          <c:dPt>
            <c:idx val="2"/>
            <c:bubble3D val="0"/>
            <c:spPr>
              <a:solidFill>
                <a:schemeClr val="accent4">
                  <a:lumMod val="75000"/>
                </a:schemeClr>
              </a:solidFill>
              <a:ln w="19050">
                <a:solidFill>
                  <a:schemeClr val="accent4">
                    <a:lumMod val="75000"/>
                  </a:schemeClr>
                </a:solidFill>
              </a:ln>
              <a:effectLst/>
            </c:spPr>
            <c:extLst>
              <c:ext xmlns:c16="http://schemas.microsoft.com/office/drawing/2014/chart" uri="{C3380CC4-5D6E-409C-BE32-E72D297353CC}">
                <c16:uniqueId val="{00000005-E637-4628-A53B-4010BBBBE3D5}"/>
              </c:ext>
            </c:extLst>
          </c:dPt>
          <c:dPt>
            <c:idx val="3"/>
            <c:bubble3D val="0"/>
            <c:spPr>
              <a:solidFill>
                <a:srgbClr val="0070C0"/>
              </a:solidFill>
              <a:ln w="19050">
                <a:solidFill>
                  <a:srgbClr val="0070C0"/>
                </a:solidFill>
              </a:ln>
              <a:effectLst/>
            </c:spPr>
            <c:extLst>
              <c:ext xmlns:c16="http://schemas.microsoft.com/office/drawing/2014/chart" uri="{C3380CC4-5D6E-409C-BE32-E72D297353CC}">
                <c16:uniqueId val="{00000007-E637-4628-A53B-4010BBBBE3D5}"/>
              </c:ext>
            </c:extLst>
          </c:dPt>
          <c:dPt>
            <c:idx val="4"/>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9-E637-4628-A53B-4010BBBBE3D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637-4628-A53B-4010BBBBE3D5}"/>
              </c:ext>
            </c:extLst>
          </c:dPt>
          <c:dPt>
            <c:idx val="6"/>
            <c:bubble3D val="0"/>
            <c:spPr>
              <a:solidFill>
                <a:schemeClr val="accent4">
                  <a:lumMod val="60000"/>
                  <a:lumOff val="40000"/>
                </a:schemeClr>
              </a:solidFill>
              <a:ln w="19050">
                <a:solidFill>
                  <a:schemeClr val="accent4">
                    <a:lumMod val="60000"/>
                    <a:lumOff val="40000"/>
                  </a:schemeClr>
                </a:solidFill>
              </a:ln>
              <a:effectLst/>
            </c:spPr>
            <c:extLst>
              <c:ext xmlns:c16="http://schemas.microsoft.com/office/drawing/2014/chart" uri="{C3380CC4-5D6E-409C-BE32-E72D297353CC}">
                <c16:uniqueId val="{0000000D-6A90-45C7-8AAE-9D6AC61413CB}"/>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Table'!$L$5:$L$11</c:f>
              <c:strCache>
                <c:ptCount val="7"/>
                <c:pt idx="0">
                  <c:v>Charity</c:v>
                </c:pt>
                <c:pt idx="1">
                  <c:v>Dining Out</c:v>
                </c:pt>
                <c:pt idx="2">
                  <c:v>Discretionary</c:v>
                </c:pt>
                <c:pt idx="3">
                  <c:v>Living Expenses</c:v>
                </c:pt>
                <c:pt idx="4">
                  <c:v>Medical</c:v>
                </c:pt>
                <c:pt idx="5">
                  <c:v>Salary</c:v>
                </c:pt>
                <c:pt idx="6">
                  <c:v>Transport</c:v>
                </c:pt>
              </c:strCache>
            </c:strRef>
          </c:cat>
          <c:val>
            <c:numRef>
              <c:f>'Pivot Table'!$M$5:$M$11</c:f>
              <c:numCache>
                <c:formatCode>0.0%</c:formatCode>
                <c:ptCount val="7"/>
                <c:pt idx="0">
                  <c:v>1.6850115504824025E-2</c:v>
                </c:pt>
                <c:pt idx="1">
                  <c:v>7.7263215110748726E-2</c:v>
                </c:pt>
                <c:pt idx="2">
                  <c:v>0.21515423291208047</c:v>
                </c:pt>
                <c:pt idx="3">
                  <c:v>0.52838157358336735</c:v>
                </c:pt>
                <c:pt idx="4">
                  <c:v>4.6990080173936674E-2</c:v>
                </c:pt>
                <c:pt idx="5">
                  <c:v>0</c:v>
                </c:pt>
                <c:pt idx="6">
                  <c:v>0.11536078271504277</c:v>
                </c:pt>
              </c:numCache>
            </c:numRef>
          </c:val>
          <c:extLst>
            <c:ext xmlns:c16="http://schemas.microsoft.com/office/drawing/2014/chart" uri="{C3380CC4-5D6E-409C-BE32-E72D297353CC}">
              <c16:uniqueId val="{0000000C-E637-4628-A53B-4010BBBBE3D5}"/>
            </c:ext>
          </c:extLst>
        </c:ser>
        <c:dLbls>
          <c:showLegendKey val="0"/>
          <c:showVal val="0"/>
          <c:showCatName val="0"/>
          <c:showSerName val="0"/>
          <c:showPercent val="0"/>
          <c:showBubbleSize val="0"/>
          <c:showLeaderLines val="1"/>
        </c:dLbls>
        <c:firstSliceAng val="0"/>
      </c:pieChart>
      <c:spPr>
        <a:noFill/>
        <a:ln>
          <a:noFill/>
        </a:ln>
        <a:effectLst/>
      </c:spPr>
    </c:plotArea>
    <c:legend>
      <c:legendPos val="tr"/>
      <c:layout>
        <c:manualLayout>
          <c:xMode val="edge"/>
          <c:yMode val="edge"/>
          <c:x val="0.68007808398950131"/>
          <c:y val="0.15848183801207028"/>
          <c:w val="0.19769969378827645"/>
          <c:h val="0.53203574698703926"/>
        </c:manualLayout>
      </c:layout>
      <c:overlay val="0"/>
      <c:spPr>
        <a:noFill/>
        <a:ln>
          <a:noFill/>
        </a:ln>
        <a:effectLst/>
      </c:spPr>
      <c:txPr>
        <a:bodyPr rot="0" spcFirstLastPara="1" vertOverflow="ellipsis" vert="horz" wrap="square" anchor="ctr" anchorCtr="1"/>
        <a:lstStyle/>
        <a:p>
          <a:pPr algn="ctr" rtl="0">
            <a:defRPr lang="en-US" sz="900" b="0" i="0" u="none" strike="noStrike" kern="1200" baseline="0">
              <a:solidFill>
                <a:srgbClr val="0070C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Expenses Data Dashboard.xlsx]Pivot Table!PivotTable11</c:name>
    <c:fmtId val="2"/>
  </c:pivotSource>
  <c:chart>
    <c:title>
      <c:tx>
        <c:rich>
          <a:bodyPr rot="0" spcFirstLastPara="1" vertOverflow="ellipsis" vert="horz" wrap="square" anchor="ctr" anchorCtr="1"/>
          <a:lstStyle/>
          <a:p>
            <a:pPr algn="ctr" rtl="0">
              <a:defRPr lang="en-US" sz="2000" b="1" i="0" u="none" strike="noStrike" kern="1200" spc="0" baseline="0">
                <a:solidFill>
                  <a:srgbClr val="0070C0"/>
                </a:solidFill>
                <a:latin typeface="+mn-lt"/>
                <a:ea typeface="+mn-ea"/>
                <a:cs typeface="+mn-cs"/>
              </a:defRPr>
            </a:pPr>
            <a:r>
              <a:rPr lang="en-US" sz="2000" b="1" i="0" u="none" strike="noStrike" kern="1200" spc="0" baseline="0">
                <a:solidFill>
                  <a:srgbClr val="0070C0"/>
                </a:solidFill>
                <a:latin typeface="+mn-lt"/>
                <a:ea typeface="+mn-ea"/>
                <a:cs typeface="+mn-cs"/>
              </a:rPr>
              <a:t>Total by Sub-Category</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Table'!$T$4</c:f>
              <c:strCache>
                <c:ptCount val="1"/>
                <c:pt idx="0">
                  <c:v>Total</c:v>
                </c:pt>
              </c:strCache>
            </c:strRef>
          </c:tx>
          <c:spPr>
            <a:solidFill>
              <a:srgbClr val="0070C0"/>
            </a:solidFill>
            <a:ln>
              <a:noFill/>
            </a:ln>
            <a:effectLst/>
          </c:spPr>
          <c:invertIfNegative val="0"/>
          <c:cat>
            <c:strRef>
              <c:f>'Pivot Table'!$S$5:$S$31</c:f>
              <c:strCache>
                <c:ptCount val="27"/>
                <c:pt idx="0">
                  <c:v>BW Club</c:v>
                </c:pt>
                <c:pt idx="1">
                  <c:v>Elec. Co.</c:v>
                </c:pt>
                <c:pt idx="2">
                  <c:v>Estate Mgt.</c:v>
                </c:pt>
                <c:pt idx="3">
                  <c:v>Event Cinemas</c:v>
                </c:pt>
                <c:pt idx="4">
                  <c:v>Fashionistas</c:v>
                </c:pt>
                <c:pt idx="5">
                  <c:v>Finance Co.</c:v>
                </c:pt>
                <c:pt idx="6">
                  <c:v>Fodary</c:v>
                </c:pt>
                <c:pt idx="7">
                  <c:v>Foodary</c:v>
                </c:pt>
                <c:pt idx="8">
                  <c:v>Fuel. Co</c:v>
                </c:pt>
                <c:pt idx="9">
                  <c:v>Global Fashion</c:v>
                </c:pt>
                <c:pt idx="10">
                  <c:v>Golden Arches</c:v>
                </c:pt>
                <c:pt idx="11">
                  <c:v>Green's</c:v>
                </c:pt>
                <c:pt idx="12">
                  <c:v>Ground</c:v>
                </c:pt>
                <c:pt idx="13">
                  <c:v>Home Decorator</c:v>
                </c:pt>
                <c:pt idx="14">
                  <c:v>Joe's Grill</c:v>
                </c:pt>
                <c:pt idx="15">
                  <c:v>Muscle Beach</c:v>
                </c:pt>
                <c:pt idx="16">
                  <c:v>Phone Co.</c:v>
                </c:pt>
                <c:pt idx="17">
                  <c:v>Pizza Pomodoro</c:v>
                </c:pt>
                <c:pt idx="18">
                  <c:v>Sam's Gifts</c:v>
                </c:pt>
                <c:pt idx="19">
                  <c:v>Smile Dental</c:v>
                </c:pt>
                <c:pt idx="20">
                  <c:v>Sports Co.</c:v>
                </c:pt>
                <c:pt idx="21">
                  <c:v>Streaming Co.</c:v>
                </c:pt>
                <c:pt idx="22">
                  <c:v>Taxi Co.</c:v>
                </c:pt>
                <c:pt idx="23">
                  <c:v>Ted's Trainers</c:v>
                </c:pt>
                <c:pt idx="24">
                  <c:v>Ticketek</c:v>
                </c:pt>
                <c:pt idx="25">
                  <c:v>Village Medical</c:v>
                </c:pt>
                <c:pt idx="26">
                  <c:v>Worldvision</c:v>
                </c:pt>
              </c:strCache>
            </c:strRef>
          </c:cat>
          <c:val>
            <c:numRef>
              <c:f>'Pivot Table'!$T$5:$T$31</c:f>
              <c:numCache>
                <c:formatCode>"$"0.0,"K"</c:formatCode>
                <c:ptCount val="27"/>
                <c:pt idx="0">
                  <c:v>300</c:v>
                </c:pt>
                <c:pt idx="1">
                  <c:v>643.70000000000005</c:v>
                </c:pt>
                <c:pt idx="2">
                  <c:v>10854</c:v>
                </c:pt>
                <c:pt idx="3">
                  <c:v>515.5</c:v>
                </c:pt>
                <c:pt idx="4">
                  <c:v>2907.5</c:v>
                </c:pt>
                <c:pt idx="5">
                  <c:v>1800</c:v>
                </c:pt>
                <c:pt idx="6">
                  <c:v>15</c:v>
                </c:pt>
                <c:pt idx="7">
                  <c:v>150</c:v>
                </c:pt>
                <c:pt idx="8">
                  <c:v>1746.5</c:v>
                </c:pt>
                <c:pt idx="9">
                  <c:v>312</c:v>
                </c:pt>
                <c:pt idx="10">
                  <c:v>178.9</c:v>
                </c:pt>
                <c:pt idx="11">
                  <c:v>7464.0999999999995</c:v>
                </c:pt>
                <c:pt idx="12">
                  <c:v>1315</c:v>
                </c:pt>
                <c:pt idx="13">
                  <c:v>416.4</c:v>
                </c:pt>
                <c:pt idx="14">
                  <c:v>709</c:v>
                </c:pt>
                <c:pt idx="15">
                  <c:v>360</c:v>
                </c:pt>
                <c:pt idx="16">
                  <c:v>480</c:v>
                </c:pt>
                <c:pt idx="17">
                  <c:v>475</c:v>
                </c:pt>
                <c:pt idx="18">
                  <c:v>495.00000000000006</c:v>
                </c:pt>
                <c:pt idx="19">
                  <c:v>1504</c:v>
                </c:pt>
                <c:pt idx="20">
                  <c:v>177.2</c:v>
                </c:pt>
                <c:pt idx="21">
                  <c:v>417</c:v>
                </c:pt>
                <c:pt idx="22">
                  <c:v>698.20000000000016</c:v>
                </c:pt>
                <c:pt idx="23">
                  <c:v>1293.9000000000001</c:v>
                </c:pt>
                <c:pt idx="24">
                  <c:v>722.09999999999991</c:v>
                </c:pt>
                <c:pt idx="25">
                  <c:v>225</c:v>
                </c:pt>
                <c:pt idx="26">
                  <c:v>620</c:v>
                </c:pt>
              </c:numCache>
            </c:numRef>
          </c:val>
          <c:extLst>
            <c:ext xmlns:c16="http://schemas.microsoft.com/office/drawing/2014/chart" uri="{C3380CC4-5D6E-409C-BE32-E72D297353CC}">
              <c16:uniqueId val="{00000000-77AD-43AD-A3CD-C88D7C45CB01}"/>
            </c:ext>
          </c:extLst>
        </c:ser>
        <c:dLbls>
          <c:showLegendKey val="0"/>
          <c:showVal val="0"/>
          <c:showCatName val="0"/>
          <c:showSerName val="0"/>
          <c:showPercent val="0"/>
          <c:showBubbleSize val="0"/>
        </c:dLbls>
        <c:gapWidth val="25"/>
        <c:axId val="1992259071"/>
        <c:axId val="1992259551"/>
      </c:barChart>
      <c:catAx>
        <c:axId val="1992259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900" b="0" i="0" u="none" strike="noStrike" kern="1200" baseline="0">
                <a:solidFill>
                  <a:srgbClr val="0070C0"/>
                </a:solidFill>
                <a:latin typeface="+mn-lt"/>
                <a:ea typeface="+mn-ea"/>
                <a:cs typeface="+mn-cs"/>
              </a:defRPr>
            </a:pPr>
            <a:endParaRPr lang="en-US"/>
          </a:p>
        </c:txPr>
        <c:crossAx val="1992259551"/>
        <c:crosses val="autoZero"/>
        <c:auto val="1"/>
        <c:lblAlgn val="ctr"/>
        <c:lblOffset val="100"/>
        <c:noMultiLvlLbl val="0"/>
      </c:catAx>
      <c:valAx>
        <c:axId val="1992259551"/>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900" b="0" i="0" u="none" strike="noStrike" kern="1200" baseline="0">
                <a:solidFill>
                  <a:srgbClr val="0070C0"/>
                </a:solidFill>
                <a:latin typeface="+mn-lt"/>
                <a:ea typeface="+mn-ea"/>
                <a:cs typeface="+mn-cs"/>
              </a:defRPr>
            </a:pPr>
            <a:endParaRPr lang="en-US"/>
          </a:p>
        </c:txPr>
        <c:crossAx val="1992259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000" b="1" i="0" u="none" strike="noStrike" kern="1200" spc="0" baseline="0">
                <a:solidFill>
                  <a:srgbClr val="0070C0"/>
                </a:solidFill>
                <a:latin typeface="+mn-lt"/>
                <a:ea typeface="+mn-ea"/>
                <a:cs typeface="+mn-cs"/>
              </a:defRPr>
            </a:pPr>
            <a:r>
              <a:rPr lang="en-US" sz="2000" b="1" i="0" u="none" strike="noStrike" kern="1200" spc="0" baseline="0">
                <a:solidFill>
                  <a:srgbClr val="0070C0"/>
                </a:solidFill>
                <a:latin typeface="+mn-lt"/>
                <a:ea typeface="+mn-ea"/>
                <a:cs typeface="+mn-cs"/>
              </a:rPr>
              <a:t>Total by Sub-Category</a:t>
            </a:r>
          </a:p>
        </c:rich>
      </c:tx>
      <c:overlay val="0"/>
      <c:spPr>
        <a:noFill/>
        <a:ln>
          <a:noFill/>
        </a:ln>
        <a:effectLst/>
      </c:spPr>
      <c:txPr>
        <a:bodyPr rot="0" spcFirstLastPara="1" vertOverflow="ellipsis" vert="horz" wrap="square" anchor="ctr" anchorCtr="1"/>
        <a:lstStyle/>
        <a:p>
          <a:pPr algn="ctr" rtl="0">
            <a:defRPr lang="en-US" sz="2000" b="1" i="0" u="none" strike="noStrike" kern="1200" spc="0" baseline="0">
              <a:solidFill>
                <a:srgbClr val="0070C0"/>
              </a:solidFill>
              <a:latin typeface="+mn-lt"/>
              <a:ea typeface="+mn-ea"/>
              <a:cs typeface="+mn-cs"/>
            </a:defRPr>
          </a:pPr>
          <a:endParaRPr lang="en-US"/>
        </a:p>
      </c:txPr>
    </c:title>
    <c:autoTitleDeleted val="0"/>
    <c:plotArea>
      <c:layout/>
      <c:areaChart>
        <c:grouping val="standard"/>
        <c:varyColors val="0"/>
        <c:ser>
          <c:idx val="0"/>
          <c:order val="0"/>
          <c:spPr>
            <a:solidFill>
              <a:srgbClr val="0070C0"/>
            </a:solidFill>
            <a:ln>
              <a:noFill/>
            </a:ln>
            <a:effectLst/>
          </c:spPr>
          <c:cat>
            <c:strRef>
              <c:f>'Pivot Table'!$P$23:$P$37</c:f>
              <c:strCache>
                <c:ptCount val="15"/>
                <c:pt idx="0">
                  <c:v>Clothes</c:v>
                </c:pt>
                <c:pt idx="1">
                  <c:v>Coffee</c:v>
                </c:pt>
                <c:pt idx="2">
                  <c:v>Doctor</c:v>
                </c:pt>
                <c:pt idx="3">
                  <c:v>Donation</c:v>
                </c:pt>
                <c:pt idx="4">
                  <c:v>Entertainment</c:v>
                </c:pt>
                <c:pt idx="5">
                  <c:v>Furnishings</c:v>
                </c:pt>
                <c:pt idx="6">
                  <c:v>Gas/Electrics</c:v>
                </c:pt>
                <c:pt idx="7">
                  <c:v>Gifts</c:v>
                </c:pt>
                <c:pt idx="8">
                  <c:v>Groceries</c:v>
                </c:pt>
                <c:pt idx="9">
                  <c:v>Gym</c:v>
                </c:pt>
                <c:pt idx="10">
                  <c:v>MV Fuel</c:v>
                </c:pt>
                <c:pt idx="11">
                  <c:v>Phone</c:v>
                </c:pt>
                <c:pt idx="12">
                  <c:v>Rent</c:v>
                </c:pt>
                <c:pt idx="13">
                  <c:v>Restaurant</c:v>
                </c:pt>
                <c:pt idx="14">
                  <c:v>Taxi</c:v>
                </c:pt>
              </c:strCache>
            </c:strRef>
          </c:cat>
          <c:val>
            <c:numRef>
              <c:f>'Pivot Table'!$Q$23:$Q$37</c:f>
              <c:numCache>
                <c:formatCode>"$"0.0,"K"</c:formatCode>
                <c:ptCount val="15"/>
                <c:pt idx="0">
                  <c:v>4690.6000000000004</c:v>
                </c:pt>
                <c:pt idx="1">
                  <c:v>1315</c:v>
                </c:pt>
                <c:pt idx="2">
                  <c:v>1729</c:v>
                </c:pt>
                <c:pt idx="3">
                  <c:v>620</c:v>
                </c:pt>
                <c:pt idx="4">
                  <c:v>3754.6000000000008</c:v>
                </c:pt>
                <c:pt idx="5">
                  <c:v>416.4</c:v>
                </c:pt>
                <c:pt idx="6">
                  <c:v>643.70000000000005</c:v>
                </c:pt>
                <c:pt idx="7">
                  <c:v>495.00000000000006</c:v>
                </c:pt>
                <c:pt idx="8">
                  <c:v>7464.0999999999995</c:v>
                </c:pt>
                <c:pt idx="9">
                  <c:v>360</c:v>
                </c:pt>
                <c:pt idx="10">
                  <c:v>1746.5</c:v>
                </c:pt>
                <c:pt idx="11">
                  <c:v>480</c:v>
                </c:pt>
                <c:pt idx="12">
                  <c:v>10854</c:v>
                </c:pt>
                <c:pt idx="13">
                  <c:v>1527.8999999999999</c:v>
                </c:pt>
                <c:pt idx="14">
                  <c:v>698.20000000000016</c:v>
                </c:pt>
              </c:numCache>
            </c:numRef>
          </c:val>
          <c:extLst>
            <c:ext xmlns:c16="http://schemas.microsoft.com/office/drawing/2014/chart" uri="{C3380CC4-5D6E-409C-BE32-E72D297353CC}">
              <c16:uniqueId val="{00000000-EABB-4A3E-9963-5EB19AA7E147}"/>
            </c:ext>
          </c:extLst>
        </c:ser>
        <c:dLbls>
          <c:showLegendKey val="0"/>
          <c:showVal val="0"/>
          <c:showCatName val="0"/>
          <c:showSerName val="0"/>
          <c:showPercent val="0"/>
          <c:showBubbleSize val="0"/>
        </c:dLbls>
        <c:axId val="1980033967"/>
        <c:axId val="1980037807"/>
      </c:areaChart>
      <c:catAx>
        <c:axId val="1980033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lgn="ctr" rtl="0">
              <a:defRPr lang="en-US" sz="900" b="0" i="0" u="none" strike="noStrike" kern="1200" baseline="0">
                <a:solidFill>
                  <a:srgbClr val="0070C0"/>
                </a:solidFill>
                <a:latin typeface="+mn-lt"/>
                <a:ea typeface="+mn-ea"/>
                <a:cs typeface="+mn-cs"/>
              </a:defRPr>
            </a:pPr>
            <a:endParaRPr lang="en-US"/>
          </a:p>
        </c:txPr>
        <c:crossAx val="1980037807"/>
        <c:crosses val="autoZero"/>
        <c:auto val="1"/>
        <c:lblAlgn val="ctr"/>
        <c:lblOffset val="100"/>
        <c:noMultiLvlLbl val="0"/>
      </c:catAx>
      <c:valAx>
        <c:axId val="1980037807"/>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900" b="0" i="0" u="none" strike="noStrike" kern="1200" baseline="0">
                <a:solidFill>
                  <a:srgbClr val="0070C0"/>
                </a:solidFill>
                <a:latin typeface="+mn-lt"/>
                <a:ea typeface="+mn-ea"/>
                <a:cs typeface="+mn-cs"/>
              </a:defRPr>
            </a:pPr>
            <a:endParaRPr lang="en-US"/>
          </a:p>
        </c:txPr>
        <c:crossAx val="198003396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6" Type="http://schemas.openxmlformats.org/officeDocument/2006/relationships/image" Target="../media/image12.sv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28575</xdr:rowOff>
    </xdr:from>
    <xdr:to>
      <xdr:col>2</xdr:col>
      <xdr:colOff>361950</xdr:colOff>
      <xdr:row>4</xdr:row>
      <xdr:rowOff>47625</xdr:rowOff>
    </xdr:to>
    <xdr:sp macro="" textlink="">
      <xdr:nvSpPr>
        <xdr:cNvPr id="2" name="Rectangle: Rounded Corners 1">
          <a:extLst>
            <a:ext uri="{FF2B5EF4-FFF2-40B4-BE49-F238E27FC236}">
              <a16:creationId xmlns:a16="http://schemas.microsoft.com/office/drawing/2014/main" id="{75A3EFB6-3D91-76B6-3E75-47BAB6C1F773}"/>
            </a:ext>
          </a:extLst>
        </xdr:cNvPr>
        <xdr:cNvSpPr/>
      </xdr:nvSpPr>
      <xdr:spPr>
        <a:xfrm>
          <a:off x="38100" y="28575"/>
          <a:ext cx="1543050" cy="7810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457200</xdr:colOff>
      <xdr:row>0</xdr:row>
      <xdr:rowOff>28575</xdr:rowOff>
    </xdr:from>
    <xdr:to>
      <xdr:col>19</xdr:col>
      <xdr:colOff>200025</xdr:colOff>
      <xdr:row>4</xdr:row>
      <xdr:rowOff>38100</xdr:rowOff>
    </xdr:to>
    <xdr:sp macro="" textlink="">
      <xdr:nvSpPr>
        <xdr:cNvPr id="3" name="Rectangle: Rounded Corners 2">
          <a:extLst>
            <a:ext uri="{FF2B5EF4-FFF2-40B4-BE49-F238E27FC236}">
              <a16:creationId xmlns:a16="http://schemas.microsoft.com/office/drawing/2014/main" id="{80668E34-6FAD-D5C2-3E0B-03393799C5D2}"/>
            </a:ext>
          </a:extLst>
        </xdr:cNvPr>
        <xdr:cNvSpPr/>
      </xdr:nvSpPr>
      <xdr:spPr>
        <a:xfrm>
          <a:off x="1676400" y="28575"/>
          <a:ext cx="10106025" cy="7715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xdr:colOff>
      <xdr:row>4</xdr:row>
      <xdr:rowOff>104775</xdr:rowOff>
    </xdr:from>
    <xdr:to>
      <xdr:col>2</xdr:col>
      <xdr:colOff>390525</xdr:colOff>
      <xdr:row>44</xdr:row>
      <xdr:rowOff>133350</xdr:rowOff>
    </xdr:to>
    <xdr:sp macro="" textlink="">
      <xdr:nvSpPr>
        <xdr:cNvPr id="4" name="Rectangle: Rounded Corners 3">
          <a:extLst>
            <a:ext uri="{FF2B5EF4-FFF2-40B4-BE49-F238E27FC236}">
              <a16:creationId xmlns:a16="http://schemas.microsoft.com/office/drawing/2014/main" id="{DE7E5710-7A17-61B8-6478-D4BA3CAEE34B}"/>
            </a:ext>
          </a:extLst>
        </xdr:cNvPr>
        <xdr:cNvSpPr/>
      </xdr:nvSpPr>
      <xdr:spPr>
        <a:xfrm>
          <a:off x="66675" y="866775"/>
          <a:ext cx="1543050" cy="76485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9525</xdr:colOff>
      <xdr:row>4</xdr:row>
      <xdr:rowOff>180975</xdr:rowOff>
    </xdr:from>
    <xdr:to>
      <xdr:col>7</xdr:col>
      <xdr:colOff>85725</xdr:colOff>
      <xdr:row>9</xdr:row>
      <xdr:rowOff>9525</xdr:rowOff>
    </xdr:to>
    <xdr:sp macro="" textlink="">
      <xdr:nvSpPr>
        <xdr:cNvPr id="5" name="Rectangle: Rounded Corners 4">
          <a:extLst>
            <a:ext uri="{FF2B5EF4-FFF2-40B4-BE49-F238E27FC236}">
              <a16:creationId xmlns:a16="http://schemas.microsoft.com/office/drawing/2014/main" id="{B2C93332-C217-F71B-A5AE-A4700613A0D2}"/>
            </a:ext>
          </a:extLst>
        </xdr:cNvPr>
        <xdr:cNvSpPr/>
      </xdr:nvSpPr>
      <xdr:spPr>
        <a:xfrm>
          <a:off x="1838325" y="942975"/>
          <a:ext cx="2514600" cy="7810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171450</xdr:colOff>
      <xdr:row>4</xdr:row>
      <xdr:rowOff>142875</xdr:rowOff>
    </xdr:from>
    <xdr:to>
      <xdr:col>19</xdr:col>
      <xdr:colOff>209550</xdr:colOff>
      <xdr:row>8</xdr:row>
      <xdr:rowOff>161925</xdr:rowOff>
    </xdr:to>
    <xdr:sp macro="" textlink="">
      <xdr:nvSpPr>
        <xdr:cNvPr id="9" name="Rectangle: Rounded Corners 8">
          <a:extLst>
            <a:ext uri="{FF2B5EF4-FFF2-40B4-BE49-F238E27FC236}">
              <a16:creationId xmlns:a16="http://schemas.microsoft.com/office/drawing/2014/main" id="{6B440DB8-64CF-F3E2-9887-7371B5F0536A}"/>
            </a:ext>
          </a:extLst>
        </xdr:cNvPr>
        <xdr:cNvSpPr/>
      </xdr:nvSpPr>
      <xdr:spPr>
        <a:xfrm>
          <a:off x="9315450" y="904875"/>
          <a:ext cx="2476500" cy="7810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2</xdr:col>
      <xdr:colOff>552450</xdr:colOff>
      <xdr:row>9</xdr:row>
      <xdr:rowOff>133349</xdr:rowOff>
    </xdr:from>
    <xdr:to>
      <xdr:col>13</xdr:col>
      <xdr:colOff>47626</xdr:colOff>
      <xdr:row>28</xdr:row>
      <xdr:rowOff>152400</xdr:rowOff>
    </xdr:to>
    <xdr:sp macro="" textlink="">
      <xdr:nvSpPr>
        <xdr:cNvPr id="10" name="Rectangle: Rounded Corners 9">
          <a:extLst>
            <a:ext uri="{FF2B5EF4-FFF2-40B4-BE49-F238E27FC236}">
              <a16:creationId xmlns:a16="http://schemas.microsoft.com/office/drawing/2014/main" id="{61BF35F1-4DD8-CC65-E1C1-F30BA5A8975A}"/>
            </a:ext>
          </a:extLst>
        </xdr:cNvPr>
        <xdr:cNvSpPr/>
      </xdr:nvSpPr>
      <xdr:spPr>
        <a:xfrm>
          <a:off x="1771650" y="1847849"/>
          <a:ext cx="6200776" cy="363855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38101</xdr:colOff>
      <xdr:row>9</xdr:row>
      <xdr:rowOff>76200</xdr:rowOff>
    </xdr:from>
    <xdr:to>
      <xdr:col>12</xdr:col>
      <xdr:colOff>476251</xdr:colOff>
      <xdr:row>28</xdr:row>
      <xdr:rowOff>9525</xdr:rowOff>
    </xdr:to>
    <xdr:graphicFrame macro="">
      <xdr:nvGraphicFramePr>
        <xdr:cNvPr id="11" name="Chart 10">
          <a:extLst>
            <a:ext uri="{FF2B5EF4-FFF2-40B4-BE49-F238E27FC236}">
              <a16:creationId xmlns:a16="http://schemas.microsoft.com/office/drawing/2014/main" id="{BEB50691-DBCB-4640-9A83-2E9BD0B94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171449</xdr:colOff>
      <xdr:row>9</xdr:row>
      <xdr:rowOff>123825</xdr:rowOff>
    </xdr:from>
    <xdr:to>
      <xdr:col>19</xdr:col>
      <xdr:colOff>266700</xdr:colOff>
      <xdr:row>28</xdr:row>
      <xdr:rowOff>152400</xdr:rowOff>
    </xdr:to>
    <xdr:sp macro="" textlink="">
      <xdr:nvSpPr>
        <xdr:cNvPr id="12" name="Rectangle: Rounded Corners 11">
          <a:extLst>
            <a:ext uri="{FF2B5EF4-FFF2-40B4-BE49-F238E27FC236}">
              <a16:creationId xmlns:a16="http://schemas.microsoft.com/office/drawing/2014/main" id="{ACD6F7E6-4A86-EE80-0C86-EF43A1842C97}"/>
            </a:ext>
          </a:extLst>
        </xdr:cNvPr>
        <xdr:cNvSpPr/>
      </xdr:nvSpPr>
      <xdr:spPr>
        <a:xfrm>
          <a:off x="8096249" y="1838325"/>
          <a:ext cx="3752851" cy="36480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533399</xdr:colOff>
      <xdr:row>10</xdr:row>
      <xdr:rowOff>1</xdr:rowOff>
    </xdr:from>
    <xdr:to>
      <xdr:col>20</xdr:col>
      <xdr:colOff>228599</xdr:colOff>
      <xdr:row>28</xdr:row>
      <xdr:rowOff>19051</xdr:rowOff>
    </xdr:to>
    <xdr:graphicFrame macro="">
      <xdr:nvGraphicFramePr>
        <xdr:cNvPr id="13" name="Chart 12">
          <a:extLst>
            <a:ext uri="{FF2B5EF4-FFF2-40B4-BE49-F238E27FC236}">
              <a16:creationId xmlns:a16="http://schemas.microsoft.com/office/drawing/2014/main" id="{763D1650-8A47-424C-8467-FFB670EBD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542926</xdr:colOff>
      <xdr:row>29</xdr:row>
      <xdr:rowOff>85724</xdr:rowOff>
    </xdr:from>
    <xdr:to>
      <xdr:col>11</xdr:col>
      <xdr:colOff>257176</xdr:colOff>
      <xdr:row>44</xdr:row>
      <xdr:rowOff>152399</xdr:rowOff>
    </xdr:to>
    <xdr:sp macro="" textlink="">
      <xdr:nvSpPr>
        <xdr:cNvPr id="15" name="Rectangle: Rounded Corners 14">
          <a:extLst>
            <a:ext uri="{FF2B5EF4-FFF2-40B4-BE49-F238E27FC236}">
              <a16:creationId xmlns:a16="http://schemas.microsoft.com/office/drawing/2014/main" id="{B69AD8B1-3BAE-4CE8-B07D-7587396A64C5}"/>
            </a:ext>
          </a:extLst>
        </xdr:cNvPr>
        <xdr:cNvSpPr/>
      </xdr:nvSpPr>
      <xdr:spPr>
        <a:xfrm>
          <a:off x="1762126" y="5610224"/>
          <a:ext cx="5200650" cy="29241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523875</xdr:colOff>
      <xdr:row>29</xdr:row>
      <xdr:rowOff>38100</xdr:rowOff>
    </xdr:from>
    <xdr:to>
      <xdr:col>11</xdr:col>
      <xdr:colOff>209550</xdr:colOff>
      <xdr:row>44</xdr:row>
      <xdr:rowOff>38100</xdr:rowOff>
    </xdr:to>
    <xdr:graphicFrame macro="">
      <xdr:nvGraphicFramePr>
        <xdr:cNvPr id="14" name="Chart 13">
          <a:extLst>
            <a:ext uri="{FF2B5EF4-FFF2-40B4-BE49-F238E27FC236}">
              <a16:creationId xmlns:a16="http://schemas.microsoft.com/office/drawing/2014/main" id="{3C220DDF-CB26-41ED-8277-291CA3DB3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409575</xdr:colOff>
      <xdr:row>29</xdr:row>
      <xdr:rowOff>66674</xdr:rowOff>
    </xdr:from>
    <xdr:to>
      <xdr:col>19</xdr:col>
      <xdr:colOff>200026</xdr:colOff>
      <xdr:row>45</xdr:row>
      <xdr:rowOff>47625</xdr:rowOff>
    </xdr:to>
    <xdr:sp macro="" textlink="">
      <xdr:nvSpPr>
        <xdr:cNvPr id="17" name="Rectangle: Rounded Corners 16">
          <a:extLst>
            <a:ext uri="{FF2B5EF4-FFF2-40B4-BE49-F238E27FC236}">
              <a16:creationId xmlns:a16="http://schemas.microsoft.com/office/drawing/2014/main" id="{F821084D-8EB8-5B60-E8C2-22941798175B}"/>
            </a:ext>
          </a:extLst>
        </xdr:cNvPr>
        <xdr:cNvSpPr/>
      </xdr:nvSpPr>
      <xdr:spPr>
        <a:xfrm>
          <a:off x="7115175" y="5591174"/>
          <a:ext cx="4667251" cy="302895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381000</xdr:colOff>
      <xdr:row>29</xdr:row>
      <xdr:rowOff>76200</xdr:rowOff>
    </xdr:from>
    <xdr:to>
      <xdr:col>19</xdr:col>
      <xdr:colOff>247650</xdr:colOff>
      <xdr:row>44</xdr:row>
      <xdr:rowOff>104775</xdr:rowOff>
    </xdr:to>
    <xdr:graphicFrame macro="">
      <xdr:nvGraphicFramePr>
        <xdr:cNvPr id="16" name="Chart 15">
          <a:extLst>
            <a:ext uri="{FF2B5EF4-FFF2-40B4-BE49-F238E27FC236}">
              <a16:creationId xmlns:a16="http://schemas.microsoft.com/office/drawing/2014/main" id="{878BB456-5983-443A-BF6D-146387F5F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123825</xdr:colOff>
      <xdr:row>26</xdr:row>
      <xdr:rowOff>66675</xdr:rowOff>
    </xdr:from>
    <xdr:to>
      <xdr:col>2</xdr:col>
      <xdr:colOff>333375</xdr:colOff>
      <xdr:row>39</xdr:row>
      <xdr:rowOff>19050</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1DF1AAB3-9A70-46B9-B772-3B34C1355A2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3825" y="5019675"/>
              <a:ext cx="1428750" cy="2428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142874</xdr:colOff>
      <xdr:row>5</xdr:row>
      <xdr:rowOff>142875</xdr:rowOff>
    </xdr:from>
    <xdr:to>
      <xdr:col>2</xdr:col>
      <xdr:colOff>304799</xdr:colOff>
      <xdr:row>11</xdr:row>
      <xdr:rowOff>19050</xdr:rowOff>
    </xdr:to>
    <mc:AlternateContent xmlns:mc="http://schemas.openxmlformats.org/markup-compatibility/2006">
      <mc:Choice xmlns:a14="http://schemas.microsoft.com/office/drawing/2010/main" Requires="a14">
        <xdr:graphicFrame macro="">
          <xdr:nvGraphicFramePr>
            <xdr:cNvPr id="19" name="Category Type">
              <a:extLst>
                <a:ext uri="{FF2B5EF4-FFF2-40B4-BE49-F238E27FC236}">
                  <a16:creationId xmlns:a16="http://schemas.microsoft.com/office/drawing/2014/main" id="{9127C03F-003E-41D3-979E-FB844C50DFE0}"/>
                </a:ext>
              </a:extLst>
            </xdr:cNvPr>
            <xdr:cNvGraphicFramePr/>
          </xdr:nvGraphicFramePr>
          <xdr:xfrm>
            <a:off x="0" y="0"/>
            <a:ext cx="0" cy="0"/>
          </xdr:xfrm>
          <a:graphic>
            <a:graphicData uri="http://schemas.microsoft.com/office/drawing/2010/slicer">
              <sle:slicer xmlns:sle="http://schemas.microsoft.com/office/drawing/2010/slicer" name="Category Type"/>
            </a:graphicData>
          </a:graphic>
        </xdr:graphicFrame>
      </mc:Choice>
      <mc:Fallback>
        <xdr:sp macro="" textlink="">
          <xdr:nvSpPr>
            <xdr:cNvPr id="0" name=""/>
            <xdr:cNvSpPr>
              <a:spLocks noTextEdit="1"/>
            </xdr:cNvSpPr>
          </xdr:nvSpPr>
          <xdr:spPr>
            <a:xfrm>
              <a:off x="142874" y="1095375"/>
              <a:ext cx="1381125"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12</xdr:row>
      <xdr:rowOff>133350</xdr:rowOff>
    </xdr:from>
    <xdr:to>
      <xdr:col>2</xdr:col>
      <xdr:colOff>342900</xdr:colOff>
      <xdr:row>24</xdr:row>
      <xdr:rowOff>28576</xdr:rowOff>
    </xdr:to>
    <mc:AlternateContent xmlns:mc="http://schemas.openxmlformats.org/markup-compatibility/2006">
      <mc:Choice xmlns:a14="http://schemas.microsoft.com/office/drawing/2010/main" Requires="a14">
        <xdr:graphicFrame macro="">
          <xdr:nvGraphicFramePr>
            <xdr:cNvPr id="20" name="Month">
              <a:extLst>
                <a:ext uri="{FF2B5EF4-FFF2-40B4-BE49-F238E27FC236}">
                  <a16:creationId xmlns:a16="http://schemas.microsoft.com/office/drawing/2014/main" id="{293C3C2B-08BA-4507-B5F4-442C1D52E00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2400" y="2419350"/>
              <a:ext cx="1409700" cy="2181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438150</xdr:colOff>
      <xdr:row>0</xdr:row>
      <xdr:rowOff>47625</xdr:rowOff>
    </xdr:from>
    <xdr:to>
      <xdr:col>19</xdr:col>
      <xdr:colOff>171450</xdr:colOff>
      <xdr:row>4</xdr:row>
      <xdr:rowOff>95250</xdr:rowOff>
    </xdr:to>
    <xdr:sp macro="" textlink="">
      <xdr:nvSpPr>
        <xdr:cNvPr id="22" name="TextBox 21">
          <a:extLst>
            <a:ext uri="{FF2B5EF4-FFF2-40B4-BE49-F238E27FC236}">
              <a16:creationId xmlns:a16="http://schemas.microsoft.com/office/drawing/2014/main" id="{CCF2D0A6-AD00-D62A-6D4B-C98A6BAD222E}"/>
            </a:ext>
          </a:extLst>
        </xdr:cNvPr>
        <xdr:cNvSpPr txBox="1"/>
      </xdr:nvSpPr>
      <xdr:spPr>
        <a:xfrm>
          <a:off x="1657350" y="47625"/>
          <a:ext cx="10096500"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a:solidFill>
                <a:srgbClr val="0070C0"/>
              </a:solidFill>
            </a:rPr>
            <a:t>INCOME</a:t>
          </a:r>
          <a:r>
            <a:rPr lang="en-US" sz="4000" b="1" baseline="0">
              <a:solidFill>
                <a:srgbClr val="0070C0"/>
              </a:solidFill>
            </a:rPr>
            <a:t> &amp; EXPENSES 2021 DASHBOARD</a:t>
          </a:r>
          <a:endParaRPr lang="en-US" sz="4000" b="1">
            <a:solidFill>
              <a:srgbClr val="0070C0"/>
            </a:solidFill>
          </a:endParaRPr>
        </a:p>
      </xdr:txBody>
    </xdr:sp>
    <xdr:clientData/>
  </xdr:twoCellAnchor>
  <xdr:twoCellAnchor>
    <xdr:from>
      <xdr:col>3</xdr:col>
      <xdr:colOff>561975</xdr:colOff>
      <xdr:row>5</xdr:row>
      <xdr:rowOff>0</xdr:rowOff>
    </xdr:from>
    <xdr:to>
      <xdr:col>7</xdr:col>
      <xdr:colOff>9525</xdr:colOff>
      <xdr:row>6</xdr:row>
      <xdr:rowOff>85725</xdr:rowOff>
    </xdr:to>
    <xdr:sp macro="" textlink="">
      <xdr:nvSpPr>
        <xdr:cNvPr id="23" name="TextBox 22">
          <a:extLst>
            <a:ext uri="{FF2B5EF4-FFF2-40B4-BE49-F238E27FC236}">
              <a16:creationId xmlns:a16="http://schemas.microsoft.com/office/drawing/2014/main" id="{22BADFCD-2282-CEF3-B65F-5B62E2E44799}"/>
            </a:ext>
          </a:extLst>
        </xdr:cNvPr>
        <xdr:cNvSpPr txBox="1"/>
      </xdr:nvSpPr>
      <xdr:spPr>
        <a:xfrm>
          <a:off x="2390775" y="952500"/>
          <a:ext cx="18859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70C0"/>
              </a:solidFill>
            </a:rPr>
            <a:t>Total</a:t>
          </a:r>
          <a:r>
            <a:rPr lang="en-US" sz="1800" b="1" baseline="0">
              <a:solidFill>
                <a:srgbClr val="0070C0"/>
              </a:solidFill>
            </a:rPr>
            <a:t> Income CTC</a:t>
          </a:r>
          <a:endParaRPr lang="en-US" sz="1800" b="1">
            <a:solidFill>
              <a:srgbClr val="0070C0"/>
            </a:solidFill>
          </a:endParaRPr>
        </a:p>
      </xdr:txBody>
    </xdr:sp>
    <xdr:clientData/>
  </xdr:twoCellAnchor>
  <xdr:twoCellAnchor>
    <xdr:from>
      <xdr:col>7</xdr:col>
      <xdr:colOff>209550</xdr:colOff>
      <xdr:row>5</xdr:row>
      <xdr:rowOff>0</xdr:rowOff>
    </xdr:from>
    <xdr:to>
      <xdr:col>11</xdr:col>
      <xdr:colOff>123825</xdr:colOff>
      <xdr:row>9</xdr:row>
      <xdr:rowOff>19050</xdr:rowOff>
    </xdr:to>
    <xdr:sp macro="" textlink="">
      <xdr:nvSpPr>
        <xdr:cNvPr id="24" name="Rectangle: Rounded Corners 23">
          <a:extLst>
            <a:ext uri="{FF2B5EF4-FFF2-40B4-BE49-F238E27FC236}">
              <a16:creationId xmlns:a16="http://schemas.microsoft.com/office/drawing/2014/main" id="{087EDFC3-849E-B165-935E-64B49CF6E86B}"/>
            </a:ext>
          </a:extLst>
        </xdr:cNvPr>
        <xdr:cNvSpPr/>
      </xdr:nvSpPr>
      <xdr:spPr>
        <a:xfrm>
          <a:off x="4476750" y="952500"/>
          <a:ext cx="2352675" cy="7810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152400</xdr:colOff>
      <xdr:row>5</xdr:row>
      <xdr:rowOff>19050</xdr:rowOff>
    </xdr:from>
    <xdr:to>
      <xdr:col>11</xdr:col>
      <xdr:colOff>209550</xdr:colOff>
      <xdr:row>6</xdr:row>
      <xdr:rowOff>104775</xdr:rowOff>
    </xdr:to>
    <xdr:sp macro="" textlink="">
      <xdr:nvSpPr>
        <xdr:cNvPr id="25" name="TextBox 24">
          <a:extLst>
            <a:ext uri="{FF2B5EF4-FFF2-40B4-BE49-F238E27FC236}">
              <a16:creationId xmlns:a16="http://schemas.microsoft.com/office/drawing/2014/main" id="{3E25BE1C-8766-4068-9425-7860188BC190}"/>
            </a:ext>
          </a:extLst>
        </xdr:cNvPr>
        <xdr:cNvSpPr txBox="1"/>
      </xdr:nvSpPr>
      <xdr:spPr>
        <a:xfrm>
          <a:off x="5029200" y="971550"/>
          <a:ext cx="18859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70C0"/>
              </a:solidFill>
            </a:rPr>
            <a:t>Total</a:t>
          </a:r>
          <a:r>
            <a:rPr lang="en-US" sz="1800" b="1" baseline="0">
              <a:solidFill>
                <a:srgbClr val="0070C0"/>
              </a:solidFill>
            </a:rPr>
            <a:t> Expenses </a:t>
          </a:r>
          <a:endParaRPr lang="en-US" sz="1800" b="1">
            <a:solidFill>
              <a:srgbClr val="0070C0"/>
            </a:solidFill>
          </a:endParaRPr>
        </a:p>
      </xdr:txBody>
    </xdr:sp>
    <xdr:clientData/>
  </xdr:twoCellAnchor>
  <xdr:twoCellAnchor>
    <xdr:from>
      <xdr:col>11</xdr:col>
      <xdr:colOff>285750</xdr:colOff>
      <xdr:row>5</xdr:row>
      <xdr:rowOff>0</xdr:rowOff>
    </xdr:from>
    <xdr:to>
      <xdr:col>15</xdr:col>
      <xdr:colOff>19050</xdr:colOff>
      <xdr:row>9</xdr:row>
      <xdr:rowOff>19050</xdr:rowOff>
    </xdr:to>
    <xdr:sp macro="" textlink="">
      <xdr:nvSpPr>
        <xdr:cNvPr id="26" name="Rectangle: Rounded Corners 25">
          <a:extLst>
            <a:ext uri="{FF2B5EF4-FFF2-40B4-BE49-F238E27FC236}">
              <a16:creationId xmlns:a16="http://schemas.microsoft.com/office/drawing/2014/main" id="{41052FED-9E39-7568-EF43-FD25B2641162}"/>
            </a:ext>
          </a:extLst>
        </xdr:cNvPr>
        <xdr:cNvSpPr/>
      </xdr:nvSpPr>
      <xdr:spPr>
        <a:xfrm>
          <a:off x="6991350" y="952500"/>
          <a:ext cx="2171700" cy="7810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180975</xdr:colOff>
      <xdr:row>5</xdr:row>
      <xdr:rowOff>9525</xdr:rowOff>
    </xdr:from>
    <xdr:to>
      <xdr:col>15</xdr:col>
      <xdr:colOff>238125</xdr:colOff>
      <xdr:row>6</xdr:row>
      <xdr:rowOff>95250</xdr:rowOff>
    </xdr:to>
    <xdr:sp macro="" textlink="">
      <xdr:nvSpPr>
        <xdr:cNvPr id="27" name="TextBox 26">
          <a:extLst>
            <a:ext uri="{FF2B5EF4-FFF2-40B4-BE49-F238E27FC236}">
              <a16:creationId xmlns:a16="http://schemas.microsoft.com/office/drawing/2014/main" id="{DEA3C83D-B3D7-A056-B18C-14493A2EB9CE}"/>
            </a:ext>
          </a:extLst>
        </xdr:cNvPr>
        <xdr:cNvSpPr txBox="1"/>
      </xdr:nvSpPr>
      <xdr:spPr>
        <a:xfrm>
          <a:off x="7496175" y="962025"/>
          <a:ext cx="18859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70C0"/>
              </a:solidFill>
            </a:rPr>
            <a:t>Total</a:t>
          </a:r>
          <a:r>
            <a:rPr lang="en-US" sz="1800" b="1" baseline="0">
              <a:solidFill>
                <a:srgbClr val="0070C0"/>
              </a:solidFill>
            </a:rPr>
            <a:t> Saving</a:t>
          </a:r>
          <a:endParaRPr lang="en-US" sz="1800" b="1">
            <a:solidFill>
              <a:srgbClr val="0070C0"/>
            </a:solidFill>
          </a:endParaRPr>
        </a:p>
      </xdr:txBody>
    </xdr:sp>
    <xdr:clientData/>
  </xdr:twoCellAnchor>
  <xdr:twoCellAnchor editAs="oneCell">
    <xdr:from>
      <xdr:col>18</xdr:col>
      <xdr:colOff>38100</xdr:colOff>
      <xdr:row>0</xdr:row>
      <xdr:rowOff>85725</xdr:rowOff>
    </xdr:from>
    <xdr:to>
      <xdr:col>19</xdr:col>
      <xdr:colOff>104775</xdr:colOff>
      <xdr:row>4</xdr:row>
      <xdr:rowOff>0</xdr:rowOff>
    </xdr:to>
    <xdr:pic>
      <xdr:nvPicPr>
        <xdr:cNvPr id="43" name="Graphic 42" descr="Briefcase with solid fill">
          <a:extLst>
            <a:ext uri="{FF2B5EF4-FFF2-40B4-BE49-F238E27FC236}">
              <a16:creationId xmlns:a16="http://schemas.microsoft.com/office/drawing/2014/main" id="{B1B7CDB6-905B-4330-964D-C28B593BE85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010900" y="85725"/>
          <a:ext cx="676275" cy="676275"/>
        </a:xfrm>
        <a:prstGeom prst="rect">
          <a:avLst/>
        </a:prstGeom>
      </xdr:spPr>
    </xdr:pic>
    <xdr:clientData/>
  </xdr:twoCellAnchor>
  <xdr:twoCellAnchor editAs="oneCell">
    <xdr:from>
      <xdr:col>11</xdr:col>
      <xdr:colOff>311925</xdr:colOff>
      <xdr:row>4</xdr:row>
      <xdr:rowOff>178575</xdr:rowOff>
    </xdr:from>
    <xdr:to>
      <xdr:col>12</xdr:col>
      <xdr:colOff>533400</xdr:colOff>
      <xdr:row>9</xdr:row>
      <xdr:rowOff>57150</xdr:rowOff>
    </xdr:to>
    <xdr:pic>
      <xdr:nvPicPr>
        <xdr:cNvPr id="44" name="Graphic 43" descr="Coins with solid fill">
          <a:extLst>
            <a:ext uri="{FF2B5EF4-FFF2-40B4-BE49-F238E27FC236}">
              <a16:creationId xmlns:a16="http://schemas.microsoft.com/office/drawing/2014/main" id="{170B860D-0A0C-4777-9192-340A6D0FC07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017525" y="940575"/>
          <a:ext cx="831075" cy="831075"/>
        </a:xfrm>
        <a:prstGeom prst="rect">
          <a:avLst/>
        </a:prstGeom>
      </xdr:spPr>
    </xdr:pic>
    <xdr:clientData/>
  </xdr:twoCellAnchor>
  <xdr:twoCellAnchor editAs="oneCell">
    <xdr:from>
      <xdr:col>7</xdr:col>
      <xdr:colOff>280875</xdr:colOff>
      <xdr:row>5</xdr:row>
      <xdr:rowOff>61800</xdr:rowOff>
    </xdr:from>
    <xdr:to>
      <xdr:col>8</xdr:col>
      <xdr:colOff>428625</xdr:colOff>
      <xdr:row>9</xdr:row>
      <xdr:rowOff>57150</xdr:rowOff>
    </xdr:to>
    <xdr:pic>
      <xdr:nvPicPr>
        <xdr:cNvPr id="46" name="Graphic 45" descr="Money with solid fill">
          <a:extLst>
            <a:ext uri="{FF2B5EF4-FFF2-40B4-BE49-F238E27FC236}">
              <a16:creationId xmlns:a16="http://schemas.microsoft.com/office/drawing/2014/main" id="{6A42098A-F0F5-4EF6-91EC-E1279AD1393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548075" y="1014300"/>
          <a:ext cx="757350" cy="757350"/>
        </a:xfrm>
        <a:prstGeom prst="rect">
          <a:avLst/>
        </a:prstGeom>
      </xdr:spPr>
    </xdr:pic>
    <xdr:clientData/>
  </xdr:twoCellAnchor>
  <xdr:twoCellAnchor editAs="oneCell">
    <xdr:from>
      <xdr:col>2</xdr:col>
      <xdr:colOff>523800</xdr:colOff>
      <xdr:row>0</xdr:row>
      <xdr:rowOff>85650</xdr:rowOff>
    </xdr:from>
    <xdr:to>
      <xdr:col>3</xdr:col>
      <xdr:colOff>561975</xdr:colOff>
      <xdr:row>3</xdr:row>
      <xdr:rowOff>161925</xdr:rowOff>
    </xdr:to>
    <xdr:pic>
      <xdr:nvPicPr>
        <xdr:cNvPr id="47" name="Graphic 46" descr="Monitor with solid fill">
          <a:extLst>
            <a:ext uri="{FF2B5EF4-FFF2-40B4-BE49-F238E27FC236}">
              <a16:creationId xmlns:a16="http://schemas.microsoft.com/office/drawing/2014/main" id="{76C1C70E-ADF3-430D-BEB2-CA596091D3C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743000" y="85650"/>
          <a:ext cx="647775" cy="647775"/>
        </a:xfrm>
        <a:prstGeom prst="rect">
          <a:avLst/>
        </a:prstGeom>
      </xdr:spPr>
    </xdr:pic>
    <xdr:clientData/>
  </xdr:twoCellAnchor>
  <xdr:twoCellAnchor editAs="oneCell">
    <xdr:from>
      <xdr:col>3</xdr:col>
      <xdr:colOff>28575</xdr:colOff>
      <xdr:row>5</xdr:row>
      <xdr:rowOff>28575</xdr:rowOff>
    </xdr:from>
    <xdr:to>
      <xdr:col>4</xdr:col>
      <xdr:colOff>76200</xdr:colOff>
      <xdr:row>8</xdr:row>
      <xdr:rowOff>114300</xdr:rowOff>
    </xdr:to>
    <xdr:pic>
      <xdr:nvPicPr>
        <xdr:cNvPr id="49" name="Graphic 48" descr="Dollar with solid fill">
          <a:extLst>
            <a:ext uri="{FF2B5EF4-FFF2-40B4-BE49-F238E27FC236}">
              <a16:creationId xmlns:a16="http://schemas.microsoft.com/office/drawing/2014/main" id="{05016588-D4AA-270D-BC12-9011C12FC85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857375" y="981075"/>
          <a:ext cx="657225" cy="657225"/>
        </a:xfrm>
        <a:prstGeom prst="rect">
          <a:avLst/>
        </a:prstGeom>
      </xdr:spPr>
    </xdr:pic>
    <xdr:clientData/>
  </xdr:twoCellAnchor>
  <xdr:twoCellAnchor>
    <xdr:from>
      <xdr:col>3</xdr:col>
      <xdr:colOff>600075</xdr:colOff>
      <xdr:row>6</xdr:row>
      <xdr:rowOff>152400</xdr:rowOff>
    </xdr:from>
    <xdr:to>
      <xdr:col>7</xdr:col>
      <xdr:colOff>47625</xdr:colOff>
      <xdr:row>8</xdr:row>
      <xdr:rowOff>47625</xdr:rowOff>
    </xdr:to>
    <xdr:sp macro="" textlink="'Pivot Table'!A5">
      <xdr:nvSpPr>
        <xdr:cNvPr id="50" name="TextBox 49">
          <a:extLst>
            <a:ext uri="{FF2B5EF4-FFF2-40B4-BE49-F238E27FC236}">
              <a16:creationId xmlns:a16="http://schemas.microsoft.com/office/drawing/2014/main" id="{B15B56AA-04B3-C87C-DFE4-D56319A02976}"/>
            </a:ext>
          </a:extLst>
        </xdr:cNvPr>
        <xdr:cNvSpPr txBox="1"/>
      </xdr:nvSpPr>
      <xdr:spPr>
        <a:xfrm>
          <a:off x="2428875" y="1295400"/>
          <a:ext cx="18859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50B209-2DE6-43F0-82BB-5C1954F72CCC}" type="TxLink">
            <a:rPr lang="en-US" sz="2400" b="1" i="0" u="none" strike="noStrike">
              <a:solidFill>
                <a:srgbClr val="000000"/>
              </a:solidFill>
              <a:latin typeface="Aptos Narrow"/>
            </a:rPr>
            <a:pPr algn="ctr"/>
            <a:t>$48.0K</a:t>
          </a:fld>
          <a:endParaRPr lang="en-US" sz="4000" b="1">
            <a:solidFill>
              <a:srgbClr val="0070C0"/>
            </a:solidFill>
          </a:endParaRPr>
        </a:p>
      </xdr:txBody>
    </xdr:sp>
    <xdr:clientData/>
  </xdr:twoCellAnchor>
  <xdr:twoCellAnchor>
    <xdr:from>
      <xdr:col>8</xdr:col>
      <xdr:colOff>161925</xdr:colOff>
      <xdr:row>6</xdr:row>
      <xdr:rowOff>180975</xdr:rowOff>
    </xdr:from>
    <xdr:to>
      <xdr:col>11</xdr:col>
      <xdr:colOff>219075</xdr:colOff>
      <xdr:row>8</xdr:row>
      <xdr:rowOff>76200</xdr:rowOff>
    </xdr:to>
    <xdr:sp macro="" textlink="'Pivot Table'!A8">
      <xdr:nvSpPr>
        <xdr:cNvPr id="51" name="TextBox 50">
          <a:extLst>
            <a:ext uri="{FF2B5EF4-FFF2-40B4-BE49-F238E27FC236}">
              <a16:creationId xmlns:a16="http://schemas.microsoft.com/office/drawing/2014/main" id="{5640B2F1-627C-23B1-BB75-6812A0CD0E60}"/>
            </a:ext>
          </a:extLst>
        </xdr:cNvPr>
        <xdr:cNvSpPr txBox="1"/>
      </xdr:nvSpPr>
      <xdr:spPr>
        <a:xfrm>
          <a:off x="5038725" y="1323975"/>
          <a:ext cx="18859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8EC173-699F-4CCD-B8B2-E377A814FFFC}" type="TxLink">
            <a:rPr lang="en-US" sz="2400" b="1" i="0" u="none" strike="noStrike">
              <a:solidFill>
                <a:srgbClr val="000000"/>
              </a:solidFill>
              <a:latin typeface="Aptos Narrow"/>
              <a:ea typeface="+mn-ea"/>
              <a:cs typeface="+mn-cs"/>
            </a:rPr>
            <a:pPr marL="0" indent="0" algn="ctr"/>
            <a:t>$36.8K</a:t>
          </a:fld>
          <a:endParaRPr lang="en-US" sz="2400" b="1" i="0" u="none" strike="noStrike">
            <a:solidFill>
              <a:srgbClr val="000000"/>
            </a:solidFill>
            <a:latin typeface="Aptos Narrow"/>
            <a:ea typeface="+mn-ea"/>
            <a:cs typeface="+mn-cs"/>
          </a:endParaRPr>
        </a:p>
      </xdr:txBody>
    </xdr:sp>
    <xdr:clientData/>
  </xdr:twoCellAnchor>
  <xdr:twoCellAnchor>
    <xdr:from>
      <xdr:col>12</xdr:col>
      <xdr:colOff>180975</xdr:colOff>
      <xdr:row>6</xdr:row>
      <xdr:rowOff>171450</xdr:rowOff>
    </xdr:from>
    <xdr:to>
      <xdr:col>15</xdr:col>
      <xdr:colOff>238125</xdr:colOff>
      <xdr:row>8</xdr:row>
      <xdr:rowOff>66675</xdr:rowOff>
    </xdr:to>
    <xdr:sp macro="" textlink="'Pivot Table'!A11">
      <xdr:nvSpPr>
        <xdr:cNvPr id="52" name="TextBox 51">
          <a:extLst>
            <a:ext uri="{FF2B5EF4-FFF2-40B4-BE49-F238E27FC236}">
              <a16:creationId xmlns:a16="http://schemas.microsoft.com/office/drawing/2014/main" id="{778462E3-EF92-4B59-898F-D5B294914FC1}"/>
            </a:ext>
          </a:extLst>
        </xdr:cNvPr>
        <xdr:cNvSpPr txBox="1"/>
      </xdr:nvSpPr>
      <xdr:spPr>
        <a:xfrm>
          <a:off x="7496175" y="1314450"/>
          <a:ext cx="18859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74A29B2-3FCE-450A-9099-09DF8F67BDC0}" type="TxLink">
            <a:rPr lang="en-US" sz="2400" b="1" i="0" u="none" strike="noStrike">
              <a:solidFill>
                <a:srgbClr val="000000"/>
              </a:solidFill>
              <a:latin typeface="Aptos Narrow"/>
              <a:ea typeface="+mn-ea"/>
              <a:cs typeface="+mn-cs"/>
            </a:rPr>
            <a:pPr marL="0" indent="0" algn="ctr"/>
            <a:t>$11.2K</a:t>
          </a:fld>
          <a:endParaRPr lang="en-US" sz="2400" b="1" i="0" u="none" strike="noStrike">
            <a:solidFill>
              <a:srgbClr val="000000"/>
            </a:solidFill>
            <a:latin typeface="Aptos Narrow"/>
            <a:ea typeface="+mn-ea"/>
            <a:cs typeface="+mn-cs"/>
          </a:endParaRPr>
        </a:p>
      </xdr:txBody>
    </xdr:sp>
    <xdr:clientData/>
  </xdr:twoCellAnchor>
  <xdr:twoCellAnchor>
    <xdr:from>
      <xdr:col>16</xdr:col>
      <xdr:colOff>219075</xdr:colOff>
      <xdr:row>4</xdr:row>
      <xdr:rowOff>180975</xdr:rowOff>
    </xdr:from>
    <xdr:to>
      <xdr:col>19</xdr:col>
      <xdr:colOff>276225</xdr:colOff>
      <xdr:row>6</xdr:row>
      <xdr:rowOff>76200</xdr:rowOff>
    </xdr:to>
    <xdr:sp macro="" textlink="">
      <xdr:nvSpPr>
        <xdr:cNvPr id="53" name="TextBox 52">
          <a:extLst>
            <a:ext uri="{FF2B5EF4-FFF2-40B4-BE49-F238E27FC236}">
              <a16:creationId xmlns:a16="http://schemas.microsoft.com/office/drawing/2014/main" id="{6955E135-CFAE-AB6F-B02A-6ADFE0CEF22B}"/>
            </a:ext>
          </a:extLst>
        </xdr:cNvPr>
        <xdr:cNvSpPr txBox="1"/>
      </xdr:nvSpPr>
      <xdr:spPr>
        <a:xfrm>
          <a:off x="9972675" y="942975"/>
          <a:ext cx="18859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0070C0"/>
              </a:solidFill>
            </a:rPr>
            <a:t>% Money Saving</a:t>
          </a:r>
        </a:p>
      </xdr:txBody>
    </xdr:sp>
    <xdr:clientData/>
  </xdr:twoCellAnchor>
  <xdr:twoCellAnchor>
    <xdr:from>
      <xdr:col>16</xdr:col>
      <xdr:colOff>190500</xdr:colOff>
      <xdr:row>6</xdr:row>
      <xdr:rowOff>152400</xdr:rowOff>
    </xdr:from>
    <xdr:to>
      <xdr:col>19</xdr:col>
      <xdr:colOff>247650</xdr:colOff>
      <xdr:row>8</xdr:row>
      <xdr:rowOff>47625</xdr:rowOff>
    </xdr:to>
    <xdr:sp macro="" textlink="'Pivot Table'!A14">
      <xdr:nvSpPr>
        <xdr:cNvPr id="54" name="TextBox 53">
          <a:extLst>
            <a:ext uri="{FF2B5EF4-FFF2-40B4-BE49-F238E27FC236}">
              <a16:creationId xmlns:a16="http://schemas.microsoft.com/office/drawing/2014/main" id="{8D2E03C9-6F21-B808-FB8F-AAC4159A033C}"/>
            </a:ext>
          </a:extLst>
        </xdr:cNvPr>
        <xdr:cNvSpPr txBox="1"/>
      </xdr:nvSpPr>
      <xdr:spPr>
        <a:xfrm>
          <a:off x="9944100" y="1295400"/>
          <a:ext cx="18859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8E63D7-0C66-45B3-B5EB-671422A6C3F5}" type="TxLink">
            <a:rPr lang="en-US" sz="2400" b="1" i="0" u="none" strike="noStrike">
              <a:solidFill>
                <a:srgbClr val="000000"/>
              </a:solidFill>
              <a:latin typeface="Aptos Narrow"/>
              <a:ea typeface="+mn-ea"/>
              <a:cs typeface="+mn-cs"/>
            </a:rPr>
            <a:pPr marL="0" indent="0" algn="ctr"/>
            <a:t>23.3%</a:t>
          </a:fld>
          <a:endParaRPr lang="en-US" sz="2400" b="1" i="0" u="none" strike="noStrike">
            <a:solidFill>
              <a:srgbClr val="000000"/>
            </a:solidFill>
            <a:latin typeface="Aptos Narrow"/>
            <a:ea typeface="+mn-ea"/>
            <a:cs typeface="+mn-cs"/>
          </a:endParaRPr>
        </a:p>
      </xdr:txBody>
    </xdr:sp>
    <xdr:clientData/>
  </xdr:twoCellAnchor>
  <xdr:twoCellAnchor editAs="oneCell">
    <xdr:from>
      <xdr:col>15</xdr:col>
      <xdr:colOff>247650</xdr:colOff>
      <xdr:row>5</xdr:row>
      <xdr:rowOff>38100</xdr:rowOff>
    </xdr:from>
    <xdr:to>
      <xdr:col>16</xdr:col>
      <xdr:colOff>304800</xdr:colOff>
      <xdr:row>8</xdr:row>
      <xdr:rowOff>133350</xdr:rowOff>
    </xdr:to>
    <xdr:pic>
      <xdr:nvPicPr>
        <xdr:cNvPr id="56" name="Graphic 55" descr="Bar graph with upward trend with solid fill">
          <a:extLst>
            <a:ext uri="{FF2B5EF4-FFF2-40B4-BE49-F238E27FC236}">
              <a16:creationId xmlns:a16="http://schemas.microsoft.com/office/drawing/2014/main" id="{54A6C828-C2E4-795A-FCEA-9FCCAA92EE6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391650" y="990600"/>
          <a:ext cx="666750" cy="6667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4.509260300925" createdVersion="8" refreshedVersion="8" minRefreshableVersion="3" recordCount="563" xr:uid="{626DE9C9-D481-4ECB-8158-C635415B8C31}">
  <cacheSource type="worksheet">
    <worksheetSource name="tbl_main"/>
  </cacheSource>
  <cacheFields count="12">
    <cacheField name="Account" numFmtId="0">
      <sharedItems/>
    </cacheField>
    <cacheField name="Date" numFmtId="14">
      <sharedItems containsSemiMixedTypes="0" containsNonDate="0" containsDate="1" containsString="0" minDate="2021-01-04T00:00:00" maxDate="2022-01-01T00:00:00"/>
    </cacheField>
    <cacheField name="Description" numFmtId="0">
      <sharedItems count="28">
        <s v="ACME Pty Ltd"/>
        <s v="Ground"/>
        <s v="Estate Mgt."/>
        <s v="Finance Co."/>
        <s v="Green's"/>
        <s v="Elec. Co."/>
        <s v="Fuel. Co"/>
        <s v="Event Cinemas"/>
        <s v="Fashionistas"/>
        <s v="Joe's Grill"/>
        <s v="Taxi Co."/>
        <s v="Muscle Beach"/>
        <s v="Smile Dental"/>
        <s v="Phone Co."/>
        <s v="Sam's Gifts"/>
        <s v="Streaming Co."/>
        <s v="Pizza Pomodoro"/>
        <s v="Golden Arches"/>
        <s v="Worldvision"/>
        <s v="Ted's Trainers"/>
        <s v="Ticketek"/>
        <s v="Global Fashion"/>
        <s v="Village Medical"/>
        <s v="Sports Co."/>
        <s v="Foodary"/>
        <s v="BW Club"/>
        <s v="Home Decorator"/>
        <s v="Fodary"/>
      </sharedItems>
    </cacheField>
    <cacheField name="Sub-category" numFmtId="0">
      <sharedItems count="16">
        <s v="Salary"/>
        <s v="Coffee"/>
        <s v="Rent"/>
        <s v="Entertainment"/>
        <s v="Groceries"/>
        <s v="Gas/Electrics"/>
        <s v="MV Fuel"/>
        <s v="Clothes"/>
        <s v="Restaurant"/>
        <s v="Taxi"/>
        <s v="Gym"/>
        <s v="Doctor"/>
        <s v="Phone"/>
        <s v="Gifts"/>
        <s v="Donation"/>
        <s v="Furnishings"/>
      </sharedItems>
    </cacheField>
    <cacheField name="Category" numFmtId="0">
      <sharedItems count="7">
        <s v="Salary"/>
        <s v="Dining Out"/>
        <s v="Living Expenses"/>
        <s v="Transport"/>
        <s v="Discretionary"/>
        <s v="Medical"/>
        <s v="Charity"/>
      </sharedItems>
    </cacheField>
    <cacheField name="Category Type" numFmtId="0">
      <sharedItems count="2">
        <s v="Income"/>
        <s v="Expense"/>
      </sharedItems>
    </cacheField>
    <cacheField name="Debit" numFmtId="0">
      <sharedItems containsString="0" containsBlank="1" containsNumber="1" minValue="5" maxValue="1504"/>
    </cacheField>
    <cacheField name="Credit" numFmtId="0">
      <sharedItems containsString="0" containsBlank="1" containsNumber="1" containsInteger="1" minValue="4000" maxValue="4000"/>
    </cacheField>
    <cacheField name="Amount" numFmtId="0">
      <sharedItems containsSemiMixedTypes="0" containsString="0" containsNumber="1" minValue="-1504" maxValue="4000"/>
    </cacheField>
    <cacheField name="Year" numFmtId="0">
      <sharedItems containsSemiMixedTypes="0" containsString="0" containsNumber="1" containsInteger="1" minValue="2021" maxValue="2021"/>
    </cacheField>
    <cacheField name="Month" numFmtId="0">
      <sharedItems count="12">
        <s v="Jan"/>
        <s v="Feb"/>
        <s v="Mar"/>
        <s v="Apr"/>
        <s v="May"/>
        <s v="Jun"/>
        <s v="Jul"/>
        <s v="Aug"/>
        <s v="Sep"/>
        <s v="Oct"/>
        <s v="Nov"/>
        <s v="Dec"/>
      </sharedItems>
    </cacheField>
    <cacheField name="Saving" numFmtId="0" formula="Credit-Debit" databaseField="0"/>
  </cacheFields>
  <extLst>
    <ext xmlns:x14="http://schemas.microsoft.com/office/spreadsheetml/2009/9/main" uri="{725AE2AE-9491-48be-B2B4-4EB974FC3084}">
      <x14:pivotCacheDefinition pivotCacheId="9654022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3">
  <r>
    <s v="Checking"/>
    <d v="2021-01-04T00:00:00"/>
    <x v="0"/>
    <x v="0"/>
    <x v="0"/>
    <x v="0"/>
    <m/>
    <n v="4000"/>
    <n v="4000"/>
    <n v="2021"/>
    <x v="0"/>
  </r>
  <r>
    <s v="Credit"/>
    <d v="2021-01-04T00:00:00"/>
    <x v="1"/>
    <x v="1"/>
    <x v="1"/>
    <x v="1"/>
    <n v="5"/>
    <m/>
    <n v="-5"/>
    <n v="2021"/>
    <x v="0"/>
  </r>
  <r>
    <s v="Checking"/>
    <d v="2021-01-05T00:00:00"/>
    <x v="2"/>
    <x v="2"/>
    <x v="2"/>
    <x v="1"/>
    <n v="900"/>
    <m/>
    <n v="-900"/>
    <n v="2021"/>
    <x v="0"/>
  </r>
  <r>
    <s v="Checking"/>
    <d v="2021-01-05T00:00:00"/>
    <x v="3"/>
    <x v="3"/>
    <x v="3"/>
    <x v="1"/>
    <n v="150"/>
    <m/>
    <n v="-150"/>
    <n v="2021"/>
    <x v="0"/>
  </r>
  <r>
    <s v="Credit"/>
    <d v="2021-01-05T00:00:00"/>
    <x v="1"/>
    <x v="1"/>
    <x v="1"/>
    <x v="1"/>
    <n v="5"/>
    <m/>
    <n v="-5"/>
    <n v="2021"/>
    <x v="0"/>
  </r>
  <r>
    <s v="Credit"/>
    <d v="2021-01-06T00:00:00"/>
    <x v="1"/>
    <x v="1"/>
    <x v="1"/>
    <x v="1"/>
    <n v="5"/>
    <m/>
    <n v="-5"/>
    <n v="2021"/>
    <x v="0"/>
  </r>
  <r>
    <s v="Credit"/>
    <d v="2021-01-07T00:00:00"/>
    <x v="1"/>
    <x v="1"/>
    <x v="1"/>
    <x v="1"/>
    <n v="5"/>
    <m/>
    <n v="-5"/>
    <n v="2021"/>
    <x v="0"/>
  </r>
  <r>
    <s v="Credit"/>
    <d v="2021-01-08T00:00:00"/>
    <x v="1"/>
    <x v="1"/>
    <x v="1"/>
    <x v="1"/>
    <n v="5"/>
    <m/>
    <n v="-5"/>
    <n v="2021"/>
    <x v="0"/>
  </r>
  <r>
    <s v="Credit"/>
    <d v="2021-01-08T00:00:00"/>
    <x v="4"/>
    <x v="4"/>
    <x v="2"/>
    <x v="1"/>
    <n v="155"/>
    <m/>
    <n v="-155"/>
    <n v="2021"/>
    <x v="0"/>
  </r>
  <r>
    <s v="Checking"/>
    <d v="2021-01-11T00:00:00"/>
    <x v="5"/>
    <x v="5"/>
    <x v="2"/>
    <x v="1"/>
    <n v="50"/>
    <m/>
    <n v="-50"/>
    <n v="2021"/>
    <x v="0"/>
  </r>
  <r>
    <s v="Credit"/>
    <d v="2021-01-11T00:00:00"/>
    <x v="1"/>
    <x v="1"/>
    <x v="1"/>
    <x v="1"/>
    <n v="5"/>
    <m/>
    <n v="-5"/>
    <n v="2021"/>
    <x v="0"/>
  </r>
  <r>
    <s v="Credit"/>
    <d v="2021-01-12T00:00:00"/>
    <x v="1"/>
    <x v="1"/>
    <x v="1"/>
    <x v="1"/>
    <n v="5"/>
    <m/>
    <n v="-5"/>
    <n v="2021"/>
    <x v="0"/>
  </r>
  <r>
    <s v="Credit"/>
    <d v="2021-01-13T00:00:00"/>
    <x v="6"/>
    <x v="6"/>
    <x v="3"/>
    <x v="1"/>
    <n v="77"/>
    <m/>
    <n v="-77"/>
    <n v="2021"/>
    <x v="0"/>
  </r>
  <r>
    <s v="Credit"/>
    <d v="2021-01-13T00:00:00"/>
    <x v="1"/>
    <x v="1"/>
    <x v="1"/>
    <x v="1"/>
    <n v="5"/>
    <m/>
    <n v="-5"/>
    <n v="2021"/>
    <x v="0"/>
  </r>
  <r>
    <s v="Credit"/>
    <d v="2021-01-14T00:00:00"/>
    <x v="1"/>
    <x v="1"/>
    <x v="1"/>
    <x v="1"/>
    <n v="5"/>
    <m/>
    <n v="-5"/>
    <n v="2021"/>
    <x v="0"/>
  </r>
  <r>
    <s v="Credit"/>
    <d v="2021-01-15T00:00:00"/>
    <x v="4"/>
    <x v="4"/>
    <x v="2"/>
    <x v="1"/>
    <n v="135"/>
    <m/>
    <n v="-135"/>
    <n v="2021"/>
    <x v="0"/>
  </r>
  <r>
    <s v="Credit"/>
    <d v="2021-01-15T00:00:00"/>
    <x v="1"/>
    <x v="1"/>
    <x v="1"/>
    <x v="1"/>
    <n v="5"/>
    <m/>
    <n v="-5"/>
    <n v="2021"/>
    <x v="0"/>
  </r>
  <r>
    <s v="Credit"/>
    <d v="2021-01-16T00:00:00"/>
    <x v="1"/>
    <x v="1"/>
    <x v="1"/>
    <x v="1"/>
    <n v="5"/>
    <m/>
    <n v="-5"/>
    <n v="2021"/>
    <x v="0"/>
  </r>
  <r>
    <s v="Credit"/>
    <d v="2021-01-16T00:00:00"/>
    <x v="7"/>
    <x v="3"/>
    <x v="4"/>
    <x v="1"/>
    <n v="40"/>
    <m/>
    <n v="-40"/>
    <n v="2021"/>
    <x v="0"/>
  </r>
  <r>
    <s v="Credit"/>
    <d v="2021-01-16T00:00:00"/>
    <x v="8"/>
    <x v="7"/>
    <x v="4"/>
    <x v="1"/>
    <n v="98"/>
    <m/>
    <n v="-98"/>
    <n v="2021"/>
    <x v="0"/>
  </r>
  <r>
    <s v="Credit"/>
    <d v="2021-01-16T00:00:00"/>
    <x v="9"/>
    <x v="8"/>
    <x v="1"/>
    <x v="1"/>
    <n v="52"/>
    <m/>
    <n v="-52"/>
    <n v="2021"/>
    <x v="0"/>
  </r>
  <r>
    <s v="Credit"/>
    <d v="2021-01-17T00:00:00"/>
    <x v="10"/>
    <x v="9"/>
    <x v="3"/>
    <x v="1"/>
    <n v="28"/>
    <m/>
    <n v="-28"/>
    <n v="2021"/>
    <x v="0"/>
  </r>
  <r>
    <s v="Checking"/>
    <d v="2021-01-18T00:00:00"/>
    <x v="11"/>
    <x v="10"/>
    <x v="4"/>
    <x v="1"/>
    <n v="30"/>
    <m/>
    <n v="-30"/>
    <n v="2021"/>
    <x v="0"/>
  </r>
  <r>
    <s v="Credit"/>
    <d v="2021-01-18T00:00:00"/>
    <x v="1"/>
    <x v="1"/>
    <x v="1"/>
    <x v="1"/>
    <n v="5"/>
    <m/>
    <n v="-5"/>
    <n v="2021"/>
    <x v="0"/>
  </r>
  <r>
    <s v="Credit"/>
    <d v="2021-01-19T00:00:00"/>
    <x v="1"/>
    <x v="1"/>
    <x v="1"/>
    <x v="1"/>
    <n v="5"/>
    <m/>
    <n v="-5"/>
    <n v="2021"/>
    <x v="0"/>
  </r>
  <r>
    <s v="Checking"/>
    <d v="2021-01-19T00:00:00"/>
    <x v="12"/>
    <x v="11"/>
    <x v="5"/>
    <x v="1"/>
    <n v="1504"/>
    <m/>
    <n v="-1504"/>
    <n v="2021"/>
    <x v="0"/>
  </r>
  <r>
    <s v="Checking"/>
    <d v="2021-01-19T00:00:00"/>
    <x v="13"/>
    <x v="12"/>
    <x v="2"/>
    <x v="1"/>
    <n v="40"/>
    <m/>
    <n v="-40"/>
    <n v="2021"/>
    <x v="0"/>
  </r>
  <r>
    <s v="Credit"/>
    <d v="2021-01-20T00:00:00"/>
    <x v="14"/>
    <x v="13"/>
    <x v="4"/>
    <x v="1"/>
    <n v="45"/>
    <m/>
    <n v="-45"/>
    <n v="2021"/>
    <x v="0"/>
  </r>
  <r>
    <s v="Credit"/>
    <d v="2021-01-20T00:00:00"/>
    <x v="15"/>
    <x v="3"/>
    <x v="4"/>
    <x v="1"/>
    <n v="32"/>
    <m/>
    <n v="-32"/>
    <n v="2021"/>
    <x v="0"/>
  </r>
  <r>
    <s v="Credit"/>
    <d v="2021-01-20T00:00:00"/>
    <x v="1"/>
    <x v="1"/>
    <x v="1"/>
    <x v="1"/>
    <n v="5"/>
    <m/>
    <n v="-5"/>
    <n v="2021"/>
    <x v="0"/>
  </r>
  <r>
    <s v="Credit"/>
    <d v="2021-01-21T00:00:00"/>
    <x v="1"/>
    <x v="1"/>
    <x v="1"/>
    <x v="1"/>
    <n v="5"/>
    <m/>
    <n v="-5"/>
    <n v="2021"/>
    <x v="0"/>
  </r>
  <r>
    <s v="Credit"/>
    <d v="2021-01-22T00:00:00"/>
    <x v="1"/>
    <x v="1"/>
    <x v="1"/>
    <x v="1"/>
    <n v="5"/>
    <m/>
    <n v="-5"/>
    <n v="2021"/>
    <x v="0"/>
  </r>
  <r>
    <s v="Credit"/>
    <d v="2021-01-22T00:00:00"/>
    <x v="4"/>
    <x v="4"/>
    <x v="2"/>
    <x v="1"/>
    <n v="170"/>
    <m/>
    <n v="-170"/>
    <n v="2021"/>
    <x v="0"/>
  </r>
  <r>
    <s v="Credit"/>
    <d v="2021-01-23T00:00:00"/>
    <x v="16"/>
    <x v="8"/>
    <x v="1"/>
    <x v="1"/>
    <n v="37"/>
    <m/>
    <n v="-37"/>
    <n v="2021"/>
    <x v="0"/>
  </r>
  <r>
    <s v="Credit"/>
    <d v="2021-01-24T00:00:00"/>
    <x v="17"/>
    <x v="8"/>
    <x v="1"/>
    <x v="1"/>
    <n v="12"/>
    <m/>
    <n v="-12"/>
    <n v="2021"/>
    <x v="0"/>
  </r>
  <r>
    <s v="Checking"/>
    <d v="2021-01-25T00:00:00"/>
    <x v="18"/>
    <x v="14"/>
    <x v="6"/>
    <x v="1"/>
    <n v="70"/>
    <m/>
    <n v="-70"/>
    <n v="2021"/>
    <x v="0"/>
  </r>
  <r>
    <s v="Credit"/>
    <d v="2021-01-25T00:00:00"/>
    <x v="6"/>
    <x v="6"/>
    <x v="3"/>
    <x v="1"/>
    <n v="63"/>
    <m/>
    <n v="-63"/>
    <n v="2021"/>
    <x v="0"/>
  </r>
  <r>
    <s v="Credit"/>
    <d v="2021-01-25T00:00:00"/>
    <x v="1"/>
    <x v="1"/>
    <x v="1"/>
    <x v="1"/>
    <n v="5"/>
    <m/>
    <n v="-5"/>
    <n v="2021"/>
    <x v="0"/>
  </r>
  <r>
    <s v="Credit"/>
    <d v="2021-01-26T00:00:00"/>
    <x v="1"/>
    <x v="1"/>
    <x v="1"/>
    <x v="1"/>
    <n v="5"/>
    <m/>
    <n v="-5"/>
    <n v="2021"/>
    <x v="0"/>
  </r>
  <r>
    <s v="Credit"/>
    <d v="2021-01-27T00:00:00"/>
    <x v="1"/>
    <x v="1"/>
    <x v="1"/>
    <x v="1"/>
    <n v="5"/>
    <m/>
    <n v="-5"/>
    <n v="2021"/>
    <x v="0"/>
  </r>
  <r>
    <s v="Credit"/>
    <d v="2021-01-28T00:00:00"/>
    <x v="1"/>
    <x v="1"/>
    <x v="1"/>
    <x v="1"/>
    <n v="5"/>
    <m/>
    <n v="-5"/>
    <n v="2021"/>
    <x v="0"/>
  </r>
  <r>
    <s v="Credit"/>
    <d v="2021-01-29T00:00:00"/>
    <x v="1"/>
    <x v="1"/>
    <x v="1"/>
    <x v="1"/>
    <n v="5"/>
    <m/>
    <n v="-5"/>
    <n v="2021"/>
    <x v="0"/>
  </r>
  <r>
    <s v="Credit"/>
    <d v="2021-01-29T00:00:00"/>
    <x v="4"/>
    <x v="4"/>
    <x v="2"/>
    <x v="1"/>
    <n v="162"/>
    <m/>
    <n v="-162"/>
    <n v="2021"/>
    <x v="0"/>
  </r>
  <r>
    <s v="Credit"/>
    <d v="2021-01-30T00:00:00"/>
    <x v="19"/>
    <x v="7"/>
    <x v="4"/>
    <x v="1"/>
    <n v="125"/>
    <m/>
    <n v="-125"/>
    <n v="2021"/>
    <x v="0"/>
  </r>
  <r>
    <s v="Credit"/>
    <d v="2021-01-30T00:00:00"/>
    <x v="20"/>
    <x v="3"/>
    <x v="4"/>
    <x v="1"/>
    <n v="175"/>
    <m/>
    <n v="-175"/>
    <n v="2021"/>
    <x v="0"/>
  </r>
  <r>
    <s v="Credit"/>
    <d v="2021-01-31T00:00:00"/>
    <x v="8"/>
    <x v="7"/>
    <x v="4"/>
    <x v="1"/>
    <n v="145"/>
    <m/>
    <n v="-145"/>
    <n v="2021"/>
    <x v="0"/>
  </r>
  <r>
    <s v="Credit"/>
    <d v="2021-01-31T00:00:00"/>
    <x v="10"/>
    <x v="9"/>
    <x v="3"/>
    <x v="1"/>
    <n v="23"/>
    <m/>
    <n v="-23"/>
    <n v="2021"/>
    <x v="0"/>
  </r>
  <r>
    <s v="Checking"/>
    <d v="2021-02-01T00:00:00"/>
    <x v="0"/>
    <x v="0"/>
    <x v="0"/>
    <x v="0"/>
    <m/>
    <n v="4000"/>
    <n v="4000"/>
    <n v="2021"/>
    <x v="1"/>
  </r>
  <r>
    <s v="Credit"/>
    <d v="2021-02-01T00:00:00"/>
    <x v="1"/>
    <x v="1"/>
    <x v="1"/>
    <x v="1"/>
    <n v="5"/>
    <m/>
    <n v="-5"/>
    <n v="2021"/>
    <x v="1"/>
  </r>
  <r>
    <s v="Checking"/>
    <d v="2021-02-02T00:00:00"/>
    <x v="2"/>
    <x v="2"/>
    <x v="2"/>
    <x v="1"/>
    <n v="900"/>
    <m/>
    <n v="-900"/>
    <n v="2021"/>
    <x v="1"/>
  </r>
  <r>
    <s v="Checking"/>
    <d v="2021-02-02T00:00:00"/>
    <x v="3"/>
    <x v="3"/>
    <x v="3"/>
    <x v="1"/>
    <n v="150"/>
    <m/>
    <n v="-150"/>
    <n v="2021"/>
    <x v="1"/>
  </r>
  <r>
    <s v="Credit"/>
    <d v="2021-02-02T00:00:00"/>
    <x v="1"/>
    <x v="1"/>
    <x v="1"/>
    <x v="1"/>
    <n v="5"/>
    <m/>
    <n v="-5"/>
    <n v="2021"/>
    <x v="1"/>
  </r>
  <r>
    <s v="Credit"/>
    <d v="2021-02-03T00:00:00"/>
    <x v="1"/>
    <x v="1"/>
    <x v="1"/>
    <x v="1"/>
    <n v="5"/>
    <m/>
    <n v="-5"/>
    <n v="2021"/>
    <x v="1"/>
  </r>
  <r>
    <s v="Credit"/>
    <d v="2021-02-04T00:00:00"/>
    <x v="1"/>
    <x v="1"/>
    <x v="1"/>
    <x v="1"/>
    <n v="5"/>
    <m/>
    <n v="-5"/>
    <n v="2021"/>
    <x v="1"/>
  </r>
  <r>
    <s v="Credit"/>
    <d v="2021-02-05T00:00:00"/>
    <x v="1"/>
    <x v="1"/>
    <x v="1"/>
    <x v="1"/>
    <n v="5"/>
    <m/>
    <n v="-5"/>
    <n v="2021"/>
    <x v="1"/>
  </r>
  <r>
    <s v="Credit"/>
    <d v="2021-02-05T00:00:00"/>
    <x v="4"/>
    <x v="4"/>
    <x v="2"/>
    <x v="1"/>
    <n v="205"/>
    <m/>
    <n v="-205"/>
    <n v="2021"/>
    <x v="1"/>
  </r>
  <r>
    <s v="Checking"/>
    <d v="2021-02-08T00:00:00"/>
    <x v="5"/>
    <x v="5"/>
    <x v="2"/>
    <x v="1"/>
    <n v="51.1"/>
    <m/>
    <n v="-51.1"/>
    <n v="2021"/>
    <x v="1"/>
  </r>
  <r>
    <s v="Credit"/>
    <d v="2021-02-08T00:00:00"/>
    <x v="1"/>
    <x v="1"/>
    <x v="1"/>
    <x v="1"/>
    <n v="5"/>
    <m/>
    <n v="-5"/>
    <n v="2021"/>
    <x v="1"/>
  </r>
  <r>
    <s v="Credit"/>
    <d v="2021-02-09T00:00:00"/>
    <x v="1"/>
    <x v="1"/>
    <x v="1"/>
    <x v="1"/>
    <n v="5"/>
    <m/>
    <n v="-5"/>
    <n v="2021"/>
    <x v="1"/>
  </r>
  <r>
    <s v="Credit"/>
    <d v="2021-02-10T00:00:00"/>
    <x v="6"/>
    <x v="6"/>
    <x v="3"/>
    <x v="1"/>
    <n v="78"/>
    <m/>
    <n v="-78"/>
    <n v="2021"/>
    <x v="1"/>
  </r>
  <r>
    <s v="Credit"/>
    <d v="2021-02-10T00:00:00"/>
    <x v="1"/>
    <x v="1"/>
    <x v="1"/>
    <x v="1"/>
    <n v="5"/>
    <m/>
    <n v="-5"/>
    <n v="2021"/>
    <x v="1"/>
  </r>
  <r>
    <s v="Credit"/>
    <d v="2021-02-11T00:00:00"/>
    <x v="1"/>
    <x v="1"/>
    <x v="1"/>
    <x v="1"/>
    <n v="5"/>
    <m/>
    <n v="-5"/>
    <n v="2021"/>
    <x v="1"/>
  </r>
  <r>
    <s v="Credit"/>
    <d v="2021-02-12T00:00:00"/>
    <x v="4"/>
    <x v="4"/>
    <x v="2"/>
    <x v="1"/>
    <n v="135.9"/>
    <m/>
    <n v="-135.9"/>
    <n v="2021"/>
    <x v="1"/>
  </r>
  <r>
    <s v="Credit"/>
    <d v="2021-02-12T00:00:00"/>
    <x v="1"/>
    <x v="1"/>
    <x v="1"/>
    <x v="1"/>
    <n v="5"/>
    <m/>
    <n v="-5"/>
    <n v="2021"/>
    <x v="1"/>
  </r>
  <r>
    <s v="Credit"/>
    <d v="2021-02-13T00:00:00"/>
    <x v="1"/>
    <x v="1"/>
    <x v="1"/>
    <x v="1"/>
    <n v="5"/>
    <m/>
    <n v="-5"/>
    <n v="2021"/>
    <x v="1"/>
  </r>
  <r>
    <s v="Credit"/>
    <d v="2021-02-13T00:00:00"/>
    <x v="7"/>
    <x v="3"/>
    <x v="4"/>
    <x v="1"/>
    <n v="40.9"/>
    <m/>
    <n v="-40.9"/>
    <n v="2021"/>
    <x v="1"/>
  </r>
  <r>
    <s v="Credit"/>
    <d v="2021-02-13T00:00:00"/>
    <x v="8"/>
    <x v="7"/>
    <x v="4"/>
    <x v="1"/>
    <n v="99"/>
    <m/>
    <n v="-99"/>
    <n v="2021"/>
    <x v="1"/>
  </r>
  <r>
    <s v="Credit"/>
    <d v="2021-02-13T00:00:00"/>
    <x v="9"/>
    <x v="8"/>
    <x v="1"/>
    <x v="1"/>
    <n v="53"/>
    <m/>
    <n v="-53"/>
    <n v="2021"/>
    <x v="1"/>
  </r>
  <r>
    <s v="Credit"/>
    <d v="2021-02-14T00:00:00"/>
    <x v="10"/>
    <x v="9"/>
    <x v="3"/>
    <x v="1"/>
    <n v="28.9"/>
    <m/>
    <n v="-28.9"/>
    <n v="2021"/>
    <x v="1"/>
  </r>
  <r>
    <s v="Checking"/>
    <d v="2021-02-15T00:00:00"/>
    <x v="11"/>
    <x v="10"/>
    <x v="4"/>
    <x v="1"/>
    <n v="30"/>
    <m/>
    <n v="-30"/>
    <n v="2021"/>
    <x v="1"/>
  </r>
  <r>
    <s v="Credit"/>
    <d v="2021-02-15T00:00:00"/>
    <x v="1"/>
    <x v="1"/>
    <x v="1"/>
    <x v="1"/>
    <n v="5"/>
    <m/>
    <n v="-5"/>
    <n v="2021"/>
    <x v="1"/>
  </r>
  <r>
    <s v="Credit"/>
    <d v="2021-02-16T00:00:00"/>
    <x v="1"/>
    <x v="1"/>
    <x v="1"/>
    <x v="1"/>
    <n v="5"/>
    <m/>
    <n v="-5"/>
    <n v="2021"/>
    <x v="1"/>
  </r>
  <r>
    <s v="Checking"/>
    <d v="2021-02-16T00:00:00"/>
    <x v="13"/>
    <x v="12"/>
    <x v="2"/>
    <x v="1"/>
    <n v="40"/>
    <m/>
    <n v="-40"/>
    <n v="2021"/>
    <x v="1"/>
  </r>
  <r>
    <s v="Credit"/>
    <d v="2021-02-17T00:00:00"/>
    <x v="14"/>
    <x v="13"/>
    <x v="4"/>
    <x v="1"/>
    <n v="45.9"/>
    <m/>
    <n v="-45.9"/>
    <n v="2021"/>
    <x v="1"/>
  </r>
  <r>
    <s v="Credit"/>
    <d v="2021-02-17T00:00:00"/>
    <x v="15"/>
    <x v="3"/>
    <x v="4"/>
    <x v="1"/>
    <n v="35"/>
    <m/>
    <n v="-35"/>
    <n v="2021"/>
    <x v="1"/>
  </r>
  <r>
    <s v="Credit"/>
    <d v="2021-02-17T00:00:00"/>
    <x v="1"/>
    <x v="1"/>
    <x v="1"/>
    <x v="1"/>
    <n v="5"/>
    <m/>
    <n v="-5"/>
    <n v="2021"/>
    <x v="1"/>
  </r>
  <r>
    <s v="Credit"/>
    <d v="2021-02-18T00:00:00"/>
    <x v="1"/>
    <x v="1"/>
    <x v="1"/>
    <x v="1"/>
    <n v="5"/>
    <m/>
    <n v="-5"/>
    <n v="2021"/>
    <x v="1"/>
  </r>
  <r>
    <s v="Credit"/>
    <d v="2021-02-19T00:00:00"/>
    <x v="1"/>
    <x v="1"/>
    <x v="1"/>
    <x v="1"/>
    <n v="5"/>
    <m/>
    <n v="-5"/>
    <n v="2021"/>
    <x v="1"/>
  </r>
  <r>
    <s v="Credit"/>
    <d v="2021-02-19T00:00:00"/>
    <x v="4"/>
    <x v="4"/>
    <x v="2"/>
    <x v="1"/>
    <n v="171"/>
    <m/>
    <n v="-171"/>
    <n v="2021"/>
    <x v="1"/>
  </r>
  <r>
    <s v="Credit"/>
    <d v="2021-02-20T00:00:00"/>
    <x v="16"/>
    <x v="8"/>
    <x v="1"/>
    <x v="1"/>
    <n v="37.9"/>
    <m/>
    <n v="-37.9"/>
    <n v="2021"/>
    <x v="1"/>
  </r>
  <r>
    <s v="Credit"/>
    <d v="2021-02-21T00:00:00"/>
    <x v="17"/>
    <x v="8"/>
    <x v="1"/>
    <x v="1"/>
    <n v="12.9"/>
    <m/>
    <n v="-12.9"/>
    <n v="2021"/>
    <x v="1"/>
  </r>
  <r>
    <s v="Checking"/>
    <d v="2021-02-22T00:00:00"/>
    <x v="18"/>
    <x v="14"/>
    <x v="6"/>
    <x v="1"/>
    <n v="55"/>
    <m/>
    <n v="-55"/>
    <n v="2021"/>
    <x v="1"/>
  </r>
  <r>
    <s v="Credit"/>
    <d v="2021-02-22T00:00:00"/>
    <x v="6"/>
    <x v="6"/>
    <x v="3"/>
    <x v="1"/>
    <n v="64.099999999999994"/>
    <m/>
    <n v="-64.099999999999994"/>
    <n v="2021"/>
    <x v="1"/>
  </r>
  <r>
    <s v="Credit"/>
    <d v="2021-02-22T00:00:00"/>
    <x v="1"/>
    <x v="1"/>
    <x v="1"/>
    <x v="1"/>
    <n v="5"/>
    <m/>
    <n v="-5"/>
    <n v="2021"/>
    <x v="1"/>
  </r>
  <r>
    <s v="Credit"/>
    <d v="2021-02-23T00:00:00"/>
    <x v="1"/>
    <x v="1"/>
    <x v="1"/>
    <x v="1"/>
    <n v="5"/>
    <m/>
    <n v="-5"/>
    <n v="2021"/>
    <x v="1"/>
  </r>
  <r>
    <s v="Credit"/>
    <d v="2021-02-24T00:00:00"/>
    <x v="1"/>
    <x v="1"/>
    <x v="1"/>
    <x v="1"/>
    <n v="5"/>
    <m/>
    <n v="-5"/>
    <n v="2021"/>
    <x v="1"/>
  </r>
  <r>
    <s v="Credit"/>
    <d v="2021-02-25T00:00:00"/>
    <x v="1"/>
    <x v="1"/>
    <x v="1"/>
    <x v="1"/>
    <n v="5"/>
    <m/>
    <n v="-5"/>
    <n v="2021"/>
    <x v="1"/>
  </r>
  <r>
    <s v="Credit"/>
    <d v="2021-02-26T00:00:00"/>
    <x v="1"/>
    <x v="1"/>
    <x v="1"/>
    <x v="1"/>
    <n v="5"/>
    <m/>
    <n v="-5"/>
    <n v="2021"/>
    <x v="1"/>
  </r>
  <r>
    <s v="Credit"/>
    <d v="2021-02-26T00:00:00"/>
    <x v="4"/>
    <x v="4"/>
    <x v="2"/>
    <x v="1"/>
    <n v="162.9"/>
    <m/>
    <n v="-162.9"/>
    <n v="2021"/>
    <x v="1"/>
  </r>
  <r>
    <s v="Credit"/>
    <d v="2021-02-27T00:00:00"/>
    <x v="19"/>
    <x v="7"/>
    <x v="4"/>
    <x v="1"/>
    <n v="125.9"/>
    <m/>
    <n v="-125.9"/>
    <n v="2021"/>
    <x v="1"/>
  </r>
  <r>
    <s v="Credit"/>
    <d v="2021-02-27T00:00:00"/>
    <x v="21"/>
    <x v="7"/>
    <x v="4"/>
    <x v="1"/>
    <n v="137"/>
    <m/>
    <n v="-137"/>
    <n v="2021"/>
    <x v="1"/>
  </r>
  <r>
    <s v="Credit"/>
    <d v="2021-02-28T00:00:00"/>
    <x v="8"/>
    <x v="7"/>
    <x v="4"/>
    <x v="1"/>
    <n v="146.1"/>
    <m/>
    <n v="-146.1"/>
    <n v="2021"/>
    <x v="1"/>
  </r>
  <r>
    <s v="Credit"/>
    <d v="2021-02-28T00:00:00"/>
    <x v="10"/>
    <x v="9"/>
    <x v="3"/>
    <x v="1"/>
    <n v="24.1"/>
    <m/>
    <n v="-24.1"/>
    <n v="2021"/>
    <x v="1"/>
  </r>
  <r>
    <s v="Checking"/>
    <d v="2021-03-01T00:00:00"/>
    <x v="0"/>
    <x v="0"/>
    <x v="0"/>
    <x v="0"/>
    <m/>
    <n v="4000"/>
    <n v="4000"/>
    <n v="2021"/>
    <x v="2"/>
  </r>
  <r>
    <s v="Credit"/>
    <d v="2021-03-01T00:00:00"/>
    <x v="1"/>
    <x v="1"/>
    <x v="1"/>
    <x v="1"/>
    <n v="5"/>
    <m/>
    <n v="-5"/>
    <n v="2021"/>
    <x v="2"/>
  </r>
  <r>
    <s v="Checking"/>
    <d v="2021-03-02T00:00:00"/>
    <x v="2"/>
    <x v="2"/>
    <x v="2"/>
    <x v="1"/>
    <n v="900"/>
    <m/>
    <n v="-900"/>
    <n v="2021"/>
    <x v="2"/>
  </r>
  <r>
    <s v="Checking"/>
    <d v="2021-03-02T00:00:00"/>
    <x v="3"/>
    <x v="3"/>
    <x v="3"/>
    <x v="1"/>
    <n v="150"/>
    <m/>
    <n v="-150"/>
    <n v="2021"/>
    <x v="2"/>
  </r>
  <r>
    <s v="Credit"/>
    <d v="2021-03-02T00:00:00"/>
    <x v="1"/>
    <x v="1"/>
    <x v="1"/>
    <x v="1"/>
    <n v="5"/>
    <m/>
    <n v="-5"/>
    <n v="2021"/>
    <x v="2"/>
  </r>
  <r>
    <s v="Credit"/>
    <d v="2021-03-03T00:00:00"/>
    <x v="1"/>
    <x v="1"/>
    <x v="1"/>
    <x v="1"/>
    <n v="5"/>
    <m/>
    <n v="-5"/>
    <n v="2021"/>
    <x v="2"/>
  </r>
  <r>
    <s v="Credit"/>
    <d v="2021-03-04T00:00:00"/>
    <x v="1"/>
    <x v="1"/>
    <x v="1"/>
    <x v="1"/>
    <n v="5"/>
    <m/>
    <n v="-5"/>
    <n v="2021"/>
    <x v="2"/>
  </r>
  <r>
    <s v="Credit"/>
    <d v="2021-03-05T00:00:00"/>
    <x v="1"/>
    <x v="1"/>
    <x v="1"/>
    <x v="1"/>
    <n v="5"/>
    <m/>
    <n v="-5"/>
    <n v="2021"/>
    <x v="2"/>
  </r>
  <r>
    <s v="Credit"/>
    <d v="2021-03-05T00:00:00"/>
    <x v="4"/>
    <x v="4"/>
    <x v="2"/>
    <x v="1"/>
    <n v="149"/>
    <m/>
    <n v="-149"/>
    <n v="2021"/>
    <x v="2"/>
  </r>
  <r>
    <s v="Checking"/>
    <d v="2021-03-08T00:00:00"/>
    <x v="5"/>
    <x v="5"/>
    <x v="2"/>
    <x v="1"/>
    <n v="52.1"/>
    <m/>
    <n v="-52.1"/>
    <n v="2021"/>
    <x v="2"/>
  </r>
  <r>
    <s v="Credit"/>
    <d v="2021-03-08T00:00:00"/>
    <x v="1"/>
    <x v="1"/>
    <x v="1"/>
    <x v="1"/>
    <n v="5"/>
    <m/>
    <n v="-5"/>
    <n v="2021"/>
    <x v="2"/>
  </r>
  <r>
    <s v="Credit"/>
    <d v="2021-03-09T00:00:00"/>
    <x v="1"/>
    <x v="1"/>
    <x v="1"/>
    <x v="1"/>
    <n v="5"/>
    <m/>
    <n v="-5"/>
    <n v="2021"/>
    <x v="2"/>
  </r>
  <r>
    <s v="Credit"/>
    <d v="2021-03-10T00:00:00"/>
    <x v="6"/>
    <x v="6"/>
    <x v="3"/>
    <x v="1"/>
    <n v="78.900000000000006"/>
    <m/>
    <n v="-78.900000000000006"/>
    <n v="2021"/>
    <x v="2"/>
  </r>
  <r>
    <s v="Credit"/>
    <d v="2021-03-10T00:00:00"/>
    <x v="1"/>
    <x v="1"/>
    <x v="1"/>
    <x v="1"/>
    <n v="5"/>
    <m/>
    <n v="-5"/>
    <n v="2021"/>
    <x v="2"/>
  </r>
  <r>
    <s v="Credit"/>
    <d v="2021-03-11T00:00:00"/>
    <x v="1"/>
    <x v="1"/>
    <x v="1"/>
    <x v="1"/>
    <n v="5"/>
    <m/>
    <n v="-5"/>
    <n v="2021"/>
    <x v="2"/>
  </r>
  <r>
    <s v="Credit"/>
    <d v="2021-03-12T00:00:00"/>
    <x v="4"/>
    <x v="4"/>
    <x v="2"/>
    <x v="1"/>
    <n v="137"/>
    <m/>
    <n v="-137"/>
    <n v="2021"/>
    <x v="2"/>
  </r>
  <r>
    <s v="Credit"/>
    <d v="2021-03-12T00:00:00"/>
    <x v="1"/>
    <x v="1"/>
    <x v="1"/>
    <x v="1"/>
    <n v="5"/>
    <m/>
    <n v="-5"/>
    <n v="2021"/>
    <x v="2"/>
  </r>
  <r>
    <s v="Credit"/>
    <d v="2021-03-13T00:00:00"/>
    <x v="1"/>
    <x v="1"/>
    <x v="1"/>
    <x v="1"/>
    <n v="5"/>
    <m/>
    <n v="-5"/>
    <n v="2021"/>
    <x v="2"/>
  </r>
  <r>
    <s v="Credit"/>
    <d v="2021-03-13T00:00:00"/>
    <x v="7"/>
    <x v="3"/>
    <x v="4"/>
    <x v="1"/>
    <n v="41.8"/>
    <m/>
    <n v="-41.8"/>
    <n v="2021"/>
    <x v="2"/>
  </r>
  <r>
    <s v="Credit"/>
    <d v="2021-03-13T00:00:00"/>
    <x v="8"/>
    <x v="7"/>
    <x v="4"/>
    <x v="1"/>
    <n v="99.9"/>
    <m/>
    <n v="-99.9"/>
    <n v="2021"/>
    <x v="2"/>
  </r>
  <r>
    <s v="Credit"/>
    <d v="2021-03-13T00:00:00"/>
    <x v="9"/>
    <x v="8"/>
    <x v="1"/>
    <x v="1"/>
    <n v="54"/>
    <m/>
    <n v="-54"/>
    <n v="2021"/>
    <x v="2"/>
  </r>
  <r>
    <s v="Credit"/>
    <d v="2021-03-14T00:00:00"/>
    <x v="10"/>
    <x v="9"/>
    <x v="3"/>
    <x v="1"/>
    <n v="30"/>
    <m/>
    <n v="-30"/>
    <n v="2021"/>
    <x v="2"/>
  </r>
  <r>
    <s v="Checking"/>
    <d v="2021-03-15T00:00:00"/>
    <x v="11"/>
    <x v="10"/>
    <x v="4"/>
    <x v="1"/>
    <n v="30"/>
    <m/>
    <n v="-30"/>
    <n v="2021"/>
    <x v="2"/>
  </r>
  <r>
    <s v="Credit"/>
    <d v="2021-03-15T00:00:00"/>
    <x v="1"/>
    <x v="1"/>
    <x v="1"/>
    <x v="1"/>
    <n v="5"/>
    <m/>
    <n v="-5"/>
    <n v="2021"/>
    <x v="2"/>
  </r>
  <r>
    <s v="Credit"/>
    <d v="2021-03-16T00:00:00"/>
    <x v="1"/>
    <x v="1"/>
    <x v="1"/>
    <x v="1"/>
    <n v="5"/>
    <m/>
    <n v="-5"/>
    <n v="2021"/>
    <x v="2"/>
  </r>
  <r>
    <s v="Checking"/>
    <d v="2021-03-16T00:00:00"/>
    <x v="22"/>
    <x v="11"/>
    <x v="5"/>
    <x v="1"/>
    <n v="75"/>
    <m/>
    <n v="-75"/>
    <n v="2021"/>
    <x v="2"/>
  </r>
  <r>
    <s v="Checking"/>
    <d v="2021-03-16T00:00:00"/>
    <x v="13"/>
    <x v="12"/>
    <x v="2"/>
    <x v="1"/>
    <n v="40"/>
    <m/>
    <n v="-40"/>
    <n v="2021"/>
    <x v="2"/>
  </r>
  <r>
    <s v="Credit"/>
    <d v="2021-03-17T00:00:00"/>
    <x v="14"/>
    <x v="13"/>
    <x v="4"/>
    <x v="1"/>
    <n v="46.8"/>
    <m/>
    <n v="-46.8"/>
    <n v="2021"/>
    <x v="2"/>
  </r>
  <r>
    <s v="Credit"/>
    <d v="2021-03-17T00:00:00"/>
    <x v="15"/>
    <x v="3"/>
    <x v="4"/>
    <x v="1"/>
    <n v="35"/>
    <m/>
    <n v="-35"/>
    <n v="2021"/>
    <x v="2"/>
  </r>
  <r>
    <s v="Credit"/>
    <d v="2021-03-17T00:00:00"/>
    <x v="1"/>
    <x v="1"/>
    <x v="1"/>
    <x v="1"/>
    <n v="5"/>
    <m/>
    <n v="-5"/>
    <n v="2021"/>
    <x v="2"/>
  </r>
  <r>
    <s v="Credit"/>
    <d v="2021-03-18T00:00:00"/>
    <x v="1"/>
    <x v="1"/>
    <x v="1"/>
    <x v="1"/>
    <n v="5"/>
    <m/>
    <n v="-5"/>
    <n v="2021"/>
    <x v="2"/>
  </r>
  <r>
    <s v="Credit"/>
    <d v="2021-03-19T00:00:00"/>
    <x v="1"/>
    <x v="1"/>
    <x v="1"/>
    <x v="1"/>
    <n v="5"/>
    <m/>
    <n v="-5"/>
    <n v="2021"/>
    <x v="2"/>
  </r>
  <r>
    <s v="Credit"/>
    <d v="2021-03-19T00:00:00"/>
    <x v="4"/>
    <x v="4"/>
    <x v="2"/>
    <x v="1"/>
    <n v="171.9"/>
    <m/>
    <n v="-171.9"/>
    <n v="2021"/>
    <x v="2"/>
  </r>
  <r>
    <s v="Credit"/>
    <d v="2021-03-20T00:00:00"/>
    <x v="16"/>
    <x v="8"/>
    <x v="1"/>
    <x v="1"/>
    <n v="39"/>
    <m/>
    <n v="-39"/>
    <n v="2021"/>
    <x v="2"/>
  </r>
  <r>
    <s v="Credit"/>
    <d v="2021-03-21T00:00:00"/>
    <x v="17"/>
    <x v="8"/>
    <x v="1"/>
    <x v="1"/>
    <n v="14"/>
    <m/>
    <n v="-14"/>
    <n v="2021"/>
    <x v="2"/>
  </r>
  <r>
    <s v="Checking"/>
    <d v="2021-03-22T00:00:00"/>
    <x v="18"/>
    <x v="14"/>
    <x v="6"/>
    <x v="1"/>
    <n v="55"/>
    <m/>
    <n v="-55"/>
    <n v="2021"/>
    <x v="2"/>
  </r>
  <r>
    <s v="Credit"/>
    <d v="2021-03-22T00:00:00"/>
    <x v="6"/>
    <x v="6"/>
    <x v="3"/>
    <x v="1"/>
    <n v="65"/>
    <m/>
    <n v="-65"/>
    <n v="2021"/>
    <x v="2"/>
  </r>
  <r>
    <s v="Credit"/>
    <d v="2021-03-22T00:00:00"/>
    <x v="1"/>
    <x v="1"/>
    <x v="1"/>
    <x v="1"/>
    <n v="5"/>
    <m/>
    <n v="-5"/>
    <n v="2021"/>
    <x v="2"/>
  </r>
  <r>
    <s v="Credit"/>
    <d v="2021-03-23T00:00:00"/>
    <x v="1"/>
    <x v="1"/>
    <x v="1"/>
    <x v="1"/>
    <n v="5"/>
    <m/>
    <n v="-5"/>
    <n v="2021"/>
    <x v="2"/>
  </r>
  <r>
    <s v="Credit"/>
    <d v="2021-03-24T00:00:00"/>
    <x v="1"/>
    <x v="1"/>
    <x v="1"/>
    <x v="1"/>
    <n v="5"/>
    <m/>
    <n v="-5"/>
    <n v="2021"/>
    <x v="2"/>
  </r>
  <r>
    <s v="Credit"/>
    <d v="2021-03-25T00:00:00"/>
    <x v="1"/>
    <x v="1"/>
    <x v="1"/>
    <x v="1"/>
    <n v="5"/>
    <m/>
    <n v="-5"/>
    <n v="2021"/>
    <x v="2"/>
  </r>
  <r>
    <s v="Credit"/>
    <d v="2021-03-26T00:00:00"/>
    <x v="1"/>
    <x v="1"/>
    <x v="1"/>
    <x v="1"/>
    <n v="5"/>
    <m/>
    <n v="-5"/>
    <n v="2021"/>
    <x v="2"/>
  </r>
  <r>
    <s v="Credit"/>
    <d v="2021-03-26T00:00:00"/>
    <x v="4"/>
    <x v="4"/>
    <x v="2"/>
    <x v="1"/>
    <n v="209"/>
    <m/>
    <n v="-209"/>
    <n v="2021"/>
    <x v="2"/>
  </r>
  <r>
    <s v="Credit"/>
    <d v="2021-03-27T00:00:00"/>
    <x v="19"/>
    <x v="7"/>
    <x v="4"/>
    <x v="1"/>
    <n v="127"/>
    <m/>
    <n v="-127"/>
    <n v="2021"/>
    <x v="2"/>
  </r>
  <r>
    <s v="Credit"/>
    <d v="2021-03-27T00:00:00"/>
    <x v="23"/>
    <x v="7"/>
    <x v="4"/>
    <x v="1"/>
    <n v="177.2"/>
    <m/>
    <n v="-177.2"/>
    <n v="2021"/>
    <x v="2"/>
  </r>
  <r>
    <s v="Credit"/>
    <d v="2021-03-28T00:00:00"/>
    <x v="8"/>
    <x v="7"/>
    <x v="4"/>
    <x v="1"/>
    <n v="147.1"/>
    <m/>
    <n v="-147.1"/>
    <n v="2021"/>
    <x v="2"/>
  </r>
  <r>
    <s v="Credit"/>
    <d v="2021-03-28T00:00:00"/>
    <x v="10"/>
    <x v="9"/>
    <x v="3"/>
    <x v="1"/>
    <n v="25"/>
    <m/>
    <n v="-25"/>
    <n v="2021"/>
    <x v="2"/>
  </r>
  <r>
    <s v="Credit"/>
    <d v="2021-03-29T00:00:00"/>
    <x v="24"/>
    <x v="8"/>
    <x v="1"/>
    <x v="1"/>
    <n v="15"/>
    <m/>
    <n v="-15"/>
    <n v="2021"/>
    <x v="2"/>
  </r>
  <r>
    <s v="Credit"/>
    <d v="2021-03-30T00:00:00"/>
    <x v="1"/>
    <x v="1"/>
    <x v="1"/>
    <x v="1"/>
    <n v="5"/>
    <m/>
    <n v="-5"/>
    <n v="2021"/>
    <x v="2"/>
  </r>
  <r>
    <s v="Credit"/>
    <d v="2021-03-31T00:00:00"/>
    <x v="1"/>
    <x v="1"/>
    <x v="1"/>
    <x v="1"/>
    <n v="5"/>
    <m/>
    <n v="-5"/>
    <n v="2021"/>
    <x v="2"/>
  </r>
  <r>
    <s v="Checking"/>
    <d v="2021-04-01T00:00:00"/>
    <x v="0"/>
    <x v="0"/>
    <x v="0"/>
    <x v="0"/>
    <m/>
    <n v="4000"/>
    <n v="4000"/>
    <n v="2021"/>
    <x v="3"/>
  </r>
  <r>
    <s v="Credit"/>
    <d v="2021-04-01T00:00:00"/>
    <x v="1"/>
    <x v="1"/>
    <x v="1"/>
    <x v="1"/>
    <n v="5"/>
    <m/>
    <n v="-5"/>
    <n v="2021"/>
    <x v="3"/>
  </r>
  <r>
    <s v="Checking"/>
    <d v="2021-04-02T00:00:00"/>
    <x v="2"/>
    <x v="2"/>
    <x v="2"/>
    <x v="1"/>
    <n v="900"/>
    <m/>
    <n v="-900"/>
    <n v="2021"/>
    <x v="3"/>
  </r>
  <r>
    <s v="Checking"/>
    <d v="2021-04-02T00:00:00"/>
    <x v="3"/>
    <x v="3"/>
    <x v="3"/>
    <x v="1"/>
    <n v="150"/>
    <m/>
    <n v="-150"/>
    <n v="2021"/>
    <x v="3"/>
  </r>
  <r>
    <s v="Credit"/>
    <d v="2021-04-02T00:00:00"/>
    <x v="1"/>
    <x v="1"/>
    <x v="1"/>
    <x v="1"/>
    <n v="5"/>
    <m/>
    <n v="-5"/>
    <n v="2021"/>
    <x v="3"/>
  </r>
  <r>
    <s v="Credit"/>
    <d v="2021-04-03T00:00:00"/>
    <x v="1"/>
    <x v="1"/>
    <x v="1"/>
    <x v="1"/>
    <n v="5"/>
    <m/>
    <n v="-5"/>
    <n v="2021"/>
    <x v="3"/>
  </r>
  <r>
    <s v="Credit"/>
    <d v="2021-04-04T00:00:00"/>
    <x v="1"/>
    <x v="1"/>
    <x v="1"/>
    <x v="1"/>
    <n v="5"/>
    <m/>
    <n v="-5"/>
    <n v="2021"/>
    <x v="3"/>
  </r>
  <r>
    <s v="Credit"/>
    <d v="2021-04-05T00:00:00"/>
    <x v="1"/>
    <x v="1"/>
    <x v="1"/>
    <x v="1"/>
    <n v="5"/>
    <m/>
    <n v="-5"/>
    <n v="2021"/>
    <x v="3"/>
  </r>
  <r>
    <s v="Credit"/>
    <d v="2021-04-05T00:00:00"/>
    <x v="4"/>
    <x v="4"/>
    <x v="2"/>
    <x v="1"/>
    <n v="158.19999999999999"/>
    <m/>
    <n v="-158.19999999999999"/>
    <n v="2021"/>
    <x v="3"/>
  </r>
  <r>
    <s v="Checking"/>
    <d v="2021-04-08T00:00:00"/>
    <x v="5"/>
    <x v="5"/>
    <x v="2"/>
    <x v="1"/>
    <n v="53.2"/>
    <m/>
    <n v="-53.2"/>
    <n v="2021"/>
    <x v="3"/>
  </r>
  <r>
    <s v="Credit"/>
    <d v="2021-04-08T00:00:00"/>
    <x v="1"/>
    <x v="1"/>
    <x v="1"/>
    <x v="1"/>
    <n v="5"/>
    <m/>
    <n v="-5"/>
    <n v="2021"/>
    <x v="3"/>
  </r>
  <r>
    <s v="Credit"/>
    <d v="2021-04-09T00:00:00"/>
    <x v="1"/>
    <x v="1"/>
    <x v="1"/>
    <x v="1"/>
    <n v="5"/>
    <m/>
    <n v="-5"/>
    <n v="2021"/>
    <x v="3"/>
  </r>
  <r>
    <s v="Credit"/>
    <d v="2021-04-10T00:00:00"/>
    <x v="6"/>
    <x v="6"/>
    <x v="3"/>
    <x v="1"/>
    <n v="79.900000000000006"/>
    <m/>
    <n v="-79.900000000000006"/>
    <n v="2021"/>
    <x v="3"/>
  </r>
  <r>
    <s v="Credit"/>
    <d v="2021-04-10T00:00:00"/>
    <x v="1"/>
    <x v="1"/>
    <x v="1"/>
    <x v="1"/>
    <n v="5"/>
    <m/>
    <n v="-5"/>
    <n v="2021"/>
    <x v="3"/>
  </r>
  <r>
    <s v="Credit"/>
    <d v="2021-04-11T00:00:00"/>
    <x v="1"/>
    <x v="1"/>
    <x v="1"/>
    <x v="1"/>
    <n v="5"/>
    <m/>
    <n v="-5"/>
    <n v="2021"/>
    <x v="3"/>
  </r>
  <r>
    <s v="Credit"/>
    <d v="2021-04-12T00:00:00"/>
    <x v="4"/>
    <x v="4"/>
    <x v="2"/>
    <x v="1"/>
    <n v="98"/>
    <m/>
    <n v="-98"/>
    <n v="2021"/>
    <x v="3"/>
  </r>
  <r>
    <s v="Credit"/>
    <d v="2021-04-12T00:00:00"/>
    <x v="1"/>
    <x v="1"/>
    <x v="1"/>
    <x v="1"/>
    <n v="5"/>
    <m/>
    <n v="-5"/>
    <n v="2021"/>
    <x v="3"/>
  </r>
  <r>
    <s v="Credit"/>
    <d v="2021-04-13T00:00:00"/>
    <x v="1"/>
    <x v="1"/>
    <x v="1"/>
    <x v="1"/>
    <n v="5"/>
    <m/>
    <n v="-5"/>
    <n v="2021"/>
    <x v="3"/>
  </r>
  <r>
    <s v="Credit"/>
    <d v="2021-04-13T00:00:00"/>
    <x v="7"/>
    <x v="3"/>
    <x v="4"/>
    <x v="1"/>
    <n v="42.8"/>
    <m/>
    <n v="-42.8"/>
    <n v="2021"/>
    <x v="3"/>
  </r>
  <r>
    <s v="Credit"/>
    <d v="2021-04-13T00:00:00"/>
    <x v="8"/>
    <x v="7"/>
    <x v="4"/>
    <x v="1"/>
    <n v="100.9"/>
    <m/>
    <n v="-100.9"/>
    <n v="2021"/>
    <x v="3"/>
  </r>
  <r>
    <s v="Credit"/>
    <d v="2021-04-13T00:00:00"/>
    <x v="9"/>
    <x v="8"/>
    <x v="1"/>
    <x v="1"/>
    <n v="54.9"/>
    <m/>
    <n v="-54.9"/>
    <n v="2021"/>
    <x v="3"/>
  </r>
  <r>
    <s v="Credit"/>
    <d v="2021-04-14T00:00:00"/>
    <x v="10"/>
    <x v="9"/>
    <x v="3"/>
    <x v="1"/>
    <n v="31"/>
    <m/>
    <n v="-31"/>
    <n v="2021"/>
    <x v="3"/>
  </r>
  <r>
    <s v="Checking"/>
    <d v="2021-04-15T00:00:00"/>
    <x v="11"/>
    <x v="10"/>
    <x v="4"/>
    <x v="1"/>
    <n v="30"/>
    <m/>
    <n v="-30"/>
    <n v="2021"/>
    <x v="3"/>
  </r>
  <r>
    <s v="Credit"/>
    <d v="2021-04-15T00:00:00"/>
    <x v="1"/>
    <x v="1"/>
    <x v="1"/>
    <x v="1"/>
    <n v="5"/>
    <m/>
    <n v="-5"/>
    <n v="2021"/>
    <x v="3"/>
  </r>
  <r>
    <s v="Credit"/>
    <d v="2021-04-16T00:00:00"/>
    <x v="1"/>
    <x v="1"/>
    <x v="1"/>
    <x v="1"/>
    <n v="5"/>
    <m/>
    <n v="-5"/>
    <n v="2021"/>
    <x v="3"/>
  </r>
  <r>
    <s v="Checking"/>
    <d v="2021-04-16T00:00:00"/>
    <x v="13"/>
    <x v="12"/>
    <x v="2"/>
    <x v="1"/>
    <n v="40"/>
    <m/>
    <n v="-40"/>
    <n v="2021"/>
    <x v="3"/>
  </r>
  <r>
    <s v="Credit"/>
    <d v="2021-04-17T00:00:00"/>
    <x v="14"/>
    <x v="13"/>
    <x v="4"/>
    <x v="1"/>
    <n v="47.9"/>
    <m/>
    <n v="-47.9"/>
    <n v="2021"/>
    <x v="3"/>
  </r>
  <r>
    <s v="Credit"/>
    <d v="2021-04-17T00:00:00"/>
    <x v="15"/>
    <x v="3"/>
    <x v="4"/>
    <x v="1"/>
    <n v="35"/>
    <m/>
    <n v="-35"/>
    <n v="2021"/>
    <x v="3"/>
  </r>
  <r>
    <s v="Credit"/>
    <d v="2021-04-17T00:00:00"/>
    <x v="1"/>
    <x v="1"/>
    <x v="1"/>
    <x v="1"/>
    <n v="5"/>
    <m/>
    <n v="-5"/>
    <n v="2021"/>
    <x v="3"/>
  </r>
  <r>
    <s v="Credit"/>
    <d v="2021-04-18T00:00:00"/>
    <x v="1"/>
    <x v="1"/>
    <x v="1"/>
    <x v="1"/>
    <n v="5"/>
    <m/>
    <n v="-5"/>
    <n v="2021"/>
    <x v="3"/>
  </r>
  <r>
    <s v="Credit"/>
    <d v="2021-04-19T00:00:00"/>
    <x v="1"/>
    <x v="1"/>
    <x v="1"/>
    <x v="1"/>
    <n v="5"/>
    <m/>
    <n v="-5"/>
    <n v="2021"/>
    <x v="3"/>
  </r>
  <r>
    <s v="Credit"/>
    <d v="2021-04-19T00:00:00"/>
    <x v="4"/>
    <x v="4"/>
    <x v="2"/>
    <x v="1"/>
    <n v="173"/>
    <m/>
    <n v="-173"/>
    <n v="2021"/>
    <x v="3"/>
  </r>
  <r>
    <s v="Credit"/>
    <d v="2021-04-20T00:00:00"/>
    <x v="16"/>
    <x v="8"/>
    <x v="1"/>
    <x v="1"/>
    <n v="40.1"/>
    <m/>
    <n v="-40.1"/>
    <n v="2021"/>
    <x v="3"/>
  </r>
  <r>
    <s v="Credit"/>
    <d v="2021-04-21T00:00:00"/>
    <x v="17"/>
    <x v="8"/>
    <x v="1"/>
    <x v="1"/>
    <n v="15.1"/>
    <m/>
    <n v="-15.1"/>
    <n v="2021"/>
    <x v="3"/>
  </r>
  <r>
    <s v="Checking"/>
    <d v="2021-04-22T00:00:00"/>
    <x v="18"/>
    <x v="14"/>
    <x v="6"/>
    <x v="1"/>
    <n v="55"/>
    <m/>
    <n v="-55"/>
    <n v="2021"/>
    <x v="3"/>
  </r>
  <r>
    <s v="Credit"/>
    <d v="2021-04-22T00:00:00"/>
    <x v="6"/>
    <x v="6"/>
    <x v="3"/>
    <x v="1"/>
    <n v="66"/>
    <m/>
    <n v="-66"/>
    <n v="2021"/>
    <x v="3"/>
  </r>
  <r>
    <s v="Credit"/>
    <d v="2021-04-22T00:00:00"/>
    <x v="1"/>
    <x v="1"/>
    <x v="1"/>
    <x v="1"/>
    <n v="5"/>
    <m/>
    <n v="-5"/>
    <n v="2021"/>
    <x v="3"/>
  </r>
  <r>
    <s v="Credit"/>
    <d v="2021-04-23T00:00:00"/>
    <x v="1"/>
    <x v="1"/>
    <x v="1"/>
    <x v="1"/>
    <n v="5"/>
    <m/>
    <n v="-5"/>
    <n v="2021"/>
    <x v="3"/>
  </r>
  <r>
    <s v="Credit"/>
    <d v="2021-04-24T00:00:00"/>
    <x v="1"/>
    <x v="1"/>
    <x v="1"/>
    <x v="1"/>
    <n v="5"/>
    <m/>
    <n v="-5"/>
    <n v="2021"/>
    <x v="3"/>
  </r>
  <r>
    <s v="Credit"/>
    <d v="2021-04-25T00:00:00"/>
    <x v="1"/>
    <x v="1"/>
    <x v="1"/>
    <x v="1"/>
    <n v="5"/>
    <m/>
    <n v="-5"/>
    <n v="2021"/>
    <x v="3"/>
  </r>
  <r>
    <s v="Credit"/>
    <d v="2021-04-26T00:00:00"/>
    <x v="1"/>
    <x v="1"/>
    <x v="1"/>
    <x v="1"/>
    <n v="5"/>
    <m/>
    <n v="-5"/>
    <n v="2021"/>
    <x v="3"/>
  </r>
  <r>
    <s v="Credit"/>
    <d v="2021-04-26T00:00:00"/>
    <x v="4"/>
    <x v="4"/>
    <x v="2"/>
    <x v="1"/>
    <n v="164.9"/>
    <m/>
    <n v="-164.9"/>
    <n v="2021"/>
    <x v="3"/>
  </r>
  <r>
    <s v="Credit"/>
    <d v="2021-04-27T00:00:00"/>
    <x v="19"/>
    <x v="7"/>
    <x v="4"/>
    <x v="1"/>
    <n v="127.9"/>
    <m/>
    <n v="-127.9"/>
    <n v="2021"/>
    <x v="3"/>
  </r>
  <r>
    <s v="Credit"/>
    <d v="2021-04-27T00:00:00"/>
    <x v="25"/>
    <x v="3"/>
    <x v="4"/>
    <x v="1"/>
    <n v="300"/>
    <m/>
    <n v="-300"/>
    <n v="2021"/>
    <x v="3"/>
  </r>
  <r>
    <s v="Credit"/>
    <d v="2021-04-28T00:00:00"/>
    <x v="8"/>
    <x v="7"/>
    <x v="4"/>
    <x v="1"/>
    <n v="148.1"/>
    <m/>
    <n v="-148.1"/>
    <n v="2021"/>
    <x v="3"/>
  </r>
  <r>
    <s v="Credit"/>
    <d v="2021-04-28T00:00:00"/>
    <x v="10"/>
    <x v="9"/>
    <x v="3"/>
    <x v="1"/>
    <n v="26.1"/>
    <m/>
    <n v="-26.1"/>
    <n v="2021"/>
    <x v="3"/>
  </r>
  <r>
    <s v="Credit"/>
    <d v="2021-04-29T00:00:00"/>
    <x v="24"/>
    <x v="8"/>
    <x v="1"/>
    <x v="1"/>
    <n v="15"/>
    <m/>
    <n v="-15"/>
    <n v="2021"/>
    <x v="3"/>
  </r>
  <r>
    <s v="Credit"/>
    <d v="2021-04-29T00:00:00"/>
    <x v="1"/>
    <x v="1"/>
    <x v="1"/>
    <x v="1"/>
    <n v="5"/>
    <m/>
    <n v="-5"/>
    <n v="2021"/>
    <x v="3"/>
  </r>
  <r>
    <s v="Credit"/>
    <d v="2021-04-30T00:00:00"/>
    <x v="1"/>
    <x v="1"/>
    <x v="1"/>
    <x v="1"/>
    <n v="5"/>
    <m/>
    <n v="-5"/>
    <n v="2021"/>
    <x v="3"/>
  </r>
  <r>
    <s v="Credit"/>
    <d v="2021-05-02T00:00:00"/>
    <x v="1"/>
    <x v="1"/>
    <x v="1"/>
    <x v="1"/>
    <n v="5"/>
    <m/>
    <n v="-5"/>
    <n v="2021"/>
    <x v="4"/>
  </r>
  <r>
    <s v="Checking"/>
    <d v="2021-05-03T00:00:00"/>
    <x v="0"/>
    <x v="0"/>
    <x v="0"/>
    <x v="0"/>
    <m/>
    <n v="4000"/>
    <n v="4000"/>
    <n v="2021"/>
    <x v="4"/>
  </r>
  <r>
    <s v="Checking"/>
    <d v="2021-05-03T00:00:00"/>
    <x v="2"/>
    <x v="2"/>
    <x v="2"/>
    <x v="1"/>
    <n v="900"/>
    <m/>
    <n v="-900"/>
    <n v="2021"/>
    <x v="4"/>
  </r>
  <r>
    <s v="Checking"/>
    <d v="2021-05-03T00:00:00"/>
    <x v="3"/>
    <x v="3"/>
    <x v="3"/>
    <x v="1"/>
    <n v="150"/>
    <m/>
    <n v="-150"/>
    <n v="2021"/>
    <x v="4"/>
  </r>
  <r>
    <s v="Credit"/>
    <d v="2021-05-03T00:00:00"/>
    <x v="1"/>
    <x v="1"/>
    <x v="1"/>
    <x v="1"/>
    <n v="5"/>
    <m/>
    <n v="-5"/>
    <n v="2021"/>
    <x v="4"/>
  </r>
  <r>
    <s v="Credit"/>
    <d v="2021-05-04T00:00:00"/>
    <x v="1"/>
    <x v="1"/>
    <x v="1"/>
    <x v="1"/>
    <n v="5"/>
    <m/>
    <n v="-5"/>
    <n v="2021"/>
    <x v="4"/>
  </r>
  <r>
    <s v="Credit"/>
    <d v="2021-05-05T00:00:00"/>
    <x v="1"/>
    <x v="1"/>
    <x v="1"/>
    <x v="1"/>
    <n v="5"/>
    <m/>
    <n v="-5"/>
    <n v="2021"/>
    <x v="4"/>
  </r>
  <r>
    <s v="Credit"/>
    <d v="2021-05-06T00:00:00"/>
    <x v="1"/>
    <x v="1"/>
    <x v="1"/>
    <x v="1"/>
    <n v="5"/>
    <m/>
    <n v="-5"/>
    <n v="2021"/>
    <x v="4"/>
  </r>
  <r>
    <s v="Credit"/>
    <d v="2021-05-06T00:00:00"/>
    <x v="4"/>
    <x v="4"/>
    <x v="2"/>
    <x v="1"/>
    <n v="170"/>
    <m/>
    <n v="-170"/>
    <n v="2021"/>
    <x v="4"/>
  </r>
  <r>
    <s v="Checking"/>
    <d v="2021-05-09T00:00:00"/>
    <x v="5"/>
    <x v="5"/>
    <x v="2"/>
    <x v="1"/>
    <n v="54.1"/>
    <m/>
    <n v="-54.1"/>
    <n v="2021"/>
    <x v="4"/>
  </r>
  <r>
    <s v="Credit"/>
    <d v="2021-05-09T00:00:00"/>
    <x v="1"/>
    <x v="1"/>
    <x v="1"/>
    <x v="1"/>
    <n v="5"/>
    <m/>
    <n v="-5"/>
    <n v="2021"/>
    <x v="4"/>
  </r>
  <r>
    <s v="Credit"/>
    <d v="2021-05-10T00:00:00"/>
    <x v="1"/>
    <x v="1"/>
    <x v="1"/>
    <x v="1"/>
    <n v="5"/>
    <m/>
    <n v="-5"/>
    <n v="2021"/>
    <x v="4"/>
  </r>
  <r>
    <s v="Credit"/>
    <d v="2021-05-11T00:00:00"/>
    <x v="6"/>
    <x v="6"/>
    <x v="3"/>
    <x v="1"/>
    <n v="81"/>
    <m/>
    <n v="-81"/>
    <n v="2021"/>
    <x v="4"/>
  </r>
  <r>
    <s v="Credit"/>
    <d v="2021-05-11T00:00:00"/>
    <x v="1"/>
    <x v="1"/>
    <x v="1"/>
    <x v="1"/>
    <n v="5"/>
    <m/>
    <n v="-5"/>
    <n v="2021"/>
    <x v="4"/>
  </r>
  <r>
    <s v="Credit"/>
    <d v="2021-05-12T00:00:00"/>
    <x v="1"/>
    <x v="1"/>
    <x v="1"/>
    <x v="1"/>
    <n v="5"/>
    <m/>
    <n v="-5"/>
    <n v="2021"/>
    <x v="4"/>
  </r>
  <r>
    <s v="Credit"/>
    <d v="2021-05-13T00:00:00"/>
    <x v="4"/>
    <x v="4"/>
    <x v="2"/>
    <x v="1"/>
    <n v="139.1"/>
    <m/>
    <n v="-139.1"/>
    <n v="2021"/>
    <x v="4"/>
  </r>
  <r>
    <s v="Credit"/>
    <d v="2021-05-13T00:00:00"/>
    <x v="1"/>
    <x v="1"/>
    <x v="1"/>
    <x v="1"/>
    <n v="5"/>
    <m/>
    <n v="-5"/>
    <n v="2021"/>
    <x v="4"/>
  </r>
  <r>
    <s v="Credit"/>
    <d v="2021-05-14T00:00:00"/>
    <x v="1"/>
    <x v="1"/>
    <x v="1"/>
    <x v="1"/>
    <n v="5"/>
    <m/>
    <n v="-5"/>
    <n v="2021"/>
    <x v="4"/>
  </r>
  <r>
    <s v="Credit"/>
    <d v="2021-05-14T00:00:00"/>
    <x v="7"/>
    <x v="3"/>
    <x v="4"/>
    <x v="1"/>
    <n v="43.9"/>
    <m/>
    <n v="-43.9"/>
    <n v="2021"/>
    <x v="4"/>
  </r>
  <r>
    <s v="Credit"/>
    <d v="2021-05-14T00:00:00"/>
    <x v="8"/>
    <x v="7"/>
    <x v="4"/>
    <x v="1"/>
    <n v="101.80000000000001"/>
    <m/>
    <n v="-101.80000000000001"/>
    <n v="2021"/>
    <x v="4"/>
  </r>
  <r>
    <s v="Credit"/>
    <d v="2021-05-14T00:00:00"/>
    <x v="9"/>
    <x v="8"/>
    <x v="1"/>
    <x v="1"/>
    <n v="55.9"/>
    <m/>
    <n v="-55.9"/>
    <n v="2021"/>
    <x v="4"/>
  </r>
  <r>
    <s v="Credit"/>
    <d v="2021-05-15T00:00:00"/>
    <x v="10"/>
    <x v="9"/>
    <x v="3"/>
    <x v="1"/>
    <n v="32"/>
    <m/>
    <n v="-32"/>
    <n v="2021"/>
    <x v="4"/>
  </r>
  <r>
    <s v="Checking"/>
    <d v="2021-05-16T00:00:00"/>
    <x v="11"/>
    <x v="10"/>
    <x v="4"/>
    <x v="1"/>
    <n v="30"/>
    <m/>
    <n v="-30"/>
    <n v="2021"/>
    <x v="4"/>
  </r>
  <r>
    <s v="Credit"/>
    <d v="2021-05-16T00:00:00"/>
    <x v="1"/>
    <x v="1"/>
    <x v="1"/>
    <x v="1"/>
    <n v="5"/>
    <m/>
    <n v="-5"/>
    <n v="2021"/>
    <x v="4"/>
  </r>
  <r>
    <s v="Credit"/>
    <d v="2021-05-17T00:00:00"/>
    <x v="1"/>
    <x v="1"/>
    <x v="1"/>
    <x v="1"/>
    <n v="5"/>
    <m/>
    <n v="-5"/>
    <n v="2021"/>
    <x v="4"/>
  </r>
  <r>
    <s v="Checking"/>
    <d v="2021-05-17T00:00:00"/>
    <x v="22"/>
    <x v="11"/>
    <x v="5"/>
    <x v="1"/>
    <n v="75"/>
    <m/>
    <n v="-75"/>
    <n v="2021"/>
    <x v="4"/>
  </r>
  <r>
    <s v="Checking"/>
    <d v="2021-05-17T00:00:00"/>
    <x v="13"/>
    <x v="12"/>
    <x v="2"/>
    <x v="1"/>
    <n v="40"/>
    <m/>
    <n v="-40"/>
    <n v="2021"/>
    <x v="4"/>
  </r>
  <r>
    <s v="Credit"/>
    <d v="2021-05-18T00:00:00"/>
    <x v="14"/>
    <x v="13"/>
    <x v="4"/>
    <x v="1"/>
    <n v="49"/>
    <m/>
    <n v="-49"/>
    <n v="2021"/>
    <x v="4"/>
  </r>
  <r>
    <s v="Credit"/>
    <d v="2021-05-18T00:00:00"/>
    <x v="15"/>
    <x v="3"/>
    <x v="4"/>
    <x v="1"/>
    <n v="35"/>
    <m/>
    <n v="-35"/>
    <n v="2021"/>
    <x v="4"/>
  </r>
  <r>
    <s v="Credit"/>
    <d v="2021-05-18T00:00:00"/>
    <x v="1"/>
    <x v="1"/>
    <x v="1"/>
    <x v="1"/>
    <n v="5"/>
    <m/>
    <n v="-5"/>
    <n v="2021"/>
    <x v="4"/>
  </r>
  <r>
    <s v="Credit"/>
    <d v="2021-05-19T00:00:00"/>
    <x v="1"/>
    <x v="1"/>
    <x v="1"/>
    <x v="1"/>
    <n v="5"/>
    <m/>
    <n v="-5"/>
    <n v="2021"/>
    <x v="4"/>
  </r>
  <r>
    <s v="Credit"/>
    <d v="2021-05-20T00:00:00"/>
    <x v="1"/>
    <x v="1"/>
    <x v="1"/>
    <x v="1"/>
    <n v="5"/>
    <m/>
    <n v="-5"/>
    <n v="2021"/>
    <x v="4"/>
  </r>
  <r>
    <s v="Credit"/>
    <d v="2021-05-20T00:00:00"/>
    <x v="4"/>
    <x v="4"/>
    <x v="2"/>
    <x v="1"/>
    <n v="174"/>
    <m/>
    <n v="-174"/>
    <n v="2021"/>
    <x v="4"/>
  </r>
  <r>
    <s v="Credit"/>
    <d v="2021-05-21T00:00:00"/>
    <x v="16"/>
    <x v="8"/>
    <x v="1"/>
    <x v="1"/>
    <n v="41.1"/>
    <m/>
    <n v="-41.1"/>
    <n v="2021"/>
    <x v="4"/>
  </r>
  <r>
    <s v="Credit"/>
    <d v="2021-05-22T00:00:00"/>
    <x v="17"/>
    <x v="8"/>
    <x v="1"/>
    <x v="1"/>
    <n v="16.2"/>
    <m/>
    <n v="-16.2"/>
    <n v="2021"/>
    <x v="4"/>
  </r>
  <r>
    <s v="Checking"/>
    <d v="2021-05-23T00:00:00"/>
    <x v="18"/>
    <x v="14"/>
    <x v="6"/>
    <x v="1"/>
    <n v="55"/>
    <m/>
    <n v="-55"/>
    <n v="2021"/>
    <x v="4"/>
  </r>
  <r>
    <s v="Credit"/>
    <d v="2021-05-23T00:00:00"/>
    <x v="6"/>
    <x v="6"/>
    <x v="3"/>
    <x v="1"/>
    <n v="67"/>
    <m/>
    <n v="-67"/>
    <n v="2021"/>
    <x v="4"/>
  </r>
  <r>
    <s v="Credit"/>
    <d v="2021-05-23T00:00:00"/>
    <x v="1"/>
    <x v="1"/>
    <x v="1"/>
    <x v="1"/>
    <n v="5"/>
    <m/>
    <n v="-5"/>
    <n v="2021"/>
    <x v="4"/>
  </r>
  <r>
    <s v="Credit"/>
    <d v="2021-05-24T00:00:00"/>
    <x v="1"/>
    <x v="1"/>
    <x v="1"/>
    <x v="1"/>
    <n v="5"/>
    <m/>
    <n v="-5"/>
    <n v="2021"/>
    <x v="4"/>
  </r>
  <r>
    <s v="Credit"/>
    <d v="2021-05-25T00:00:00"/>
    <x v="1"/>
    <x v="1"/>
    <x v="1"/>
    <x v="1"/>
    <n v="5"/>
    <m/>
    <n v="-5"/>
    <n v="2021"/>
    <x v="4"/>
  </r>
  <r>
    <s v="Credit"/>
    <d v="2021-05-26T00:00:00"/>
    <x v="1"/>
    <x v="1"/>
    <x v="1"/>
    <x v="1"/>
    <n v="5"/>
    <m/>
    <n v="-5"/>
    <n v="2021"/>
    <x v="4"/>
  </r>
  <r>
    <s v="Credit"/>
    <d v="2021-05-27T00:00:00"/>
    <x v="1"/>
    <x v="1"/>
    <x v="1"/>
    <x v="1"/>
    <n v="5"/>
    <m/>
    <n v="-5"/>
    <n v="2021"/>
    <x v="4"/>
  </r>
  <r>
    <s v="Credit"/>
    <d v="2021-05-27T00:00:00"/>
    <x v="4"/>
    <x v="4"/>
    <x v="2"/>
    <x v="1"/>
    <n v="165.8"/>
    <m/>
    <n v="-165.8"/>
    <n v="2021"/>
    <x v="4"/>
  </r>
  <r>
    <s v="Credit"/>
    <d v="2021-05-28T00:00:00"/>
    <x v="19"/>
    <x v="7"/>
    <x v="4"/>
    <x v="1"/>
    <n v="128.80000000000001"/>
    <m/>
    <n v="-128.80000000000001"/>
    <n v="2021"/>
    <x v="4"/>
  </r>
  <r>
    <s v="Credit"/>
    <d v="2021-05-28T00:00:00"/>
    <x v="26"/>
    <x v="15"/>
    <x v="4"/>
    <x v="1"/>
    <n v="235"/>
    <m/>
    <n v="-235"/>
    <n v="2021"/>
    <x v="4"/>
  </r>
  <r>
    <s v="Credit"/>
    <d v="2021-05-29T00:00:00"/>
    <x v="8"/>
    <x v="7"/>
    <x v="4"/>
    <x v="1"/>
    <n v="149.19999999999999"/>
    <m/>
    <n v="-149.19999999999999"/>
    <n v="2021"/>
    <x v="4"/>
  </r>
  <r>
    <s v="Credit"/>
    <d v="2021-05-29T00:00:00"/>
    <x v="10"/>
    <x v="9"/>
    <x v="3"/>
    <x v="1"/>
    <n v="27.200000000000003"/>
    <m/>
    <n v="-27.200000000000003"/>
    <n v="2021"/>
    <x v="4"/>
  </r>
  <r>
    <s v="Credit"/>
    <d v="2021-05-31T00:00:00"/>
    <x v="24"/>
    <x v="8"/>
    <x v="1"/>
    <x v="1"/>
    <n v="15"/>
    <m/>
    <n v="-15"/>
    <n v="2021"/>
    <x v="4"/>
  </r>
  <r>
    <s v="Credit"/>
    <d v="2021-05-30T00:00:00"/>
    <x v="1"/>
    <x v="1"/>
    <x v="1"/>
    <x v="1"/>
    <n v="5"/>
    <m/>
    <n v="-5"/>
    <n v="2021"/>
    <x v="4"/>
  </r>
  <r>
    <s v="Credit"/>
    <d v="2021-05-31T00:00:00"/>
    <x v="1"/>
    <x v="1"/>
    <x v="1"/>
    <x v="1"/>
    <n v="5"/>
    <m/>
    <n v="-5"/>
    <n v="2021"/>
    <x v="4"/>
  </r>
  <r>
    <s v="Checking"/>
    <d v="2021-06-01T00:00:00"/>
    <x v="0"/>
    <x v="0"/>
    <x v="0"/>
    <x v="0"/>
    <m/>
    <n v="4000"/>
    <n v="4000"/>
    <n v="2021"/>
    <x v="5"/>
  </r>
  <r>
    <s v="Credit"/>
    <d v="2021-06-03T00:00:00"/>
    <x v="1"/>
    <x v="1"/>
    <x v="1"/>
    <x v="1"/>
    <n v="5"/>
    <m/>
    <n v="-5"/>
    <n v="2021"/>
    <x v="5"/>
  </r>
  <r>
    <s v="Checking"/>
    <d v="2021-06-03T00:00:00"/>
    <x v="2"/>
    <x v="2"/>
    <x v="2"/>
    <x v="1"/>
    <n v="900"/>
    <m/>
    <n v="-900"/>
    <n v="2021"/>
    <x v="5"/>
  </r>
  <r>
    <s v="Checking"/>
    <d v="2021-06-03T00:00:00"/>
    <x v="3"/>
    <x v="3"/>
    <x v="3"/>
    <x v="1"/>
    <n v="150"/>
    <m/>
    <n v="-150"/>
    <n v="2021"/>
    <x v="5"/>
  </r>
  <r>
    <s v="Credit"/>
    <d v="2021-06-03T00:00:00"/>
    <x v="1"/>
    <x v="1"/>
    <x v="1"/>
    <x v="1"/>
    <n v="5"/>
    <m/>
    <n v="-5"/>
    <n v="2021"/>
    <x v="5"/>
  </r>
  <r>
    <s v="Credit"/>
    <d v="2021-06-04T00:00:00"/>
    <x v="1"/>
    <x v="1"/>
    <x v="1"/>
    <x v="1"/>
    <n v="5"/>
    <m/>
    <n v="-5"/>
    <n v="2021"/>
    <x v="5"/>
  </r>
  <r>
    <s v="Credit"/>
    <d v="2021-06-05T00:00:00"/>
    <x v="1"/>
    <x v="1"/>
    <x v="1"/>
    <x v="1"/>
    <n v="5"/>
    <m/>
    <n v="-5"/>
    <n v="2021"/>
    <x v="5"/>
  </r>
  <r>
    <s v="Credit"/>
    <d v="2021-06-06T00:00:00"/>
    <x v="1"/>
    <x v="1"/>
    <x v="1"/>
    <x v="1"/>
    <n v="5"/>
    <m/>
    <n v="-5"/>
    <n v="2021"/>
    <x v="5"/>
  </r>
  <r>
    <s v="Credit"/>
    <d v="2021-06-06T00:00:00"/>
    <x v="4"/>
    <x v="4"/>
    <x v="2"/>
    <x v="1"/>
    <n v="119"/>
    <m/>
    <n v="-119"/>
    <n v="2021"/>
    <x v="5"/>
  </r>
  <r>
    <s v="Checking"/>
    <d v="2021-06-09T00:00:00"/>
    <x v="5"/>
    <x v="5"/>
    <x v="2"/>
    <x v="1"/>
    <n v="55"/>
    <m/>
    <n v="-55"/>
    <n v="2021"/>
    <x v="5"/>
  </r>
  <r>
    <s v="Credit"/>
    <d v="2021-06-09T00:00:00"/>
    <x v="1"/>
    <x v="1"/>
    <x v="1"/>
    <x v="1"/>
    <n v="5"/>
    <m/>
    <n v="-5"/>
    <n v="2021"/>
    <x v="5"/>
  </r>
  <r>
    <s v="Credit"/>
    <d v="2021-06-10T00:00:00"/>
    <x v="1"/>
    <x v="1"/>
    <x v="1"/>
    <x v="1"/>
    <n v="5"/>
    <m/>
    <n v="-5"/>
    <n v="2021"/>
    <x v="5"/>
  </r>
  <r>
    <s v="Credit"/>
    <d v="2021-06-11T00:00:00"/>
    <x v="6"/>
    <x v="6"/>
    <x v="3"/>
    <x v="1"/>
    <n v="82.1"/>
    <m/>
    <n v="-82.1"/>
    <n v="2021"/>
    <x v="5"/>
  </r>
  <r>
    <s v="Credit"/>
    <d v="2021-06-11T00:00:00"/>
    <x v="1"/>
    <x v="1"/>
    <x v="1"/>
    <x v="1"/>
    <n v="5"/>
    <m/>
    <n v="-5"/>
    <n v="2021"/>
    <x v="5"/>
  </r>
  <r>
    <s v="Credit"/>
    <d v="2021-06-12T00:00:00"/>
    <x v="1"/>
    <x v="1"/>
    <x v="1"/>
    <x v="1"/>
    <n v="5"/>
    <m/>
    <n v="-5"/>
    <n v="2021"/>
    <x v="5"/>
  </r>
  <r>
    <s v="Credit"/>
    <d v="2021-06-13T00:00:00"/>
    <x v="4"/>
    <x v="4"/>
    <x v="2"/>
    <x v="1"/>
    <n v="140.19999999999999"/>
    <m/>
    <n v="-140.19999999999999"/>
    <n v="2021"/>
    <x v="5"/>
  </r>
  <r>
    <s v="Credit"/>
    <d v="2021-06-13T00:00:00"/>
    <x v="1"/>
    <x v="1"/>
    <x v="1"/>
    <x v="1"/>
    <n v="5"/>
    <m/>
    <n v="-5"/>
    <n v="2021"/>
    <x v="5"/>
  </r>
  <r>
    <s v="Credit"/>
    <d v="2021-06-14T00:00:00"/>
    <x v="1"/>
    <x v="1"/>
    <x v="1"/>
    <x v="1"/>
    <n v="5"/>
    <m/>
    <n v="-5"/>
    <n v="2021"/>
    <x v="5"/>
  </r>
  <r>
    <s v="Credit"/>
    <d v="2021-06-14T00:00:00"/>
    <x v="7"/>
    <x v="3"/>
    <x v="4"/>
    <x v="1"/>
    <n v="44.9"/>
    <m/>
    <n v="-44.9"/>
    <n v="2021"/>
    <x v="5"/>
  </r>
  <r>
    <s v="Credit"/>
    <d v="2021-06-14T00:00:00"/>
    <x v="8"/>
    <x v="7"/>
    <x v="4"/>
    <x v="1"/>
    <n v="102.9"/>
    <m/>
    <n v="-102.9"/>
    <n v="2021"/>
    <x v="5"/>
  </r>
  <r>
    <s v="Credit"/>
    <d v="2021-06-14T00:00:00"/>
    <x v="9"/>
    <x v="8"/>
    <x v="1"/>
    <x v="1"/>
    <n v="56.9"/>
    <m/>
    <n v="-56.9"/>
    <n v="2021"/>
    <x v="5"/>
  </r>
  <r>
    <s v="Credit"/>
    <d v="2021-06-15T00:00:00"/>
    <x v="10"/>
    <x v="9"/>
    <x v="3"/>
    <x v="1"/>
    <n v="33.1"/>
    <m/>
    <n v="-33.1"/>
    <n v="2021"/>
    <x v="5"/>
  </r>
  <r>
    <s v="Checking"/>
    <d v="2021-06-16T00:00:00"/>
    <x v="11"/>
    <x v="10"/>
    <x v="4"/>
    <x v="1"/>
    <n v="30"/>
    <m/>
    <n v="-30"/>
    <n v="2021"/>
    <x v="5"/>
  </r>
  <r>
    <s v="Credit"/>
    <d v="2021-06-16T00:00:00"/>
    <x v="1"/>
    <x v="1"/>
    <x v="1"/>
    <x v="1"/>
    <n v="5"/>
    <m/>
    <n v="-5"/>
    <n v="2021"/>
    <x v="5"/>
  </r>
  <r>
    <s v="Credit"/>
    <d v="2021-06-17T00:00:00"/>
    <x v="1"/>
    <x v="1"/>
    <x v="1"/>
    <x v="1"/>
    <n v="5"/>
    <m/>
    <n v="-5"/>
    <n v="2021"/>
    <x v="5"/>
  </r>
  <r>
    <s v="Checking"/>
    <d v="2021-06-17T00:00:00"/>
    <x v="13"/>
    <x v="12"/>
    <x v="2"/>
    <x v="1"/>
    <n v="40"/>
    <m/>
    <n v="-40"/>
    <n v="2021"/>
    <x v="5"/>
  </r>
  <r>
    <s v="Credit"/>
    <d v="2021-06-18T00:00:00"/>
    <x v="14"/>
    <x v="13"/>
    <x v="4"/>
    <x v="1"/>
    <n v="50.1"/>
    <m/>
    <n v="-50.1"/>
    <n v="2021"/>
    <x v="5"/>
  </r>
  <r>
    <s v="Credit"/>
    <d v="2021-06-18T00:00:00"/>
    <x v="15"/>
    <x v="3"/>
    <x v="4"/>
    <x v="1"/>
    <n v="35"/>
    <m/>
    <n v="-35"/>
    <n v="2021"/>
    <x v="5"/>
  </r>
  <r>
    <s v="Credit"/>
    <d v="2021-06-18T00:00:00"/>
    <x v="1"/>
    <x v="1"/>
    <x v="1"/>
    <x v="1"/>
    <n v="5"/>
    <m/>
    <n v="-5"/>
    <n v="2021"/>
    <x v="5"/>
  </r>
  <r>
    <s v="Credit"/>
    <d v="2021-06-19T00:00:00"/>
    <x v="1"/>
    <x v="1"/>
    <x v="1"/>
    <x v="1"/>
    <n v="5"/>
    <m/>
    <n v="-5"/>
    <n v="2021"/>
    <x v="5"/>
  </r>
  <r>
    <s v="Credit"/>
    <d v="2021-06-20T00:00:00"/>
    <x v="1"/>
    <x v="1"/>
    <x v="1"/>
    <x v="1"/>
    <n v="5"/>
    <m/>
    <n v="-5"/>
    <n v="2021"/>
    <x v="5"/>
  </r>
  <r>
    <s v="Credit"/>
    <d v="2021-06-20T00:00:00"/>
    <x v="4"/>
    <x v="4"/>
    <x v="2"/>
    <x v="1"/>
    <n v="234"/>
    <m/>
    <n v="-234"/>
    <n v="2021"/>
    <x v="5"/>
  </r>
  <r>
    <s v="Credit"/>
    <d v="2021-06-21T00:00:00"/>
    <x v="16"/>
    <x v="8"/>
    <x v="1"/>
    <x v="1"/>
    <n v="42.1"/>
    <m/>
    <n v="-42.1"/>
    <n v="2021"/>
    <x v="5"/>
  </r>
  <r>
    <s v="Credit"/>
    <d v="2021-06-22T00:00:00"/>
    <x v="17"/>
    <x v="8"/>
    <x v="1"/>
    <x v="1"/>
    <n v="17.099999999999998"/>
    <m/>
    <n v="-17.099999999999998"/>
    <n v="2021"/>
    <x v="5"/>
  </r>
  <r>
    <s v="Checking"/>
    <d v="2021-06-23T00:00:00"/>
    <x v="18"/>
    <x v="14"/>
    <x v="6"/>
    <x v="1"/>
    <n v="55"/>
    <m/>
    <n v="-55"/>
    <n v="2021"/>
    <x v="5"/>
  </r>
  <r>
    <s v="Credit"/>
    <d v="2021-06-23T00:00:00"/>
    <x v="6"/>
    <x v="6"/>
    <x v="3"/>
    <x v="1"/>
    <n v="67.900000000000006"/>
    <m/>
    <n v="-67.900000000000006"/>
    <n v="2021"/>
    <x v="5"/>
  </r>
  <r>
    <s v="Credit"/>
    <d v="2021-06-23T00:00:00"/>
    <x v="1"/>
    <x v="1"/>
    <x v="1"/>
    <x v="1"/>
    <n v="5"/>
    <m/>
    <n v="-5"/>
    <n v="2021"/>
    <x v="5"/>
  </r>
  <r>
    <s v="Credit"/>
    <d v="2021-06-24T00:00:00"/>
    <x v="1"/>
    <x v="1"/>
    <x v="1"/>
    <x v="1"/>
    <n v="5"/>
    <m/>
    <n v="-5"/>
    <n v="2021"/>
    <x v="5"/>
  </r>
  <r>
    <s v="Credit"/>
    <d v="2021-06-25T00:00:00"/>
    <x v="1"/>
    <x v="1"/>
    <x v="1"/>
    <x v="1"/>
    <n v="5"/>
    <m/>
    <n v="-5"/>
    <n v="2021"/>
    <x v="5"/>
  </r>
  <r>
    <s v="Credit"/>
    <d v="2021-06-26T00:00:00"/>
    <x v="1"/>
    <x v="1"/>
    <x v="1"/>
    <x v="1"/>
    <n v="5"/>
    <m/>
    <n v="-5"/>
    <n v="2021"/>
    <x v="5"/>
  </r>
  <r>
    <s v="Credit"/>
    <d v="2021-06-27T00:00:00"/>
    <x v="1"/>
    <x v="1"/>
    <x v="1"/>
    <x v="1"/>
    <n v="5"/>
    <m/>
    <n v="-5"/>
    <n v="2021"/>
    <x v="5"/>
  </r>
  <r>
    <s v="Credit"/>
    <d v="2021-06-27T00:00:00"/>
    <x v="4"/>
    <x v="4"/>
    <x v="2"/>
    <x v="1"/>
    <n v="166.9"/>
    <m/>
    <n v="-166.9"/>
    <n v="2021"/>
    <x v="5"/>
  </r>
  <r>
    <s v="Credit"/>
    <d v="2021-06-28T00:00:00"/>
    <x v="19"/>
    <x v="7"/>
    <x v="4"/>
    <x v="1"/>
    <n v="129.9"/>
    <m/>
    <n v="-129.9"/>
    <n v="2021"/>
    <x v="5"/>
  </r>
  <r>
    <s v="Credit"/>
    <d v="2021-06-28T00:00:00"/>
    <x v="20"/>
    <x v="3"/>
    <x v="4"/>
    <x v="1"/>
    <n v="180.29999999999998"/>
    <m/>
    <n v="-180.29999999999998"/>
    <n v="2021"/>
    <x v="5"/>
  </r>
  <r>
    <s v="Credit"/>
    <d v="2021-06-29T00:00:00"/>
    <x v="8"/>
    <x v="7"/>
    <x v="4"/>
    <x v="1"/>
    <n v="150.1"/>
    <m/>
    <n v="-150.1"/>
    <n v="2021"/>
    <x v="5"/>
  </r>
  <r>
    <s v="Credit"/>
    <d v="2021-06-29T00:00:00"/>
    <x v="10"/>
    <x v="9"/>
    <x v="3"/>
    <x v="1"/>
    <n v="28.200000000000003"/>
    <m/>
    <n v="-28.200000000000003"/>
    <n v="2021"/>
    <x v="5"/>
  </r>
  <r>
    <s v="Credit"/>
    <d v="2021-06-29T00:00:00"/>
    <x v="24"/>
    <x v="8"/>
    <x v="1"/>
    <x v="1"/>
    <n v="15"/>
    <m/>
    <n v="-15"/>
    <n v="2021"/>
    <x v="5"/>
  </r>
  <r>
    <s v="Credit"/>
    <d v="2021-06-30T00:00:00"/>
    <x v="1"/>
    <x v="1"/>
    <x v="1"/>
    <x v="1"/>
    <n v="5"/>
    <m/>
    <n v="-5"/>
    <n v="2021"/>
    <x v="5"/>
  </r>
  <r>
    <s v="Credit"/>
    <d v="2021-07-01T00:00:00"/>
    <x v="1"/>
    <x v="1"/>
    <x v="1"/>
    <x v="1"/>
    <n v="5"/>
    <m/>
    <n v="-5"/>
    <n v="2021"/>
    <x v="6"/>
  </r>
  <r>
    <s v="Checking"/>
    <d v="2021-07-02T00:00:00"/>
    <x v="0"/>
    <x v="0"/>
    <x v="0"/>
    <x v="0"/>
    <m/>
    <n v="4000"/>
    <n v="4000"/>
    <n v="2021"/>
    <x v="6"/>
  </r>
  <r>
    <s v="Credit"/>
    <d v="2021-07-03T00:00:00"/>
    <x v="1"/>
    <x v="1"/>
    <x v="1"/>
    <x v="1"/>
    <n v="5"/>
    <m/>
    <n v="-5"/>
    <n v="2021"/>
    <x v="6"/>
  </r>
  <r>
    <s v="Checking"/>
    <d v="2021-07-05T00:00:00"/>
    <x v="2"/>
    <x v="2"/>
    <x v="2"/>
    <x v="1"/>
    <n v="900"/>
    <m/>
    <n v="-900"/>
    <n v="2021"/>
    <x v="6"/>
  </r>
  <r>
    <s v="Checking"/>
    <d v="2021-07-05T00:00:00"/>
    <x v="3"/>
    <x v="3"/>
    <x v="3"/>
    <x v="1"/>
    <n v="150"/>
    <m/>
    <n v="-150"/>
    <n v="2021"/>
    <x v="6"/>
  </r>
  <r>
    <s v="Credit"/>
    <d v="2021-07-05T00:00:00"/>
    <x v="27"/>
    <x v="8"/>
    <x v="1"/>
    <x v="1"/>
    <n v="15"/>
    <m/>
    <n v="-15"/>
    <n v="2021"/>
    <x v="6"/>
  </r>
  <r>
    <s v="Credit"/>
    <d v="2021-07-05T00:00:00"/>
    <x v="1"/>
    <x v="1"/>
    <x v="1"/>
    <x v="1"/>
    <n v="5"/>
    <m/>
    <n v="-5"/>
    <n v="2021"/>
    <x v="6"/>
  </r>
  <r>
    <s v="Credit"/>
    <d v="2021-07-06T00:00:00"/>
    <x v="1"/>
    <x v="1"/>
    <x v="1"/>
    <x v="1"/>
    <n v="5"/>
    <m/>
    <n v="-5"/>
    <n v="2021"/>
    <x v="6"/>
  </r>
  <r>
    <s v="Credit"/>
    <d v="2021-07-07T00:00:00"/>
    <x v="1"/>
    <x v="1"/>
    <x v="1"/>
    <x v="1"/>
    <n v="5"/>
    <m/>
    <n v="-5"/>
    <n v="2021"/>
    <x v="6"/>
  </r>
  <r>
    <s v="Credit"/>
    <d v="2021-07-07T00:00:00"/>
    <x v="4"/>
    <x v="4"/>
    <x v="2"/>
    <x v="1"/>
    <n v="180"/>
    <m/>
    <n v="-180"/>
    <n v="2021"/>
    <x v="6"/>
  </r>
  <r>
    <s v="Checking"/>
    <d v="2021-07-10T00:00:00"/>
    <x v="5"/>
    <x v="5"/>
    <x v="2"/>
    <x v="1"/>
    <n v="56.1"/>
    <m/>
    <n v="-56.1"/>
    <n v="2021"/>
    <x v="6"/>
  </r>
  <r>
    <s v="Credit"/>
    <d v="2021-07-10T00:00:00"/>
    <x v="1"/>
    <x v="1"/>
    <x v="1"/>
    <x v="1"/>
    <n v="5"/>
    <m/>
    <n v="-5"/>
    <n v="2021"/>
    <x v="6"/>
  </r>
  <r>
    <s v="Credit"/>
    <d v="2021-07-11T00:00:00"/>
    <x v="1"/>
    <x v="1"/>
    <x v="1"/>
    <x v="1"/>
    <n v="5"/>
    <m/>
    <n v="-5"/>
    <n v="2021"/>
    <x v="6"/>
  </r>
  <r>
    <s v="Credit"/>
    <d v="2021-07-12T00:00:00"/>
    <x v="6"/>
    <x v="6"/>
    <x v="3"/>
    <x v="1"/>
    <n v="83.1"/>
    <m/>
    <n v="-83.1"/>
    <n v="2021"/>
    <x v="6"/>
  </r>
  <r>
    <s v="Credit"/>
    <d v="2021-07-12T00:00:00"/>
    <x v="1"/>
    <x v="1"/>
    <x v="1"/>
    <x v="1"/>
    <n v="5"/>
    <m/>
    <n v="-5"/>
    <n v="2021"/>
    <x v="6"/>
  </r>
  <r>
    <s v="Credit"/>
    <d v="2021-07-13T00:00:00"/>
    <x v="1"/>
    <x v="1"/>
    <x v="1"/>
    <x v="1"/>
    <n v="5"/>
    <m/>
    <n v="-5"/>
    <n v="2021"/>
    <x v="6"/>
  </r>
  <r>
    <s v="Credit"/>
    <d v="2021-07-14T00:00:00"/>
    <x v="4"/>
    <x v="4"/>
    <x v="2"/>
    <x v="1"/>
    <n v="141.1"/>
    <m/>
    <n v="-141.1"/>
    <n v="2021"/>
    <x v="6"/>
  </r>
  <r>
    <s v="Credit"/>
    <d v="2021-07-14T00:00:00"/>
    <x v="1"/>
    <x v="1"/>
    <x v="1"/>
    <x v="1"/>
    <n v="5"/>
    <m/>
    <n v="-5"/>
    <n v="2021"/>
    <x v="6"/>
  </r>
  <r>
    <s v="Credit"/>
    <d v="2021-07-15T00:00:00"/>
    <x v="1"/>
    <x v="1"/>
    <x v="1"/>
    <x v="1"/>
    <n v="5"/>
    <m/>
    <n v="-5"/>
    <n v="2021"/>
    <x v="6"/>
  </r>
  <r>
    <s v="Credit"/>
    <d v="2021-07-15T00:00:00"/>
    <x v="7"/>
    <x v="3"/>
    <x v="4"/>
    <x v="1"/>
    <n v="45.8"/>
    <m/>
    <n v="-45.8"/>
    <n v="2021"/>
    <x v="6"/>
  </r>
  <r>
    <s v="Credit"/>
    <d v="2021-07-15T00:00:00"/>
    <x v="8"/>
    <x v="7"/>
    <x v="4"/>
    <x v="1"/>
    <n v="103.80000000000001"/>
    <m/>
    <n v="-103.80000000000001"/>
    <n v="2021"/>
    <x v="6"/>
  </r>
  <r>
    <s v="Credit"/>
    <d v="2021-07-15T00:00:00"/>
    <x v="9"/>
    <x v="8"/>
    <x v="1"/>
    <x v="1"/>
    <n v="58"/>
    <m/>
    <n v="-58"/>
    <n v="2021"/>
    <x v="6"/>
  </r>
  <r>
    <s v="Credit"/>
    <d v="2021-07-16T00:00:00"/>
    <x v="10"/>
    <x v="9"/>
    <x v="3"/>
    <x v="1"/>
    <n v="34.200000000000003"/>
    <m/>
    <n v="-34.200000000000003"/>
    <n v="2021"/>
    <x v="6"/>
  </r>
  <r>
    <s v="Checking"/>
    <d v="2021-07-17T00:00:00"/>
    <x v="11"/>
    <x v="10"/>
    <x v="4"/>
    <x v="1"/>
    <n v="30"/>
    <m/>
    <n v="-30"/>
    <n v="2021"/>
    <x v="6"/>
  </r>
  <r>
    <s v="Credit"/>
    <d v="2021-07-17T00:00:00"/>
    <x v="1"/>
    <x v="1"/>
    <x v="1"/>
    <x v="1"/>
    <n v="5"/>
    <m/>
    <n v="-5"/>
    <n v="2021"/>
    <x v="6"/>
  </r>
  <r>
    <s v="Credit"/>
    <d v="2021-07-18T00:00:00"/>
    <x v="1"/>
    <x v="1"/>
    <x v="1"/>
    <x v="1"/>
    <n v="5"/>
    <m/>
    <n v="-5"/>
    <n v="2021"/>
    <x v="6"/>
  </r>
  <r>
    <s v="Checking"/>
    <d v="2021-07-18T00:00:00"/>
    <x v="13"/>
    <x v="12"/>
    <x v="2"/>
    <x v="1"/>
    <n v="40"/>
    <m/>
    <n v="-40"/>
    <n v="2021"/>
    <x v="6"/>
  </r>
  <r>
    <s v="Credit"/>
    <d v="2021-07-19T00:00:00"/>
    <x v="14"/>
    <x v="13"/>
    <x v="4"/>
    <x v="1"/>
    <n v="51.1"/>
    <m/>
    <n v="-51.1"/>
    <n v="2021"/>
    <x v="6"/>
  </r>
  <r>
    <s v="Credit"/>
    <d v="2021-07-19T00:00:00"/>
    <x v="15"/>
    <x v="3"/>
    <x v="4"/>
    <x v="1"/>
    <n v="35"/>
    <m/>
    <n v="-35"/>
    <n v="2021"/>
    <x v="6"/>
  </r>
  <r>
    <s v="Credit"/>
    <d v="2021-07-19T00:00:00"/>
    <x v="1"/>
    <x v="1"/>
    <x v="1"/>
    <x v="1"/>
    <n v="5"/>
    <m/>
    <n v="-5"/>
    <n v="2021"/>
    <x v="6"/>
  </r>
  <r>
    <s v="Credit"/>
    <d v="2021-07-20T00:00:00"/>
    <x v="1"/>
    <x v="1"/>
    <x v="1"/>
    <x v="1"/>
    <n v="5"/>
    <m/>
    <n v="-5"/>
    <n v="2021"/>
    <x v="6"/>
  </r>
  <r>
    <s v="Credit"/>
    <d v="2021-07-21T00:00:00"/>
    <x v="1"/>
    <x v="1"/>
    <x v="1"/>
    <x v="1"/>
    <n v="5"/>
    <m/>
    <n v="-5"/>
    <n v="2021"/>
    <x v="6"/>
  </r>
  <r>
    <s v="Credit"/>
    <d v="2021-07-21T00:00:00"/>
    <x v="4"/>
    <x v="4"/>
    <x v="2"/>
    <x v="1"/>
    <n v="176"/>
    <m/>
    <n v="-176"/>
    <n v="2021"/>
    <x v="6"/>
  </r>
  <r>
    <s v="Credit"/>
    <d v="2021-07-22T00:00:00"/>
    <x v="16"/>
    <x v="8"/>
    <x v="1"/>
    <x v="1"/>
    <n v="43.1"/>
    <m/>
    <n v="-43.1"/>
    <n v="2021"/>
    <x v="6"/>
  </r>
  <r>
    <s v="Credit"/>
    <d v="2021-07-23T00:00:00"/>
    <x v="17"/>
    <x v="8"/>
    <x v="1"/>
    <x v="1"/>
    <n v="18.2"/>
    <m/>
    <n v="-18.2"/>
    <n v="2021"/>
    <x v="6"/>
  </r>
  <r>
    <s v="Checking"/>
    <d v="2021-07-24T00:00:00"/>
    <x v="18"/>
    <x v="14"/>
    <x v="6"/>
    <x v="1"/>
    <n v="55"/>
    <m/>
    <n v="-55"/>
    <n v="2021"/>
    <x v="6"/>
  </r>
  <r>
    <s v="Credit"/>
    <d v="2021-07-24T00:00:00"/>
    <x v="6"/>
    <x v="6"/>
    <x v="3"/>
    <x v="1"/>
    <n v="68.800000000000011"/>
    <m/>
    <n v="-68.800000000000011"/>
    <n v="2021"/>
    <x v="6"/>
  </r>
  <r>
    <s v="Credit"/>
    <d v="2021-07-24T00:00:00"/>
    <x v="1"/>
    <x v="1"/>
    <x v="1"/>
    <x v="1"/>
    <n v="5"/>
    <m/>
    <n v="-5"/>
    <n v="2021"/>
    <x v="6"/>
  </r>
  <r>
    <s v="Credit"/>
    <d v="2021-07-25T00:00:00"/>
    <x v="1"/>
    <x v="1"/>
    <x v="1"/>
    <x v="1"/>
    <n v="5"/>
    <m/>
    <n v="-5"/>
    <n v="2021"/>
    <x v="6"/>
  </r>
  <r>
    <s v="Credit"/>
    <d v="2021-07-26T00:00:00"/>
    <x v="1"/>
    <x v="1"/>
    <x v="1"/>
    <x v="1"/>
    <n v="5"/>
    <m/>
    <n v="-5"/>
    <n v="2021"/>
    <x v="6"/>
  </r>
  <r>
    <s v="Credit"/>
    <d v="2021-07-27T00:00:00"/>
    <x v="1"/>
    <x v="1"/>
    <x v="1"/>
    <x v="1"/>
    <n v="5"/>
    <m/>
    <n v="-5"/>
    <n v="2021"/>
    <x v="6"/>
  </r>
  <r>
    <s v="Credit"/>
    <d v="2021-07-28T00:00:00"/>
    <x v="1"/>
    <x v="1"/>
    <x v="1"/>
    <x v="1"/>
    <n v="5"/>
    <m/>
    <n v="-5"/>
    <n v="2021"/>
    <x v="6"/>
  </r>
  <r>
    <s v="Credit"/>
    <d v="2021-07-28T00:00:00"/>
    <x v="4"/>
    <x v="4"/>
    <x v="2"/>
    <x v="1"/>
    <n v="193"/>
    <m/>
    <n v="-193"/>
    <n v="2021"/>
    <x v="6"/>
  </r>
  <r>
    <s v="Credit"/>
    <d v="2021-07-29T00:00:00"/>
    <x v="19"/>
    <x v="7"/>
    <x v="4"/>
    <x v="1"/>
    <n v="130.80000000000001"/>
    <m/>
    <n v="-130.80000000000001"/>
    <n v="2021"/>
    <x v="6"/>
  </r>
  <r>
    <s v="Credit"/>
    <d v="2021-07-29T00:00:00"/>
    <x v="26"/>
    <x v="15"/>
    <x v="4"/>
    <x v="1"/>
    <n v="181.39999999999998"/>
    <m/>
    <n v="-181.39999999999998"/>
    <n v="2021"/>
    <x v="6"/>
  </r>
  <r>
    <s v="Credit"/>
    <d v="2021-07-30T00:00:00"/>
    <x v="8"/>
    <x v="7"/>
    <x v="4"/>
    <x v="1"/>
    <n v="151.19999999999999"/>
    <m/>
    <n v="-151.19999999999999"/>
    <n v="2021"/>
    <x v="6"/>
  </r>
  <r>
    <s v="Credit"/>
    <d v="2021-07-30T00:00:00"/>
    <x v="10"/>
    <x v="9"/>
    <x v="3"/>
    <x v="1"/>
    <n v="29.300000000000004"/>
    <m/>
    <n v="-29.300000000000004"/>
    <n v="2021"/>
    <x v="6"/>
  </r>
  <r>
    <s v="Credit"/>
    <d v="2021-07-30T00:00:00"/>
    <x v="24"/>
    <x v="8"/>
    <x v="1"/>
    <x v="1"/>
    <n v="15"/>
    <m/>
    <n v="-15"/>
    <n v="2021"/>
    <x v="6"/>
  </r>
  <r>
    <s v="Credit"/>
    <d v="2021-07-31T00:00:00"/>
    <x v="1"/>
    <x v="1"/>
    <x v="1"/>
    <x v="1"/>
    <n v="5"/>
    <m/>
    <n v="-5"/>
    <n v="2021"/>
    <x v="6"/>
  </r>
  <r>
    <s v="Credit"/>
    <d v="2021-08-02T00:00:00"/>
    <x v="1"/>
    <x v="1"/>
    <x v="1"/>
    <x v="1"/>
    <n v="5"/>
    <m/>
    <n v="-5"/>
    <n v="2021"/>
    <x v="7"/>
  </r>
  <r>
    <s v="Checking"/>
    <d v="2021-08-02T00:00:00"/>
    <x v="0"/>
    <x v="0"/>
    <x v="0"/>
    <x v="0"/>
    <m/>
    <n v="4000"/>
    <n v="4000"/>
    <n v="2021"/>
    <x v="7"/>
  </r>
  <r>
    <s v="Credit"/>
    <d v="2021-08-03T00:00:00"/>
    <x v="1"/>
    <x v="1"/>
    <x v="1"/>
    <x v="1"/>
    <n v="5"/>
    <m/>
    <n v="-5"/>
    <n v="2021"/>
    <x v="7"/>
  </r>
  <r>
    <s v="Checking"/>
    <d v="2021-08-05T00:00:00"/>
    <x v="2"/>
    <x v="2"/>
    <x v="2"/>
    <x v="1"/>
    <n v="900"/>
    <m/>
    <n v="-900"/>
    <n v="2021"/>
    <x v="7"/>
  </r>
  <r>
    <s v="Checking"/>
    <d v="2021-08-05T00:00:00"/>
    <x v="3"/>
    <x v="3"/>
    <x v="3"/>
    <x v="1"/>
    <n v="150"/>
    <m/>
    <n v="-150"/>
    <n v="2021"/>
    <x v="7"/>
  </r>
  <r>
    <s v="Credit"/>
    <d v="2021-08-05T00:00:00"/>
    <x v="1"/>
    <x v="1"/>
    <x v="1"/>
    <x v="1"/>
    <n v="5"/>
    <m/>
    <n v="-5"/>
    <n v="2021"/>
    <x v="7"/>
  </r>
  <r>
    <s v="Credit"/>
    <d v="2021-08-05T00:00:00"/>
    <x v="1"/>
    <x v="1"/>
    <x v="1"/>
    <x v="1"/>
    <n v="5"/>
    <m/>
    <n v="-5"/>
    <n v="2021"/>
    <x v="7"/>
  </r>
  <r>
    <s v="Credit"/>
    <d v="2021-08-06T00:00:00"/>
    <x v="1"/>
    <x v="1"/>
    <x v="1"/>
    <x v="1"/>
    <n v="5"/>
    <m/>
    <n v="-5"/>
    <n v="2021"/>
    <x v="7"/>
  </r>
  <r>
    <s v="Credit"/>
    <d v="2021-08-07T00:00:00"/>
    <x v="1"/>
    <x v="1"/>
    <x v="1"/>
    <x v="1"/>
    <n v="5"/>
    <m/>
    <n v="-5"/>
    <n v="2021"/>
    <x v="7"/>
  </r>
  <r>
    <s v="Credit"/>
    <d v="2021-08-07T00:00:00"/>
    <x v="4"/>
    <x v="4"/>
    <x v="2"/>
    <x v="1"/>
    <n v="137"/>
    <m/>
    <n v="-137"/>
    <n v="2021"/>
    <x v="7"/>
  </r>
  <r>
    <s v="Checking"/>
    <d v="2021-08-10T00:00:00"/>
    <x v="5"/>
    <x v="5"/>
    <x v="2"/>
    <x v="1"/>
    <n v="57"/>
    <m/>
    <n v="-57"/>
    <n v="2021"/>
    <x v="7"/>
  </r>
  <r>
    <s v="Credit"/>
    <d v="2021-08-10T00:00:00"/>
    <x v="1"/>
    <x v="1"/>
    <x v="1"/>
    <x v="1"/>
    <n v="5"/>
    <m/>
    <n v="-5"/>
    <n v="2021"/>
    <x v="7"/>
  </r>
  <r>
    <s v="Credit"/>
    <d v="2021-08-11T00:00:00"/>
    <x v="1"/>
    <x v="1"/>
    <x v="1"/>
    <x v="1"/>
    <n v="5"/>
    <m/>
    <n v="-5"/>
    <n v="2021"/>
    <x v="7"/>
  </r>
  <r>
    <s v="Credit"/>
    <d v="2021-08-12T00:00:00"/>
    <x v="6"/>
    <x v="6"/>
    <x v="3"/>
    <x v="1"/>
    <n v="84.199999999999989"/>
    <m/>
    <n v="-84.199999999999989"/>
    <n v="2021"/>
    <x v="7"/>
  </r>
  <r>
    <s v="Credit"/>
    <d v="2021-08-12T00:00:00"/>
    <x v="1"/>
    <x v="1"/>
    <x v="1"/>
    <x v="1"/>
    <n v="5"/>
    <m/>
    <n v="-5"/>
    <n v="2021"/>
    <x v="7"/>
  </r>
  <r>
    <s v="Credit"/>
    <d v="2021-08-13T00:00:00"/>
    <x v="1"/>
    <x v="1"/>
    <x v="1"/>
    <x v="1"/>
    <n v="5"/>
    <m/>
    <n v="-5"/>
    <n v="2021"/>
    <x v="7"/>
  </r>
  <r>
    <s v="Credit"/>
    <d v="2021-08-14T00:00:00"/>
    <x v="4"/>
    <x v="4"/>
    <x v="2"/>
    <x v="1"/>
    <n v="142.1"/>
    <m/>
    <n v="-142.1"/>
    <n v="2021"/>
    <x v="7"/>
  </r>
  <r>
    <s v="Credit"/>
    <d v="2021-08-14T00:00:00"/>
    <x v="1"/>
    <x v="1"/>
    <x v="1"/>
    <x v="1"/>
    <n v="5"/>
    <m/>
    <n v="-5"/>
    <n v="2021"/>
    <x v="7"/>
  </r>
  <r>
    <s v="Credit"/>
    <d v="2021-08-15T00:00:00"/>
    <x v="1"/>
    <x v="1"/>
    <x v="1"/>
    <x v="1"/>
    <n v="5"/>
    <m/>
    <n v="-5"/>
    <n v="2021"/>
    <x v="7"/>
  </r>
  <r>
    <s v="Credit"/>
    <d v="2021-08-15T00:00:00"/>
    <x v="7"/>
    <x v="3"/>
    <x v="4"/>
    <x v="1"/>
    <n v="46.8"/>
    <m/>
    <n v="-46.8"/>
    <n v="2021"/>
    <x v="7"/>
  </r>
  <r>
    <s v="Credit"/>
    <d v="2021-08-15T00:00:00"/>
    <x v="8"/>
    <x v="7"/>
    <x v="4"/>
    <x v="1"/>
    <n v="104.70000000000002"/>
    <m/>
    <n v="-104.70000000000002"/>
    <n v="2021"/>
    <x v="7"/>
  </r>
  <r>
    <s v="Credit"/>
    <d v="2021-08-15T00:00:00"/>
    <x v="9"/>
    <x v="8"/>
    <x v="1"/>
    <x v="1"/>
    <n v="59.1"/>
    <m/>
    <n v="-59.1"/>
    <n v="2021"/>
    <x v="7"/>
  </r>
  <r>
    <s v="Credit"/>
    <d v="2021-08-16T00:00:00"/>
    <x v="10"/>
    <x v="9"/>
    <x v="3"/>
    <x v="1"/>
    <n v="35.1"/>
    <m/>
    <n v="-35.1"/>
    <n v="2021"/>
    <x v="7"/>
  </r>
  <r>
    <s v="Checking"/>
    <d v="2021-08-17T00:00:00"/>
    <x v="11"/>
    <x v="10"/>
    <x v="4"/>
    <x v="1"/>
    <n v="30"/>
    <m/>
    <n v="-30"/>
    <n v="2021"/>
    <x v="7"/>
  </r>
  <r>
    <s v="Credit"/>
    <d v="2021-08-17T00:00:00"/>
    <x v="1"/>
    <x v="1"/>
    <x v="1"/>
    <x v="1"/>
    <n v="5"/>
    <m/>
    <n v="-5"/>
    <n v="2021"/>
    <x v="7"/>
  </r>
  <r>
    <s v="Credit"/>
    <d v="2021-08-18T00:00:00"/>
    <x v="1"/>
    <x v="1"/>
    <x v="1"/>
    <x v="1"/>
    <n v="5"/>
    <m/>
    <n v="-5"/>
    <n v="2021"/>
    <x v="7"/>
  </r>
  <r>
    <s v="Checking"/>
    <d v="2021-08-18T00:00:00"/>
    <x v="13"/>
    <x v="12"/>
    <x v="2"/>
    <x v="1"/>
    <n v="40"/>
    <m/>
    <n v="-40"/>
    <n v="2021"/>
    <x v="7"/>
  </r>
  <r>
    <s v="Credit"/>
    <d v="2021-08-19T00:00:00"/>
    <x v="14"/>
    <x v="13"/>
    <x v="4"/>
    <x v="1"/>
    <n v="52.1"/>
    <m/>
    <n v="-52.1"/>
    <n v="2021"/>
    <x v="7"/>
  </r>
  <r>
    <s v="Credit"/>
    <d v="2021-08-19T00:00:00"/>
    <x v="15"/>
    <x v="3"/>
    <x v="4"/>
    <x v="1"/>
    <n v="35"/>
    <m/>
    <n v="-35"/>
    <n v="2021"/>
    <x v="7"/>
  </r>
  <r>
    <s v="Credit"/>
    <d v="2021-08-19T00:00:00"/>
    <x v="1"/>
    <x v="1"/>
    <x v="1"/>
    <x v="1"/>
    <n v="5"/>
    <m/>
    <n v="-5"/>
    <n v="2021"/>
    <x v="7"/>
  </r>
  <r>
    <s v="Credit"/>
    <d v="2021-08-20T00:00:00"/>
    <x v="1"/>
    <x v="1"/>
    <x v="1"/>
    <x v="1"/>
    <n v="5"/>
    <m/>
    <n v="-5"/>
    <n v="2021"/>
    <x v="7"/>
  </r>
  <r>
    <s v="Credit"/>
    <d v="2021-08-21T00:00:00"/>
    <x v="1"/>
    <x v="1"/>
    <x v="1"/>
    <x v="1"/>
    <n v="5"/>
    <m/>
    <n v="-5"/>
    <n v="2021"/>
    <x v="7"/>
  </r>
  <r>
    <s v="Credit"/>
    <d v="2021-08-21T00:00:00"/>
    <x v="4"/>
    <x v="4"/>
    <x v="2"/>
    <x v="1"/>
    <n v="177"/>
    <m/>
    <n v="-177"/>
    <n v="2021"/>
    <x v="7"/>
  </r>
  <r>
    <s v="Credit"/>
    <d v="2021-08-22T00:00:00"/>
    <x v="16"/>
    <x v="8"/>
    <x v="1"/>
    <x v="1"/>
    <n v="44.2"/>
    <m/>
    <n v="-44.2"/>
    <n v="2021"/>
    <x v="7"/>
  </r>
  <r>
    <s v="Credit"/>
    <d v="2021-08-23T00:00:00"/>
    <x v="17"/>
    <x v="8"/>
    <x v="1"/>
    <x v="1"/>
    <n v="19.2"/>
    <m/>
    <n v="-19.2"/>
    <n v="2021"/>
    <x v="7"/>
  </r>
  <r>
    <s v="Checking"/>
    <d v="2021-08-24T00:00:00"/>
    <x v="18"/>
    <x v="14"/>
    <x v="6"/>
    <x v="1"/>
    <n v="55"/>
    <m/>
    <n v="-55"/>
    <n v="2021"/>
    <x v="7"/>
  </r>
  <r>
    <s v="Credit"/>
    <d v="2021-08-24T00:00:00"/>
    <x v="6"/>
    <x v="6"/>
    <x v="3"/>
    <x v="1"/>
    <n v="69.700000000000017"/>
    <m/>
    <n v="-69.700000000000017"/>
    <n v="2021"/>
    <x v="7"/>
  </r>
  <r>
    <s v="Credit"/>
    <d v="2021-08-24T00:00:00"/>
    <x v="1"/>
    <x v="1"/>
    <x v="1"/>
    <x v="1"/>
    <n v="5"/>
    <m/>
    <n v="-5"/>
    <n v="2021"/>
    <x v="7"/>
  </r>
  <r>
    <s v="Credit"/>
    <d v="2021-08-25T00:00:00"/>
    <x v="1"/>
    <x v="1"/>
    <x v="1"/>
    <x v="1"/>
    <n v="5"/>
    <m/>
    <n v="-5"/>
    <n v="2021"/>
    <x v="7"/>
  </r>
  <r>
    <s v="Credit"/>
    <d v="2021-08-26T00:00:00"/>
    <x v="1"/>
    <x v="1"/>
    <x v="1"/>
    <x v="1"/>
    <n v="5"/>
    <m/>
    <n v="-5"/>
    <n v="2021"/>
    <x v="7"/>
  </r>
  <r>
    <s v="Credit"/>
    <d v="2021-08-27T00:00:00"/>
    <x v="1"/>
    <x v="1"/>
    <x v="1"/>
    <x v="1"/>
    <n v="5"/>
    <m/>
    <n v="-5"/>
    <n v="2021"/>
    <x v="7"/>
  </r>
  <r>
    <s v="Credit"/>
    <d v="2021-08-28T00:00:00"/>
    <x v="1"/>
    <x v="1"/>
    <x v="1"/>
    <x v="1"/>
    <n v="5"/>
    <m/>
    <n v="-5"/>
    <n v="2021"/>
    <x v="7"/>
  </r>
  <r>
    <s v="Credit"/>
    <d v="2021-08-28T00:00:00"/>
    <x v="4"/>
    <x v="4"/>
    <x v="2"/>
    <x v="1"/>
    <n v="117"/>
    <m/>
    <n v="-117"/>
    <n v="2021"/>
    <x v="7"/>
  </r>
  <r>
    <s v="Credit"/>
    <d v="2021-08-29T00:00:00"/>
    <x v="19"/>
    <x v="7"/>
    <x v="4"/>
    <x v="1"/>
    <n v="131.9"/>
    <m/>
    <n v="-131.9"/>
    <n v="2021"/>
    <x v="7"/>
  </r>
  <r>
    <s v="Credit"/>
    <d v="2021-08-29T00:00:00"/>
    <x v="20"/>
    <x v="3"/>
    <x v="4"/>
    <x v="1"/>
    <n v="182.39999999999998"/>
    <m/>
    <n v="-182.39999999999998"/>
    <n v="2021"/>
    <x v="7"/>
  </r>
  <r>
    <s v="Credit"/>
    <d v="2021-08-30T00:00:00"/>
    <x v="8"/>
    <x v="7"/>
    <x v="4"/>
    <x v="1"/>
    <n v="152.29999999999998"/>
    <m/>
    <n v="-152.29999999999998"/>
    <n v="2021"/>
    <x v="7"/>
  </r>
  <r>
    <s v="Credit"/>
    <d v="2021-08-30T00:00:00"/>
    <x v="10"/>
    <x v="9"/>
    <x v="3"/>
    <x v="1"/>
    <n v="30.300000000000004"/>
    <m/>
    <n v="-30.300000000000004"/>
    <n v="2021"/>
    <x v="7"/>
  </r>
  <r>
    <s v="Credit"/>
    <d v="2021-08-30T00:00:00"/>
    <x v="24"/>
    <x v="8"/>
    <x v="1"/>
    <x v="1"/>
    <n v="15"/>
    <m/>
    <n v="-15"/>
    <n v="2021"/>
    <x v="7"/>
  </r>
  <r>
    <s v="Credit"/>
    <d v="2021-08-31T00:00:00"/>
    <x v="1"/>
    <x v="1"/>
    <x v="1"/>
    <x v="1"/>
    <n v="5"/>
    <m/>
    <n v="-5"/>
    <n v="2021"/>
    <x v="7"/>
  </r>
  <r>
    <s v="Credit"/>
    <d v="2021-09-02T00:00:00"/>
    <x v="1"/>
    <x v="1"/>
    <x v="1"/>
    <x v="1"/>
    <n v="5"/>
    <m/>
    <n v="-5"/>
    <n v="2021"/>
    <x v="8"/>
  </r>
  <r>
    <s v="Checking"/>
    <d v="2021-09-02T00:00:00"/>
    <x v="0"/>
    <x v="0"/>
    <x v="0"/>
    <x v="0"/>
    <m/>
    <n v="4000"/>
    <n v="4000"/>
    <n v="2021"/>
    <x v="8"/>
  </r>
  <r>
    <s v="Credit"/>
    <d v="2021-09-03T00:00:00"/>
    <x v="1"/>
    <x v="1"/>
    <x v="1"/>
    <x v="1"/>
    <n v="5"/>
    <m/>
    <n v="-5"/>
    <n v="2021"/>
    <x v="8"/>
  </r>
  <r>
    <s v="Checking"/>
    <d v="2021-09-05T00:00:00"/>
    <x v="2"/>
    <x v="2"/>
    <x v="2"/>
    <x v="1"/>
    <n v="900"/>
    <m/>
    <n v="-900"/>
    <n v="2021"/>
    <x v="8"/>
  </r>
  <r>
    <s v="Checking"/>
    <d v="2021-09-05T00:00:00"/>
    <x v="3"/>
    <x v="3"/>
    <x v="3"/>
    <x v="1"/>
    <n v="150"/>
    <m/>
    <n v="-150"/>
    <n v="2021"/>
    <x v="8"/>
  </r>
  <r>
    <s v="Credit"/>
    <d v="2021-09-05T00:00:00"/>
    <x v="1"/>
    <x v="1"/>
    <x v="1"/>
    <x v="1"/>
    <n v="5"/>
    <m/>
    <n v="-5"/>
    <n v="2021"/>
    <x v="8"/>
  </r>
  <r>
    <s v="Credit"/>
    <d v="2021-09-05T00:00:00"/>
    <x v="1"/>
    <x v="1"/>
    <x v="1"/>
    <x v="1"/>
    <n v="5"/>
    <m/>
    <n v="-5"/>
    <n v="2021"/>
    <x v="8"/>
  </r>
  <r>
    <s v="Credit"/>
    <d v="2021-09-06T00:00:00"/>
    <x v="1"/>
    <x v="1"/>
    <x v="1"/>
    <x v="1"/>
    <n v="5"/>
    <m/>
    <n v="-5"/>
    <n v="2021"/>
    <x v="8"/>
  </r>
  <r>
    <s v="Credit"/>
    <d v="2021-09-07T00:00:00"/>
    <x v="1"/>
    <x v="1"/>
    <x v="1"/>
    <x v="1"/>
    <n v="5"/>
    <m/>
    <n v="-5"/>
    <n v="2021"/>
    <x v="8"/>
  </r>
  <r>
    <s v="Credit"/>
    <d v="2021-09-07T00:00:00"/>
    <x v="4"/>
    <x v="4"/>
    <x v="2"/>
    <x v="1"/>
    <n v="163.39999999999998"/>
    <m/>
    <n v="-163.39999999999998"/>
    <n v="2021"/>
    <x v="8"/>
  </r>
  <r>
    <s v="Checking"/>
    <d v="2021-09-10T00:00:00"/>
    <x v="5"/>
    <x v="5"/>
    <x v="2"/>
    <x v="1"/>
    <n v="58.1"/>
    <m/>
    <n v="-58.1"/>
    <n v="2021"/>
    <x v="8"/>
  </r>
  <r>
    <s v="Credit"/>
    <d v="2021-09-10T00:00:00"/>
    <x v="1"/>
    <x v="1"/>
    <x v="1"/>
    <x v="1"/>
    <n v="5"/>
    <m/>
    <n v="-5"/>
    <n v="2021"/>
    <x v="8"/>
  </r>
  <r>
    <s v="Credit"/>
    <d v="2021-09-11T00:00:00"/>
    <x v="1"/>
    <x v="1"/>
    <x v="1"/>
    <x v="1"/>
    <n v="5"/>
    <m/>
    <n v="-5"/>
    <n v="2021"/>
    <x v="8"/>
  </r>
  <r>
    <s v="Credit"/>
    <d v="2021-09-12T00:00:00"/>
    <x v="6"/>
    <x v="6"/>
    <x v="3"/>
    <x v="1"/>
    <n v="85.299999999999983"/>
    <m/>
    <n v="-85.299999999999983"/>
    <n v="2021"/>
    <x v="8"/>
  </r>
  <r>
    <s v="Credit"/>
    <d v="2021-09-12T00:00:00"/>
    <x v="1"/>
    <x v="1"/>
    <x v="1"/>
    <x v="1"/>
    <n v="5"/>
    <m/>
    <n v="-5"/>
    <n v="2021"/>
    <x v="8"/>
  </r>
  <r>
    <s v="Credit"/>
    <d v="2021-09-13T00:00:00"/>
    <x v="1"/>
    <x v="1"/>
    <x v="1"/>
    <x v="1"/>
    <n v="5"/>
    <m/>
    <n v="-5"/>
    <n v="2021"/>
    <x v="8"/>
  </r>
  <r>
    <s v="Credit"/>
    <d v="2021-09-14T00:00:00"/>
    <x v="4"/>
    <x v="4"/>
    <x v="2"/>
    <x v="1"/>
    <n v="143"/>
    <m/>
    <n v="-143"/>
    <n v="2021"/>
    <x v="8"/>
  </r>
  <r>
    <s v="Credit"/>
    <d v="2021-09-14T00:00:00"/>
    <x v="1"/>
    <x v="1"/>
    <x v="1"/>
    <x v="1"/>
    <n v="5"/>
    <m/>
    <n v="-5"/>
    <n v="2021"/>
    <x v="8"/>
  </r>
  <r>
    <s v="Credit"/>
    <d v="2021-09-15T00:00:00"/>
    <x v="1"/>
    <x v="1"/>
    <x v="1"/>
    <x v="1"/>
    <n v="5"/>
    <m/>
    <n v="-5"/>
    <n v="2021"/>
    <x v="8"/>
  </r>
  <r>
    <s v="Credit"/>
    <d v="2021-09-15T00:00:00"/>
    <x v="7"/>
    <x v="3"/>
    <x v="4"/>
    <x v="1"/>
    <n v="47.8"/>
    <m/>
    <n v="-47.8"/>
    <n v="2021"/>
    <x v="8"/>
  </r>
  <r>
    <s v="Credit"/>
    <d v="2021-09-15T00:00:00"/>
    <x v="8"/>
    <x v="7"/>
    <x v="4"/>
    <x v="1"/>
    <n v="105.80000000000001"/>
    <m/>
    <n v="-105.80000000000001"/>
    <n v="2021"/>
    <x v="8"/>
  </r>
  <r>
    <s v="Credit"/>
    <d v="2021-09-15T00:00:00"/>
    <x v="9"/>
    <x v="8"/>
    <x v="1"/>
    <x v="1"/>
    <n v="60.1"/>
    <m/>
    <n v="-60.1"/>
    <n v="2021"/>
    <x v="8"/>
  </r>
  <r>
    <s v="Credit"/>
    <d v="2021-09-16T00:00:00"/>
    <x v="10"/>
    <x v="9"/>
    <x v="3"/>
    <x v="1"/>
    <n v="36.200000000000003"/>
    <m/>
    <n v="-36.200000000000003"/>
    <n v="2021"/>
    <x v="8"/>
  </r>
  <r>
    <s v="Checking"/>
    <d v="2021-09-17T00:00:00"/>
    <x v="11"/>
    <x v="10"/>
    <x v="4"/>
    <x v="1"/>
    <n v="30"/>
    <m/>
    <n v="-30"/>
    <n v="2021"/>
    <x v="8"/>
  </r>
  <r>
    <s v="Credit"/>
    <d v="2021-09-17T00:00:00"/>
    <x v="1"/>
    <x v="1"/>
    <x v="1"/>
    <x v="1"/>
    <n v="5"/>
    <m/>
    <n v="-5"/>
    <n v="2021"/>
    <x v="8"/>
  </r>
  <r>
    <s v="Credit"/>
    <d v="2021-09-18T00:00:00"/>
    <x v="1"/>
    <x v="1"/>
    <x v="1"/>
    <x v="1"/>
    <n v="5"/>
    <m/>
    <n v="-5"/>
    <n v="2021"/>
    <x v="8"/>
  </r>
  <r>
    <s v="Checking"/>
    <d v="2021-09-18T00:00:00"/>
    <x v="13"/>
    <x v="12"/>
    <x v="2"/>
    <x v="1"/>
    <n v="40"/>
    <m/>
    <n v="-40"/>
    <n v="2021"/>
    <x v="8"/>
  </r>
  <r>
    <s v="Credit"/>
    <d v="2021-09-19T00:00:00"/>
    <x v="14"/>
    <x v="13"/>
    <x v="4"/>
    <x v="1"/>
    <n v="53"/>
    <m/>
    <n v="-53"/>
    <n v="2021"/>
    <x v="8"/>
  </r>
  <r>
    <s v="Credit"/>
    <d v="2021-09-19T00:00:00"/>
    <x v="15"/>
    <x v="3"/>
    <x v="4"/>
    <x v="1"/>
    <n v="35"/>
    <m/>
    <n v="-35"/>
    <n v="2021"/>
    <x v="8"/>
  </r>
  <r>
    <s v="Credit"/>
    <d v="2021-09-19T00:00:00"/>
    <x v="1"/>
    <x v="1"/>
    <x v="1"/>
    <x v="1"/>
    <n v="5"/>
    <m/>
    <n v="-5"/>
    <n v="2021"/>
    <x v="8"/>
  </r>
  <r>
    <s v="Credit"/>
    <d v="2021-09-20T00:00:00"/>
    <x v="1"/>
    <x v="1"/>
    <x v="1"/>
    <x v="1"/>
    <n v="5"/>
    <m/>
    <n v="-5"/>
    <n v="2021"/>
    <x v="8"/>
  </r>
  <r>
    <s v="Credit"/>
    <d v="2021-09-21T00:00:00"/>
    <x v="1"/>
    <x v="1"/>
    <x v="1"/>
    <x v="1"/>
    <n v="5"/>
    <m/>
    <n v="-5"/>
    <n v="2021"/>
    <x v="8"/>
  </r>
  <r>
    <s v="Credit"/>
    <d v="2021-09-21T00:00:00"/>
    <x v="4"/>
    <x v="4"/>
    <x v="2"/>
    <x v="1"/>
    <n v="177.9"/>
    <m/>
    <n v="-177.9"/>
    <n v="2021"/>
    <x v="8"/>
  </r>
  <r>
    <s v="Credit"/>
    <d v="2021-09-22T00:00:00"/>
    <x v="16"/>
    <x v="8"/>
    <x v="1"/>
    <x v="1"/>
    <n v="45.300000000000004"/>
    <m/>
    <n v="-45.300000000000004"/>
    <n v="2021"/>
    <x v="8"/>
  </r>
  <r>
    <s v="Credit"/>
    <d v="2021-09-23T00:00:00"/>
    <x v="17"/>
    <x v="8"/>
    <x v="1"/>
    <x v="1"/>
    <n v="20.099999999999998"/>
    <m/>
    <n v="-20.099999999999998"/>
    <n v="2021"/>
    <x v="8"/>
  </r>
  <r>
    <s v="Checking"/>
    <d v="2021-09-24T00:00:00"/>
    <x v="18"/>
    <x v="14"/>
    <x v="6"/>
    <x v="1"/>
    <n v="55"/>
    <m/>
    <n v="-55"/>
    <n v="2021"/>
    <x v="8"/>
  </r>
  <r>
    <s v="Credit"/>
    <d v="2021-09-24T00:00:00"/>
    <x v="6"/>
    <x v="6"/>
    <x v="3"/>
    <x v="1"/>
    <n v="70.600000000000023"/>
    <m/>
    <n v="-70.600000000000023"/>
    <n v="2021"/>
    <x v="8"/>
  </r>
  <r>
    <s v="Credit"/>
    <d v="2021-09-24T00:00:00"/>
    <x v="1"/>
    <x v="1"/>
    <x v="1"/>
    <x v="1"/>
    <n v="5"/>
    <m/>
    <n v="-5"/>
    <n v="2021"/>
    <x v="8"/>
  </r>
  <r>
    <s v="Credit"/>
    <d v="2021-09-25T00:00:00"/>
    <x v="1"/>
    <x v="1"/>
    <x v="1"/>
    <x v="1"/>
    <n v="5"/>
    <m/>
    <n v="-5"/>
    <n v="2021"/>
    <x v="8"/>
  </r>
  <r>
    <s v="Credit"/>
    <d v="2021-09-26T00:00:00"/>
    <x v="1"/>
    <x v="1"/>
    <x v="1"/>
    <x v="1"/>
    <n v="5"/>
    <m/>
    <n v="-5"/>
    <n v="2021"/>
    <x v="8"/>
  </r>
  <r>
    <s v="Credit"/>
    <d v="2021-09-27T00:00:00"/>
    <x v="1"/>
    <x v="1"/>
    <x v="1"/>
    <x v="1"/>
    <n v="5"/>
    <m/>
    <n v="-5"/>
    <n v="2021"/>
    <x v="8"/>
  </r>
  <r>
    <s v="Credit"/>
    <d v="2021-09-28T00:00:00"/>
    <x v="1"/>
    <x v="1"/>
    <x v="1"/>
    <x v="1"/>
    <n v="5"/>
    <m/>
    <n v="-5"/>
    <n v="2021"/>
    <x v="8"/>
  </r>
  <r>
    <s v="Credit"/>
    <d v="2021-09-28T00:00:00"/>
    <x v="4"/>
    <x v="4"/>
    <x v="2"/>
    <x v="1"/>
    <n v="223"/>
    <m/>
    <n v="-223"/>
    <n v="2021"/>
    <x v="8"/>
  </r>
  <r>
    <s v="Credit"/>
    <d v="2021-09-29T00:00:00"/>
    <x v="19"/>
    <x v="7"/>
    <x v="4"/>
    <x v="1"/>
    <n v="132.9"/>
    <m/>
    <n v="-132.9"/>
    <n v="2021"/>
    <x v="8"/>
  </r>
  <r>
    <s v="Credit"/>
    <d v="2021-09-29T00:00:00"/>
    <x v="21"/>
    <x v="7"/>
    <x v="4"/>
    <x v="1"/>
    <n v="175"/>
    <m/>
    <n v="-175"/>
    <n v="2021"/>
    <x v="8"/>
  </r>
  <r>
    <s v="Credit"/>
    <d v="2021-09-30T00:00:00"/>
    <x v="8"/>
    <x v="7"/>
    <x v="4"/>
    <x v="1"/>
    <n v="153.39999999999998"/>
    <m/>
    <n v="-153.39999999999998"/>
    <n v="2021"/>
    <x v="8"/>
  </r>
  <r>
    <s v="Credit"/>
    <d v="2021-09-30T00:00:00"/>
    <x v="10"/>
    <x v="9"/>
    <x v="3"/>
    <x v="1"/>
    <n v="31.200000000000003"/>
    <m/>
    <n v="-31.200000000000003"/>
    <n v="2021"/>
    <x v="8"/>
  </r>
  <r>
    <s v="Credit"/>
    <d v="2021-09-30T00:00:00"/>
    <x v="24"/>
    <x v="8"/>
    <x v="1"/>
    <x v="1"/>
    <n v="15"/>
    <m/>
    <n v="-15"/>
    <n v="2021"/>
    <x v="8"/>
  </r>
  <r>
    <s v="Credit"/>
    <d v="2021-10-01T00:00:00"/>
    <x v="1"/>
    <x v="1"/>
    <x v="1"/>
    <x v="1"/>
    <n v="5"/>
    <m/>
    <n v="-5"/>
    <n v="2021"/>
    <x v="9"/>
  </r>
  <r>
    <s v="Credit"/>
    <d v="2021-10-03T00:00:00"/>
    <x v="1"/>
    <x v="1"/>
    <x v="1"/>
    <x v="1"/>
    <n v="5"/>
    <m/>
    <n v="-5"/>
    <n v="2021"/>
    <x v="9"/>
  </r>
  <r>
    <s v="Checking"/>
    <d v="2021-10-03T00:00:00"/>
    <x v="0"/>
    <x v="0"/>
    <x v="0"/>
    <x v="0"/>
    <m/>
    <n v="4000"/>
    <n v="4000"/>
    <n v="2021"/>
    <x v="9"/>
  </r>
  <r>
    <s v="Credit"/>
    <d v="2021-10-04T00:00:00"/>
    <x v="1"/>
    <x v="1"/>
    <x v="1"/>
    <x v="1"/>
    <n v="5"/>
    <m/>
    <n v="-5"/>
    <n v="2021"/>
    <x v="9"/>
  </r>
  <r>
    <s v="Checking"/>
    <d v="2021-10-06T00:00:00"/>
    <x v="2"/>
    <x v="2"/>
    <x v="2"/>
    <x v="1"/>
    <n v="900"/>
    <m/>
    <n v="-900"/>
    <n v="2021"/>
    <x v="9"/>
  </r>
  <r>
    <s v="Checking"/>
    <d v="2021-10-06T00:00:00"/>
    <x v="3"/>
    <x v="3"/>
    <x v="3"/>
    <x v="1"/>
    <n v="150"/>
    <m/>
    <n v="-150"/>
    <n v="2021"/>
    <x v="9"/>
  </r>
  <r>
    <s v="Credit"/>
    <d v="2021-10-06T00:00:00"/>
    <x v="1"/>
    <x v="1"/>
    <x v="1"/>
    <x v="1"/>
    <n v="5"/>
    <m/>
    <n v="-5"/>
    <n v="2021"/>
    <x v="9"/>
  </r>
  <r>
    <s v="Credit"/>
    <d v="2021-10-06T00:00:00"/>
    <x v="1"/>
    <x v="1"/>
    <x v="1"/>
    <x v="1"/>
    <n v="5"/>
    <m/>
    <n v="-5"/>
    <n v="2021"/>
    <x v="9"/>
  </r>
  <r>
    <s v="Credit"/>
    <d v="2021-10-07T00:00:00"/>
    <x v="1"/>
    <x v="1"/>
    <x v="1"/>
    <x v="1"/>
    <n v="5"/>
    <m/>
    <n v="-5"/>
    <n v="2021"/>
    <x v="9"/>
  </r>
  <r>
    <s v="Credit"/>
    <d v="2021-10-08T00:00:00"/>
    <x v="1"/>
    <x v="1"/>
    <x v="1"/>
    <x v="1"/>
    <n v="5"/>
    <m/>
    <n v="-5"/>
    <n v="2021"/>
    <x v="9"/>
  </r>
  <r>
    <s v="Credit"/>
    <d v="2021-10-08T00:00:00"/>
    <x v="4"/>
    <x v="4"/>
    <x v="2"/>
    <x v="1"/>
    <n v="105"/>
    <m/>
    <n v="-105"/>
    <n v="2021"/>
    <x v="9"/>
  </r>
  <r>
    <s v="Checking"/>
    <d v="2021-10-11T00:00:00"/>
    <x v="5"/>
    <x v="5"/>
    <x v="2"/>
    <x v="1"/>
    <n v="59"/>
    <m/>
    <n v="-59"/>
    <n v="2021"/>
    <x v="9"/>
  </r>
  <r>
    <s v="Credit"/>
    <d v="2021-10-11T00:00:00"/>
    <x v="1"/>
    <x v="1"/>
    <x v="1"/>
    <x v="1"/>
    <n v="5"/>
    <m/>
    <n v="-5"/>
    <n v="2021"/>
    <x v="9"/>
  </r>
  <r>
    <s v="Credit"/>
    <d v="2021-10-12T00:00:00"/>
    <x v="1"/>
    <x v="1"/>
    <x v="1"/>
    <x v="1"/>
    <n v="5"/>
    <m/>
    <n v="-5"/>
    <n v="2021"/>
    <x v="9"/>
  </r>
  <r>
    <s v="Credit"/>
    <d v="2021-10-13T00:00:00"/>
    <x v="6"/>
    <x v="6"/>
    <x v="3"/>
    <x v="1"/>
    <n v="86.399999999999977"/>
    <m/>
    <n v="-86.399999999999977"/>
    <n v="2021"/>
    <x v="9"/>
  </r>
  <r>
    <s v="Credit"/>
    <d v="2021-10-13T00:00:00"/>
    <x v="1"/>
    <x v="1"/>
    <x v="1"/>
    <x v="1"/>
    <n v="5"/>
    <m/>
    <n v="-5"/>
    <n v="2021"/>
    <x v="9"/>
  </r>
  <r>
    <s v="Credit"/>
    <d v="2021-10-14T00:00:00"/>
    <x v="1"/>
    <x v="1"/>
    <x v="1"/>
    <x v="1"/>
    <n v="5"/>
    <m/>
    <n v="-5"/>
    <n v="2021"/>
    <x v="9"/>
  </r>
  <r>
    <s v="Credit"/>
    <d v="2021-10-15T00:00:00"/>
    <x v="4"/>
    <x v="4"/>
    <x v="2"/>
    <x v="1"/>
    <n v="143.9"/>
    <m/>
    <n v="-143.9"/>
    <n v="2021"/>
    <x v="9"/>
  </r>
  <r>
    <s v="Credit"/>
    <d v="2021-10-15T00:00:00"/>
    <x v="1"/>
    <x v="1"/>
    <x v="1"/>
    <x v="1"/>
    <n v="5"/>
    <m/>
    <n v="-5"/>
    <n v="2021"/>
    <x v="9"/>
  </r>
  <r>
    <s v="Credit"/>
    <d v="2021-10-16T00:00:00"/>
    <x v="1"/>
    <x v="1"/>
    <x v="1"/>
    <x v="1"/>
    <n v="5"/>
    <m/>
    <n v="-5"/>
    <n v="2021"/>
    <x v="9"/>
  </r>
  <r>
    <s v="Credit"/>
    <d v="2021-10-16T00:00:00"/>
    <x v="7"/>
    <x v="3"/>
    <x v="4"/>
    <x v="1"/>
    <n v="48.8"/>
    <m/>
    <n v="-48.8"/>
    <n v="2021"/>
    <x v="9"/>
  </r>
  <r>
    <s v="Credit"/>
    <d v="2021-10-16T00:00:00"/>
    <x v="8"/>
    <x v="7"/>
    <x v="4"/>
    <x v="1"/>
    <n v="106.70000000000002"/>
    <m/>
    <n v="-106.70000000000002"/>
    <n v="2021"/>
    <x v="9"/>
  </r>
  <r>
    <s v="Credit"/>
    <d v="2021-10-16T00:00:00"/>
    <x v="9"/>
    <x v="8"/>
    <x v="1"/>
    <x v="1"/>
    <n v="61.1"/>
    <m/>
    <n v="-61.1"/>
    <n v="2021"/>
    <x v="9"/>
  </r>
  <r>
    <s v="Credit"/>
    <d v="2021-10-17T00:00:00"/>
    <x v="10"/>
    <x v="9"/>
    <x v="3"/>
    <x v="1"/>
    <n v="37.200000000000003"/>
    <m/>
    <n v="-37.200000000000003"/>
    <n v="2021"/>
    <x v="9"/>
  </r>
  <r>
    <s v="Checking"/>
    <d v="2021-10-18T00:00:00"/>
    <x v="11"/>
    <x v="10"/>
    <x v="4"/>
    <x v="1"/>
    <n v="30"/>
    <m/>
    <n v="-30"/>
    <n v="2021"/>
    <x v="9"/>
  </r>
  <r>
    <s v="Credit"/>
    <d v="2021-10-18T00:00:00"/>
    <x v="1"/>
    <x v="1"/>
    <x v="1"/>
    <x v="1"/>
    <n v="5"/>
    <m/>
    <n v="-5"/>
    <n v="2021"/>
    <x v="9"/>
  </r>
  <r>
    <s v="Credit"/>
    <d v="2021-10-19T00:00:00"/>
    <x v="1"/>
    <x v="1"/>
    <x v="1"/>
    <x v="1"/>
    <n v="5"/>
    <m/>
    <n v="-5"/>
    <n v="2021"/>
    <x v="9"/>
  </r>
  <r>
    <s v="Checking"/>
    <d v="2021-10-19T00:00:00"/>
    <x v="22"/>
    <x v="11"/>
    <x v="5"/>
    <x v="1"/>
    <n v="75"/>
    <m/>
    <n v="-75"/>
    <n v="2021"/>
    <x v="9"/>
  </r>
  <r>
    <s v="Checking"/>
    <d v="2021-10-19T00:00:00"/>
    <x v="13"/>
    <x v="12"/>
    <x v="2"/>
    <x v="1"/>
    <n v="40"/>
    <m/>
    <n v="-40"/>
    <n v="2021"/>
    <x v="9"/>
  </r>
  <r>
    <s v="Credit"/>
    <d v="2021-10-20T00:00:00"/>
    <x v="14"/>
    <x v="13"/>
    <x v="4"/>
    <x v="1"/>
    <n v="54.1"/>
    <m/>
    <n v="-54.1"/>
    <n v="2021"/>
    <x v="9"/>
  </r>
  <r>
    <s v="Credit"/>
    <d v="2021-10-20T00:00:00"/>
    <x v="15"/>
    <x v="3"/>
    <x v="4"/>
    <x v="1"/>
    <n v="35"/>
    <m/>
    <n v="-35"/>
    <n v="2021"/>
    <x v="9"/>
  </r>
  <r>
    <s v="Credit"/>
    <d v="2021-10-20T00:00:00"/>
    <x v="1"/>
    <x v="1"/>
    <x v="1"/>
    <x v="1"/>
    <n v="5"/>
    <m/>
    <n v="-5"/>
    <n v="2021"/>
    <x v="9"/>
  </r>
  <r>
    <s v="Credit"/>
    <d v="2021-10-21T00:00:00"/>
    <x v="1"/>
    <x v="1"/>
    <x v="1"/>
    <x v="1"/>
    <n v="5"/>
    <m/>
    <n v="-5"/>
    <n v="2021"/>
    <x v="9"/>
  </r>
  <r>
    <s v="Credit"/>
    <d v="2021-10-22T00:00:00"/>
    <x v="1"/>
    <x v="1"/>
    <x v="1"/>
    <x v="1"/>
    <n v="5"/>
    <m/>
    <n v="-5"/>
    <n v="2021"/>
    <x v="9"/>
  </r>
  <r>
    <s v="Credit"/>
    <d v="2021-10-22T00:00:00"/>
    <x v="4"/>
    <x v="4"/>
    <x v="2"/>
    <x v="1"/>
    <n v="178.9"/>
    <m/>
    <n v="-178.9"/>
    <n v="2021"/>
    <x v="9"/>
  </r>
  <r>
    <s v="Credit"/>
    <d v="2021-10-23T00:00:00"/>
    <x v="16"/>
    <x v="8"/>
    <x v="1"/>
    <x v="1"/>
    <n v="46.2"/>
    <m/>
    <n v="-46.2"/>
    <n v="2021"/>
    <x v="9"/>
  </r>
  <r>
    <s v="Credit"/>
    <d v="2021-10-24T00:00:00"/>
    <x v="17"/>
    <x v="8"/>
    <x v="1"/>
    <x v="1"/>
    <n v="21.099999999999998"/>
    <m/>
    <n v="-21.099999999999998"/>
    <n v="2021"/>
    <x v="9"/>
  </r>
  <r>
    <s v="Checking"/>
    <d v="2021-10-25T00:00:00"/>
    <x v="18"/>
    <x v="14"/>
    <x v="6"/>
    <x v="1"/>
    <n v="55"/>
    <m/>
    <n v="-55"/>
    <n v="2021"/>
    <x v="9"/>
  </r>
  <r>
    <s v="Credit"/>
    <d v="2021-10-25T00:00:00"/>
    <x v="6"/>
    <x v="6"/>
    <x v="3"/>
    <x v="1"/>
    <n v="71.500000000000028"/>
    <m/>
    <n v="-71.500000000000028"/>
    <n v="2021"/>
    <x v="9"/>
  </r>
  <r>
    <s v="Credit"/>
    <d v="2021-10-25T00:00:00"/>
    <x v="1"/>
    <x v="1"/>
    <x v="1"/>
    <x v="1"/>
    <n v="5"/>
    <m/>
    <n v="-5"/>
    <n v="2021"/>
    <x v="9"/>
  </r>
  <r>
    <s v="Credit"/>
    <d v="2021-10-26T00:00:00"/>
    <x v="1"/>
    <x v="1"/>
    <x v="1"/>
    <x v="1"/>
    <n v="5"/>
    <m/>
    <n v="-5"/>
    <n v="2021"/>
    <x v="9"/>
  </r>
  <r>
    <s v="Credit"/>
    <d v="2021-10-27T00:00:00"/>
    <x v="1"/>
    <x v="1"/>
    <x v="1"/>
    <x v="1"/>
    <n v="5"/>
    <m/>
    <n v="-5"/>
    <n v="2021"/>
    <x v="9"/>
  </r>
  <r>
    <s v="Credit"/>
    <d v="2021-10-28T00:00:00"/>
    <x v="1"/>
    <x v="1"/>
    <x v="1"/>
    <x v="1"/>
    <n v="5"/>
    <m/>
    <n v="-5"/>
    <n v="2021"/>
    <x v="9"/>
  </r>
  <r>
    <s v="Credit"/>
    <d v="2021-10-29T00:00:00"/>
    <x v="1"/>
    <x v="1"/>
    <x v="1"/>
    <x v="1"/>
    <n v="5"/>
    <m/>
    <n v="-5"/>
    <n v="2021"/>
    <x v="9"/>
  </r>
  <r>
    <s v="Credit"/>
    <d v="2021-10-29T00:00:00"/>
    <x v="4"/>
    <x v="4"/>
    <x v="2"/>
    <x v="1"/>
    <n v="189"/>
    <m/>
    <n v="-189"/>
    <n v="2021"/>
    <x v="9"/>
  </r>
  <r>
    <s v="Credit"/>
    <d v="2021-10-30T00:00:00"/>
    <x v="19"/>
    <x v="7"/>
    <x v="4"/>
    <x v="1"/>
    <n v="133.80000000000001"/>
    <m/>
    <n v="-133.80000000000001"/>
    <n v="2021"/>
    <x v="9"/>
  </r>
  <r>
    <s v="Credit"/>
    <d v="2021-10-30T00:00:00"/>
    <x v="20"/>
    <x v="3"/>
    <x v="4"/>
    <x v="1"/>
    <n v="184.39999999999998"/>
    <m/>
    <n v="-184.39999999999998"/>
    <n v="2021"/>
    <x v="9"/>
  </r>
  <r>
    <s v="Credit"/>
    <d v="2021-10-31T00:00:00"/>
    <x v="8"/>
    <x v="7"/>
    <x v="4"/>
    <x v="1"/>
    <n v="154.49999999999997"/>
    <m/>
    <n v="-154.49999999999997"/>
    <n v="2021"/>
    <x v="9"/>
  </r>
  <r>
    <s v="Credit"/>
    <d v="2021-10-31T00:00:00"/>
    <x v="10"/>
    <x v="9"/>
    <x v="3"/>
    <x v="1"/>
    <n v="32.1"/>
    <m/>
    <n v="-32.1"/>
    <n v="2021"/>
    <x v="9"/>
  </r>
  <r>
    <s v="Credit"/>
    <d v="2021-10-31T00:00:00"/>
    <x v="24"/>
    <x v="8"/>
    <x v="1"/>
    <x v="1"/>
    <n v="15"/>
    <m/>
    <n v="-15"/>
    <n v="2021"/>
    <x v="9"/>
  </r>
  <r>
    <s v="Credit"/>
    <d v="2021-11-01T00:00:00"/>
    <x v="1"/>
    <x v="1"/>
    <x v="1"/>
    <x v="1"/>
    <n v="5"/>
    <m/>
    <n v="-5"/>
    <n v="2021"/>
    <x v="10"/>
  </r>
  <r>
    <s v="Credit"/>
    <d v="2021-11-03T00:00:00"/>
    <x v="1"/>
    <x v="1"/>
    <x v="1"/>
    <x v="1"/>
    <n v="5"/>
    <m/>
    <n v="-5"/>
    <n v="2021"/>
    <x v="10"/>
  </r>
  <r>
    <s v="Checking"/>
    <d v="2021-11-03T00:00:00"/>
    <x v="0"/>
    <x v="0"/>
    <x v="0"/>
    <x v="0"/>
    <m/>
    <n v="4000"/>
    <n v="4000"/>
    <n v="2021"/>
    <x v="10"/>
  </r>
  <r>
    <s v="Credit"/>
    <d v="2021-11-04T00:00:00"/>
    <x v="1"/>
    <x v="1"/>
    <x v="1"/>
    <x v="1"/>
    <n v="5"/>
    <m/>
    <n v="-5"/>
    <n v="2021"/>
    <x v="10"/>
  </r>
  <r>
    <s v="Checking"/>
    <d v="2021-11-06T00:00:00"/>
    <x v="2"/>
    <x v="2"/>
    <x v="2"/>
    <x v="1"/>
    <n v="927"/>
    <m/>
    <n v="-927"/>
    <n v="2021"/>
    <x v="10"/>
  </r>
  <r>
    <s v="Checking"/>
    <d v="2021-11-06T00:00:00"/>
    <x v="3"/>
    <x v="3"/>
    <x v="3"/>
    <x v="1"/>
    <n v="150"/>
    <m/>
    <n v="-150"/>
    <n v="2021"/>
    <x v="10"/>
  </r>
  <r>
    <s v="Credit"/>
    <d v="2021-11-06T00:00:00"/>
    <x v="1"/>
    <x v="1"/>
    <x v="1"/>
    <x v="1"/>
    <n v="5"/>
    <m/>
    <n v="-5"/>
    <n v="2021"/>
    <x v="10"/>
  </r>
  <r>
    <s v="Credit"/>
    <d v="2021-11-06T00:00:00"/>
    <x v="1"/>
    <x v="1"/>
    <x v="1"/>
    <x v="1"/>
    <n v="5"/>
    <m/>
    <n v="-5"/>
    <n v="2021"/>
    <x v="10"/>
  </r>
  <r>
    <s v="Credit"/>
    <d v="2021-11-07T00:00:00"/>
    <x v="1"/>
    <x v="1"/>
    <x v="1"/>
    <x v="1"/>
    <n v="5"/>
    <m/>
    <n v="-5"/>
    <n v="2021"/>
    <x v="10"/>
  </r>
  <r>
    <s v="Credit"/>
    <d v="2021-11-08T00:00:00"/>
    <x v="1"/>
    <x v="1"/>
    <x v="1"/>
    <x v="1"/>
    <n v="5"/>
    <m/>
    <n v="-5"/>
    <n v="2021"/>
    <x v="10"/>
  </r>
  <r>
    <s v="Credit"/>
    <d v="2021-11-08T00:00:00"/>
    <x v="4"/>
    <x v="4"/>
    <x v="2"/>
    <x v="1"/>
    <n v="160"/>
    <m/>
    <n v="-160"/>
    <n v="2021"/>
    <x v="10"/>
  </r>
  <r>
    <s v="Checking"/>
    <d v="2021-11-11T00:00:00"/>
    <x v="5"/>
    <x v="5"/>
    <x v="2"/>
    <x v="1"/>
    <n v="49"/>
    <m/>
    <n v="-49"/>
    <n v="2021"/>
    <x v="10"/>
  </r>
  <r>
    <s v="Credit"/>
    <d v="2021-11-11T00:00:00"/>
    <x v="1"/>
    <x v="1"/>
    <x v="1"/>
    <x v="1"/>
    <n v="5"/>
    <m/>
    <n v="-5"/>
    <n v="2021"/>
    <x v="10"/>
  </r>
  <r>
    <s v="Credit"/>
    <d v="2021-11-12T00:00:00"/>
    <x v="1"/>
    <x v="1"/>
    <x v="1"/>
    <x v="1"/>
    <n v="5"/>
    <m/>
    <n v="-5"/>
    <n v="2021"/>
    <x v="10"/>
  </r>
  <r>
    <s v="Credit"/>
    <d v="2021-11-13T00:00:00"/>
    <x v="6"/>
    <x v="6"/>
    <x v="3"/>
    <x v="1"/>
    <n v="94"/>
    <m/>
    <n v="-94"/>
    <n v="2021"/>
    <x v="10"/>
  </r>
  <r>
    <s v="Credit"/>
    <d v="2021-11-13T00:00:00"/>
    <x v="1"/>
    <x v="1"/>
    <x v="1"/>
    <x v="1"/>
    <n v="5"/>
    <m/>
    <n v="-5"/>
    <n v="2021"/>
    <x v="10"/>
  </r>
  <r>
    <s v="Credit"/>
    <d v="2021-11-14T00:00:00"/>
    <x v="1"/>
    <x v="1"/>
    <x v="1"/>
    <x v="1"/>
    <n v="5"/>
    <m/>
    <n v="-5"/>
    <n v="2021"/>
    <x v="10"/>
  </r>
  <r>
    <s v="Credit"/>
    <d v="2021-11-15T00:00:00"/>
    <x v="4"/>
    <x v="4"/>
    <x v="2"/>
    <x v="1"/>
    <n v="133"/>
    <m/>
    <n v="-133"/>
    <n v="2021"/>
    <x v="10"/>
  </r>
  <r>
    <s v="Credit"/>
    <d v="2021-11-15T00:00:00"/>
    <x v="1"/>
    <x v="1"/>
    <x v="1"/>
    <x v="1"/>
    <n v="5"/>
    <m/>
    <n v="-5"/>
    <n v="2021"/>
    <x v="10"/>
  </r>
  <r>
    <s v="Credit"/>
    <d v="2021-11-16T00:00:00"/>
    <x v="1"/>
    <x v="1"/>
    <x v="1"/>
    <x v="1"/>
    <n v="5"/>
    <m/>
    <n v="-5"/>
    <n v="2021"/>
    <x v="10"/>
  </r>
  <r>
    <s v="Credit"/>
    <d v="2021-11-16T00:00:00"/>
    <x v="7"/>
    <x v="3"/>
    <x v="4"/>
    <x v="1"/>
    <n v="36"/>
    <m/>
    <n v="-36"/>
    <n v="2021"/>
    <x v="10"/>
  </r>
  <r>
    <s v="Credit"/>
    <d v="2021-11-16T00:00:00"/>
    <x v="8"/>
    <x v="7"/>
    <x v="4"/>
    <x v="1"/>
    <n v="74"/>
    <m/>
    <n v="-74"/>
    <n v="2021"/>
    <x v="10"/>
  </r>
  <r>
    <s v="Credit"/>
    <d v="2021-11-16T00:00:00"/>
    <x v="9"/>
    <x v="8"/>
    <x v="1"/>
    <x v="1"/>
    <n v="72"/>
    <m/>
    <n v="-72"/>
    <n v="2021"/>
    <x v="10"/>
  </r>
  <r>
    <s v="Credit"/>
    <d v="2021-11-17T00:00:00"/>
    <x v="10"/>
    <x v="9"/>
    <x v="3"/>
    <x v="1"/>
    <n v="28"/>
    <m/>
    <n v="-28"/>
    <n v="2021"/>
    <x v="10"/>
  </r>
  <r>
    <s v="Checking"/>
    <d v="2021-11-18T00:00:00"/>
    <x v="11"/>
    <x v="10"/>
    <x v="4"/>
    <x v="1"/>
    <n v="30"/>
    <m/>
    <n v="-30"/>
    <n v="2021"/>
    <x v="10"/>
  </r>
  <r>
    <s v="Credit"/>
    <d v="2021-11-18T00:00:00"/>
    <x v="1"/>
    <x v="1"/>
    <x v="1"/>
    <x v="1"/>
    <n v="5"/>
    <m/>
    <n v="-5"/>
    <n v="2021"/>
    <x v="10"/>
  </r>
  <r>
    <s v="Credit"/>
    <d v="2021-11-19T00:00:00"/>
    <x v="1"/>
    <x v="1"/>
    <x v="1"/>
    <x v="1"/>
    <n v="5"/>
    <m/>
    <n v="-5"/>
    <n v="2021"/>
    <x v="10"/>
  </r>
  <r>
    <s v="Checking"/>
    <d v="2021-11-19T00:00:00"/>
    <x v="13"/>
    <x v="12"/>
    <x v="2"/>
    <x v="1"/>
    <n v="40"/>
    <m/>
    <n v="-40"/>
    <n v="2021"/>
    <x v="10"/>
  </r>
  <r>
    <s v="Credit"/>
    <d v="2021-11-20T00:00:00"/>
    <x v="15"/>
    <x v="3"/>
    <x v="4"/>
    <x v="1"/>
    <n v="35"/>
    <m/>
    <n v="-35"/>
    <n v="2021"/>
    <x v="10"/>
  </r>
  <r>
    <s v="Credit"/>
    <d v="2021-11-20T00:00:00"/>
    <x v="1"/>
    <x v="1"/>
    <x v="1"/>
    <x v="1"/>
    <n v="5"/>
    <m/>
    <n v="-5"/>
    <n v="2021"/>
    <x v="10"/>
  </r>
  <r>
    <s v="Credit"/>
    <d v="2021-11-21T00:00:00"/>
    <x v="1"/>
    <x v="1"/>
    <x v="1"/>
    <x v="1"/>
    <n v="5"/>
    <m/>
    <n v="-5"/>
    <n v="2021"/>
    <x v="10"/>
  </r>
  <r>
    <s v="Credit"/>
    <d v="2021-11-22T00:00:00"/>
    <x v="1"/>
    <x v="1"/>
    <x v="1"/>
    <x v="1"/>
    <n v="5"/>
    <m/>
    <n v="-5"/>
    <n v="2021"/>
    <x v="10"/>
  </r>
  <r>
    <s v="Credit"/>
    <d v="2021-11-22T00:00:00"/>
    <x v="4"/>
    <x v="4"/>
    <x v="2"/>
    <x v="1"/>
    <n v="214"/>
    <m/>
    <n v="-214"/>
    <n v="2021"/>
    <x v="10"/>
  </r>
  <r>
    <s v="Credit"/>
    <d v="2021-11-23T00:00:00"/>
    <x v="16"/>
    <x v="8"/>
    <x v="1"/>
    <x v="1"/>
    <n v="59"/>
    <m/>
    <n v="-59"/>
    <n v="2021"/>
    <x v="10"/>
  </r>
  <r>
    <s v="Credit"/>
    <d v="2021-11-24T00:00:00"/>
    <x v="17"/>
    <x v="8"/>
    <x v="1"/>
    <x v="1"/>
    <n v="13"/>
    <m/>
    <n v="-13"/>
    <n v="2021"/>
    <x v="10"/>
  </r>
  <r>
    <s v="Checking"/>
    <d v="2021-11-25T00:00:00"/>
    <x v="18"/>
    <x v="14"/>
    <x v="6"/>
    <x v="1"/>
    <n v="55"/>
    <m/>
    <n v="-55"/>
    <n v="2021"/>
    <x v="10"/>
  </r>
  <r>
    <s v="Credit"/>
    <d v="2021-11-25T00:00:00"/>
    <x v="6"/>
    <x v="6"/>
    <x v="3"/>
    <x v="1"/>
    <n v="69"/>
    <m/>
    <n v="-69"/>
    <n v="2021"/>
    <x v="10"/>
  </r>
  <r>
    <s v="Credit"/>
    <d v="2021-11-25T00:00:00"/>
    <x v="1"/>
    <x v="1"/>
    <x v="1"/>
    <x v="1"/>
    <n v="5"/>
    <m/>
    <n v="-5"/>
    <n v="2021"/>
    <x v="10"/>
  </r>
  <r>
    <s v="Credit"/>
    <d v="2021-11-26T00:00:00"/>
    <x v="1"/>
    <x v="1"/>
    <x v="1"/>
    <x v="1"/>
    <n v="5"/>
    <m/>
    <n v="-5"/>
    <n v="2021"/>
    <x v="10"/>
  </r>
  <r>
    <s v="Credit"/>
    <d v="2021-11-27T00:00:00"/>
    <x v="1"/>
    <x v="1"/>
    <x v="1"/>
    <x v="1"/>
    <n v="5"/>
    <m/>
    <n v="-5"/>
    <n v="2021"/>
    <x v="10"/>
  </r>
  <r>
    <s v="Credit"/>
    <d v="2021-11-28T00:00:00"/>
    <x v="1"/>
    <x v="1"/>
    <x v="1"/>
    <x v="1"/>
    <n v="5"/>
    <m/>
    <n v="-5"/>
    <n v="2021"/>
    <x v="10"/>
  </r>
  <r>
    <s v="Credit"/>
    <d v="2021-11-29T00:00:00"/>
    <x v="1"/>
    <x v="1"/>
    <x v="1"/>
    <x v="1"/>
    <n v="5"/>
    <m/>
    <n v="-5"/>
    <n v="2021"/>
    <x v="10"/>
  </r>
  <r>
    <s v="Credit"/>
    <d v="2021-11-29T00:00:00"/>
    <x v="4"/>
    <x v="4"/>
    <x v="2"/>
    <x v="1"/>
    <n v="210"/>
    <m/>
    <n v="-210"/>
    <n v="2021"/>
    <x v="10"/>
  </r>
  <r>
    <s v="Credit"/>
    <d v="2021-11-30T00:00:00"/>
    <x v="8"/>
    <x v="7"/>
    <x v="4"/>
    <x v="1"/>
    <n v="239"/>
    <m/>
    <n v="-239"/>
    <n v="2021"/>
    <x v="10"/>
  </r>
  <r>
    <s v="Credit"/>
    <d v="2021-11-30T00:00:00"/>
    <x v="10"/>
    <x v="9"/>
    <x v="3"/>
    <x v="1"/>
    <n v="40"/>
    <m/>
    <n v="-40"/>
    <n v="2021"/>
    <x v="10"/>
  </r>
  <r>
    <s v="Credit"/>
    <d v="2021-11-30T00:00:00"/>
    <x v="24"/>
    <x v="8"/>
    <x v="1"/>
    <x v="1"/>
    <n v="30"/>
    <m/>
    <n v="-30"/>
    <n v="2021"/>
    <x v="10"/>
  </r>
  <r>
    <s v="Credit"/>
    <d v="2021-12-01T00:00:00"/>
    <x v="1"/>
    <x v="1"/>
    <x v="1"/>
    <x v="1"/>
    <n v="5"/>
    <m/>
    <n v="-5"/>
    <n v="2021"/>
    <x v="11"/>
  </r>
  <r>
    <s v="Credit"/>
    <d v="2021-12-02T00:00:00"/>
    <x v="1"/>
    <x v="1"/>
    <x v="1"/>
    <x v="1"/>
    <n v="5"/>
    <m/>
    <n v="-5"/>
    <n v="2021"/>
    <x v="11"/>
  </r>
  <r>
    <s v="Checking"/>
    <d v="2021-12-03T00:00:00"/>
    <x v="0"/>
    <x v="0"/>
    <x v="0"/>
    <x v="0"/>
    <m/>
    <n v="4000"/>
    <n v="4000"/>
    <n v="2021"/>
    <x v="11"/>
  </r>
  <r>
    <s v="Credit"/>
    <d v="2021-12-04T00:00:00"/>
    <x v="1"/>
    <x v="1"/>
    <x v="1"/>
    <x v="1"/>
    <n v="5"/>
    <m/>
    <n v="-5"/>
    <n v="2021"/>
    <x v="11"/>
  </r>
  <r>
    <s v="Checking"/>
    <d v="2021-12-05T00:00:00"/>
    <x v="2"/>
    <x v="2"/>
    <x v="2"/>
    <x v="1"/>
    <n v="927"/>
    <m/>
    <n v="-927"/>
    <n v="2021"/>
    <x v="11"/>
  </r>
  <r>
    <s v="Checking"/>
    <d v="2021-12-06T00:00:00"/>
    <x v="3"/>
    <x v="3"/>
    <x v="3"/>
    <x v="1"/>
    <n v="150"/>
    <m/>
    <n v="-150"/>
    <n v="2021"/>
    <x v="11"/>
  </r>
  <r>
    <s v="Credit"/>
    <d v="2021-12-07T00:00:00"/>
    <x v="1"/>
    <x v="1"/>
    <x v="1"/>
    <x v="1"/>
    <n v="5"/>
    <m/>
    <n v="-5"/>
    <n v="2021"/>
    <x v="11"/>
  </r>
  <r>
    <s v="Credit"/>
    <d v="2021-12-08T00:00:00"/>
    <x v="1"/>
    <x v="1"/>
    <x v="1"/>
    <x v="1"/>
    <n v="5"/>
    <m/>
    <n v="-5"/>
    <n v="2021"/>
    <x v="11"/>
  </r>
  <r>
    <s v="Credit"/>
    <d v="2021-12-09T00:00:00"/>
    <x v="1"/>
    <x v="1"/>
    <x v="1"/>
    <x v="1"/>
    <n v="5"/>
    <m/>
    <n v="-5"/>
    <n v="2021"/>
    <x v="11"/>
  </r>
  <r>
    <s v="Credit"/>
    <d v="2021-12-10T00:00:00"/>
    <x v="1"/>
    <x v="1"/>
    <x v="1"/>
    <x v="1"/>
    <n v="5"/>
    <m/>
    <n v="-5"/>
    <n v="2021"/>
    <x v="11"/>
  </r>
  <r>
    <s v="Credit"/>
    <d v="2021-12-11T00:00:00"/>
    <x v="4"/>
    <x v="4"/>
    <x v="2"/>
    <x v="1"/>
    <n v="160"/>
    <m/>
    <n v="-160"/>
    <n v="2021"/>
    <x v="11"/>
  </r>
  <r>
    <s v="Checking"/>
    <d v="2021-12-12T00:00:00"/>
    <x v="5"/>
    <x v="5"/>
    <x v="2"/>
    <x v="1"/>
    <n v="49"/>
    <m/>
    <n v="-49"/>
    <n v="2021"/>
    <x v="11"/>
  </r>
  <r>
    <s v="Credit"/>
    <d v="2021-12-13T00:00:00"/>
    <x v="1"/>
    <x v="1"/>
    <x v="1"/>
    <x v="1"/>
    <n v="5"/>
    <m/>
    <n v="-5"/>
    <n v="2021"/>
    <x v="11"/>
  </r>
  <r>
    <s v="Credit"/>
    <d v="2021-12-14T00:00:00"/>
    <x v="1"/>
    <x v="1"/>
    <x v="1"/>
    <x v="1"/>
    <n v="5"/>
    <m/>
    <n v="-5"/>
    <n v="2021"/>
    <x v="11"/>
  </r>
  <r>
    <s v="Credit"/>
    <d v="2021-12-15T00:00:00"/>
    <x v="6"/>
    <x v="6"/>
    <x v="3"/>
    <x v="1"/>
    <n v="94"/>
    <m/>
    <n v="-94"/>
    <n v="2021"/>
    <x v="11"/>
  </r>
  <r>
    <s v="Credit"/>
    <d v="2021-12-16T00:00:00"/>
    <x v="1"/>
    <x v="1"/>
    <x v="1"/>
    <x v="1"/>
    <n v="5"/>
    <m/>
    <n v="-5"/>
    <n v="2021"/>
    <x v="11"/>
  </r>
  <r>
    <s v="Credit"/>
    <d v="2021-12-17T00:00:00"/>
    <x v="1"/>
    <x v="1"/>
    <x v="1"/>
    <x v="1"/>
    <n v="5"/>
    <m/>
    <n v="-5"/>
    <n v="2021"/>
    <x v="11"/>
  </r>
  <r>
    <s v="Credit"/>
    <d v="2021-12-18T00:00:00"/>
    <x v="4"/>
    <x v="4"/>
    <x v="2"/>
    <x v="1"/>
    <n v="133"/>
    <m/>
    <n v="-133"/>
    <n v="2021"/>
    <x v="11"/>
  </r>
  <r>
    <s v="Credit"/>
    <d v="2021-12-19T00:00:00"/>
    <x v="1"/>
    <x v="1"/>
    <x v="1"/>
    <x v="1"/>
    <n v="5"/>
    <m/>
    <n v="-5"/>
    <n v="2021"/>
    <x v="11"/>
  </r>
  <r>
    <s v="Credit"/>
    <d v="2021-12-20T00:00:00"/>
    <x v="1"/>
    <x v="1"/>
    <x v="1"/>
    <x v="1"/>
    <n v="5"/>
    <m/>
    <n v="-5"/>
    <n v="2021"/>
    <x v="11"/>
  </r>
  <r>
    <s v="Credit"/>
    <d v="2021-12-21T00:00:00"/>
    <x v="7"/>
    <x v="3"/>
    <x v="4"/>
    <x v="1"/>
    <n v="36"/>
    <m/>
    <n v="-36"/>
    <n v="2021"/>
    <x v="11"/>
  </r>
  <r>
    <s v="Credit"/>
    <d v="2021-12-22T00:00:00"/>
    <x v="8"/>
    <x v="7"/>
    <x v="4"/>
    <x v="1"/>
    <n v="74"/>
    <m/>
    <n v="-74"/>
    <n v="2021"/>
    <x v="11"/>
  </r>
  <r>
    <s v="Credit"/>
    <d v="2021-12-23T00:00:00"/>
    <x v="9"/>
    <x v="8"/>
    <x v="1"/>
    <x v="1"/>
    <n v="72"/>
    <m/>
    <n v="-72"/>
    <n v="2021"/>
    <x v="11"/>
  </r>
  <r>
    <s v="Credit"/>
    <d v="2021-12-24T00:00:00"/>
    <x v="10"/>
    <x v="9"/>
    <x v="3"/>
    <x v="1"/>
    <n v="28"/>
    <m/>
    <n v="-28"/>
    <n v="2021"/>
    <x v="11"/>
  </r>
  <r>
    <s v="Checking"/>
    <d v="2021-12-25T00:00:00"/>
    <x v="11"/>
    <x v="10"/>
    <x v="4"/>
    <x v="1"/>
    <n v="30"/>
    <m/>
    <n v="-30"/>
    <n v="2021"/>
    <x v="11"/>
  </r>
  <r>
    <s v="Credit"/>
    <d v="2021-12-26T00:00:00"/>
    <x v="1"/>
    <x v="1"/>
    <x v="1"/>
    <x v="1"/>
    <n v="5"/>
    <m/>
    <n v="-5"/>
    <n v="2021"/>
    <x v="11"/>
  </r>
  <r>
    <s v="Credit"/>
    <d v="2021-12-27T00:00:00"/>
    <x v="1"/>
    <x v="1"/>
    <x v="1"/>
    <x v="1"/>
    <n v="5"/>
    <m/>
    <n v="-5"/>
    <n v="2021"/>
    <x v="11"/>
  </r>
  <r>
    <s v="Checking"/>
    <d v="2021-12-28T00:00:00"/>
    <x v="13"/>
    <x v="12"/>
    <x v="2"/>
    <x v="1"/>
    <n v="40"/>
    <m/>
    <n v="-40"/>
    <n v="2021"/>
    <x v="11"/>
  </r>
  <r>
    <s v="Credit"/>
    <d v="2021-12-29T00:00:00"/>
    <x v="15"/>
    <x v="3"/>
    <x v="4"/>
    <x v="1"/>
    <n v="35"/>
    <m/>
    <n v="-35"/>
    <n v="2021"/>
    <x v="11"/>
  </r>
  <r>
    <s v="Credit"/>
    <d v="2021-12-30T00:00:00"/>
    <x v="1"/>
    <x v="1"/>
    <x v="1"/>
    <x v="1"/>
    <n v="5"/>
    <m/>
    <n v="-5"/>
    <n v="2021"/>
    <x v="11"/>
  </r>
  <r>
    <s v="Credit"/>
    <d v="2021-12-31T00:00:00"/>
    <x v="1"/>
    <x v="1"/>
    <x v="1"/>
    <x v="1"/>
    <n v="5"/>
    <m/>
    <n v="-5"/>
    <n v="202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F2657B-6F36-4C49-BDD8-8CB4893B79C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2">
    <pivotField showAll="0"/>
    <pivotField numFmtId="14" showAll="0"/>
    <pivotField showAll="0"/>
    <pivotField showAll="0"/>
    <pivotField showAll="0">
      <items count="8">
        <item x="6"/>
        <item x="1"/>
        <item x="4"/>
        <item x="2"/>
        <item x="5"/>
        <item x="0"/>
        <item x="3"/>
        <item t="default"/>
      </items>
    </pivotField>
    <pivotField showAll="0">
      <items count="3">
        <item x="1"/>
        <item x="0"/>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dragToRow="0" dragToCol="0" dragToPage="0" showAll="0" defaultSubtotal="0"/>
  </pivotFields>
  <rowItems count="1">
    <i/>
  </rowItems>
  <colItems count="1">
    <i/>
  </colItems>
  <dataFields count="1">
    <dataField name="Sum of Credit" fld="7" baseField="0"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B82394-B77A-4C74-A08D-AD3C9C1567D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2">
    <pivotField showAll="0"/>
    <pivotField numFmtId="14" showAll="0"/>
    <pivotField showAll="0"/>
    <pivotField showAll="0"/>
    <pivotField showAll="0">
      <items count="8">
        <item x="6"/>
        <item x="1"/>
        <item x="4"/>
        <item x="2"/>
        <item x="5"/>
        <item x="0"/>
        <item x="3"/>
        <item t="default"/>
      </items>
    </pivotField>
    <pivotField showAll="0">
      <items count="3">
        <item x="1"/>
        <item x="0"/>
        <item t="default"/>
      </items>
    </pivotField>
    <pivotField showAll="0"/>
    <pivotField showAll="0"/>
    <pivotField dataField="1" showAll="0"/>
    <pivotField showAll="0"/>
    <pivotField showAll="0">
      <items count="13">
        <item x="0"/>
        <item x="1"/>
        <item x="2"/>
        <item x="3"/>
        <item x="4"/>
        <item x="5"/>
        <item x="6"/>
        <item x="7"/>
        <item x="8"/>
        <item x="9"/>
        <item x="10"/>
        <item x="11"/>
        <item t="default"/>
      </items>
    </pivotField>
    <pivotField dragToRow="0" dragToCol="0" dragToPage="0" showAll="0" defaultSubtotal="0"/>
  </pivotFields>
  <rowItems count="1">
    <i/>
  </rowItems>
  <colItems count="1">
    <i/>
  </colItems>
  <dataFields count="1">
    <dataField name="Sum of Amount" fld="8"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3E6115-B928-4859-A16F-37717C0CD600}"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S4:T31" firstHeaderRow="1" firstDataRow="1" firstDataCol="1"/>
  <pivotFields count="12">
    <pivotField subtotalTop="0" showAll="0"/>
    <pivotField numFmtId="14" subtotalTop="0" showAll="0"/>
    <pivotField axis="axisRow" subtotalTop="0" showAll="0">
      <items count="29">
        <item h="1" x="0"/>
        <item x="25"/>
        <item x="5"/>
        <item x="2"/>
        <item x="7"/>
        <item x="8"/>
        <item x="3"/>
        <item x="27"/>
        <item x="24"/>
        <item x="6"/>
        <item x="21"/>
        <item x="17"/>
        <item x="4"/>
        <item x="1"/>
        <item x="26"/>
        <item x="9"/>
        <item x="11"/>
        <item x="13"/>
        <item x="16"/>
        <item x="14"/>
        <item x="12"/>
        <item x="23"/>
        <item x="15"/>
        <item x="10"/>
        <item x="19"/>
        <item x="20"/>
        <item x="22"/>
        <item x="18"/>
        <item t="default"/>
      </items>
    </pivotField>
    <pivotField subtotalTop="0" showAll="0"/>
    <pivotField subtotalTop="0" showAll="0">
      <items count="8">
        <item x="6"/>
        <item x="1"/>
        <item x="4"/>
        <item x="2"/>
        <item x="5"/>
        <item x="0"/>
        <item x="3"/>
        <item t="default"/>
      </items>
    </pivotField>
    <pivotField subtotalTop="0" showAll="0">
      <items count="3">
        <item x="1"/>
        <item x="0"/>
        <item t="default"/>
      </items>
    </pivotField>
    <pivotField dataField="1" subtotalTop="0" showAll="0"/>
    <pivotField subtotalTop="0" showAll="0"/>
    <pivotField subtotalTop="0" showAll="0"/>
    <pivotField subtotalTop="0" showAll="0"/>
    <pivotField subtotalTop="0" showAll="0">
      <items count="13">
        <item x="0"/>
        <item x="1"/>
        <item x="2"/>
        <item x="3"/>
        <item x="4"/>
        <item x="5"/>
        <item x="6"/>
        <item x="7"/>
        <item x="8"/>
        <item x="9"/>
        <item x="10"/>
        <item x="11"/>
        <item t="default"/>
      </items>
    </pivotField>
    <pivotField subtotalTop="0" dragToRow="0" dragToCol="0" dragToPage="0" showAll="0" defaultSubtotal="0"/>
  </pivotFields>
  <rowFields count="1">
    <field x="2"/>
  </rowFields>
  <rowItems count="27">
    <i>
      <x v="1"/>
    </i>
    <i>
      <x v="2"/>
    </i>
    <i>
      <x v="3"/>
    </i>
    <i>
      <x v="4"/>
    </i>
    <i>
      <x v="5"/>
    </i>
    <i>
      <x v="6"/>
    </i>
    <i>
      <x v="7"/>
    </i>
    <i>
      <x v="8"/>
    </i>
    <i>
      <x v="9"/>
    </i>
    <i>
      <x v="10"/>
    </i>
    <i>
      <x v="11"/>
    </i>
    <i>
      <x v="12"/>
    </i>
    <i>
      <x v="13"/>
    </i>
    <i>
      <x v="14"/>
    </i>
    <i>
      <x v="15"/>
    </i>
    <i>
      <x v="16"/>
    </i>
    <i>
      <x v="17"/>
    </i>
    <i>
      <x v="18"/>
    </i>
    <i>
      <x v="19"/>
    </i>
    <i>
      <x v="20"/>
    </i>
    <i>
      <x v="21"/>
    </i>
    <i>
      <x v="22"/>
    </i>
    <i>
      <x v="23"/>
    </i>
    <i>
      <x v="24"/>
    </i>
    <i>
      <x v="25"/>
    </i>
    <i>
      <x v="26"/>
    </i>
    <i>
      <x v="27"/>
    </i>
  </rowItems>
  <colItems count="1">
    <i/>
  </colItems>
  <dataFields count="1">
    <dataField name="Sum of Debit" fld="6" baseField="0" baseItem="0"/>
  </dataFields>
  <formats count="1">
    <format dxfId="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8894F5-F460-46EE-9C20-ADBED9254A35}"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I4:J6" firstHeaderRow="1" firstDataRow="1" firstDataCol="1"/>
  <pivotFields count="12">
    <pivotField showAll="0" defaultSubtotal="0"/>
    <pivotField numFmtId="14" showAll="0" defaultSubtotal="0"/>
    <pivotField showAll="0" defaultSubtotal="0"/>
    <pivotField showAll="0" defaultSubtotal="0"/>
    <pivotField showAll="0" defaultSubtotal="0">
      <items count="7">
        <item x="6"/>
        <item x="1"/>
        <item x="4"/>
        <item x="2"/>
        <item x="5"/>
        <item x="0"/>
        <item x="3"/>
      </items>
    </pivotField>
    <pivotField axis="axisRow" showAll="0" sortType="descending" defaultSubtotal="0">
      <items count="2">
        <item x="1"/>
        <item x="0"/>
      </items>
      <autoSortScope>
        <pivotArea dataOnly="0" outline="0" fieldPosition="0">
          <references count="1">
            <reference field="4294967294" count="1" selected="0">
              <x v="0"/>
            </reference>
          </references>
        </pivotArea>
      </autoSortScope>
    </pivotField>
    <pivotField showAll="0" defaultSubtotal="0"/>
    <pivotField showAll="0" defaultSubtotal="0"/>
    <pivotField dataField="1" showAll="0" defaultSubtotal="0"/>
    <pivotField showAll="0" defaultSubtotal="0"/>
    <pivotField showAll="0" defaultSubtotal="0">
      <items count="12">
        <item x="0"/>
        <item x="1"/>
        <item x="2"/>
        <item x="3"/>
        <item x="4"/>
        <item x="5"/>
        <item x="6"/>
        <item x="7"/>
        <item x="8"/>
        <item x="9"/>
        <item x="10"/>
        <item x="11"/>
      </items>
    </pivotField>
    <pivotField dragToRow="0" dragToCol="0" dragToPage="0" showAll="0" defaultSubtotal="0"/>
  </pivotFields>
  <rowFields count="1">
    <field x="5"/>
  </rowFields>
  <rowItems count="2">
    <i>
      <x v="1"/>
    </i>
    <i>
      <x/>
    </i>
  </rowItems>
  <colItems count="1">
    <i/>
  </colItems>
  <dataFields count="1">
    <dataField name="Sum of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3AE812-D61A-42DD-8C47-30505E7D4307}"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P4:Q19" firstHeaderRow="1" firstDataRow="1" firstDataCol="1"/>
  <pivotFields count="12">
    <pivotField subtotalTop="0" showAll="0"/>
    <pivotField numFmtId="14" subtotalTop="0" showAll="0"/>
    <pivotField subtotalTop="0" showAll="0"/>
    <pivotField axis="axisRow" subtotalTop="0" showAll="0">
      <items count="17">
        <item x="7"/>
        <item x="1"/>
        <item x="11"/>
        <item x="14"/>
        <item x="3"/>
        <item x="15"/>
        <item x="5"/>
        <item x="13"/>
        <item x="4"/>
        <item x="10"/>
        <item x="6"/>
        <item x="12"/>
        <item x="2"/>
        <item x="8"/>
        <item h="1" x="0"/>
        <item x="9"/>
        <item t="default"/>
      </items>
    </pivotField>
    <pivotField subtotalTop="0" showAll="0">
      <items count="8">
        <item x="6"/>
        <item x="1"/>
        <item x="4"/>
        <item x="2"/>
        <item x="5"/>
        <item x="0"/>
        <item x="3"/>
        <item t="default"/>
      </items>
    </pivotField>
    <pivotField subtotalTop="0" showAll="0">
      <items count="3">
        <item x="1"/>
        <item x="0"/>
        <item t="default"/>
      </items>
    </pivotField>
    <pivotField dataField="1" subtotalTop="0" showAll="0"/>
    <pivotField subtotalTop="0" showAll="0"/>
    <pivotField subtotalTop="0" showAll="0"/>
    <pivotField subtotalTop="0" showAll="0"/>
    <pivotField subtotalTop="0" showAll="0">
      <items count="13">
        <item x="0"/>
        <item x="1"/>
        <item x="2"/>
        <item x="3"/>
        <item x="4"/>
        <item x="5"/>
        <item x="6"/>
        <item x="7"/>
        <item x="8"/>
        <item x="9"/>
        <item x="10"/>
        <item x="11"/>
        <item t="default"/>
      </items>
    </pivotField>
    <pivotField subtotalTop="0" dragToRow="0" dragToCol="0" dragToPage="0" showAll="0" defaultSubtotal="0"/>
  </pivotFields>
  <rowFields count="1">
    <field x="3"/>
  </rowFields>
  <rowItems count="15">
    <i>
      <x/>
    </i>
    <i>
      <x v="1"/>
    </i>
    <i>
      <x v="2"/>
    </i>
    <i>
      <x v="3"/>
    </i>
    <i>
      <x v="4"/>
    </i>
    <i>
      <x v="5"/>
    </i>
    <i>
      <x v="6"/>
    </i>
    <i>
      <x v="7"/>
    </i>
    <i>
      <x v="8"/>
    </i>
    <i>
      <x v="9"/>
    </i>
    <i>
      <x v="10"/>
    </i>
    <i>
      <x v="11"/>
    </i>
    <i>
      <x v="12"/>
    </i>
    <i>
      <x v="13"/>
    </i>
    <i>
      <x v="15"/>
    </i>
  </rowItems>
  <colItems count="1">
    <i/>
  </colItems>
  <dataFields count="1">
    <dataField name="Sum of Debit" fld="6"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8603A8-9D64-4753-86A9-164A3EB7309A}"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4:G16" firstHeaderRow="0" firstDataRow="1" firstDataCol="1"/>
  <pivotFields count="12">
    <pivotField showAll="0"/>
    <pivotField numFmtId="14" showAll="0"/>
    <pivotField showAll="0"/>
    <pivotField showAll="0"/>
    <pivotField showAll="0">
      <items count="8">
        <item x="6"/>
        <item x="1"/>
        <item x="4"/>
        <item x="2"/>
        <item x="5"/>
        <item x="0"/>
        <item x="3"/>
        <item t="default"/>
      </items>
    </pivotField>
    <pivotField showAll="0">
      <items count="3">
        <item x="1"/>
        <item x="0"/>
        <item t="default"/>
      </items>
    </pivotField>
    <pivotField dataField="1" showAll="0"/>
    <pivotField dataField="1" showAll="0"/>
    <pivotField showAll="0"/>
    <pivotField showAll="0"/>
    <pivotField axis="axisRow" showAll="0">
      <items count="13">
        <item x="0"/>
        <item x="1"/>
        <item x="2"/>
        <item x="3"/>
        <item x="4"/>
        <item x="5"/>
        <item x="6"/>
        <item x="7"/>
        <item x="8"/>
        <item x="9"/>
        <item x="10"/>
        <item x="11"/>
        <item t="default"/>
      </items>
    </pivotField>
    <pivotField dataField="1" dragToRow="0" dragToCol="0" dragToPage="0" showAll="0" defaultSubtotal="0"/>
  </pivotFields>
  <rowFields count="1">
    <field x="10"/>
  </rowFields>
  <rowItems count="12">
    <i>
      <x/>
    </i>
    <i>
      <x v="1"/>
    </i>
    <i>
      <x v="2"/>
    </i>
    <i>
      <x v="3"/>
    </i>
    <i>
      <x v="4"/>
    </i>
    <i>
      <x v="5"/>
    </i>
    <i>
      <x v="6"/>
    </i>
    <i>
      <x v="7"/>
    </i>
    <i>
      <x v="8"/>
    </i>
    <i>
      <x v="9"/>
    </i>
    <i>
      <x v="10"/>
    </i>
    <i>
      <x v="11"/>
    </i>
  </rowItems>
  <colFields count="1">
    <field x="-2"/>
  </colFields>
  <colItems count="3">
    <i>
      <x/>
    </i>
    <i i="1">
      <x v="1"/>
    </i>
    <i i="2">
      <x v="2"/>
    </i>
  </colItems>
  <dataFields count="3">
    <dataField name="Sum of Credit" fld="7" baseField="0" baseItem="0" numFmtId="166"/>
    <dataField name="Sum of Debit" fld="6" baseField="0" baseItem="0"/>
    <dataField name="Sum of Saving" fld="11" showDataAs="runTotal" baseField="1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E0725B-D84D-4392-B2C1-41D6729705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2">
    <pivotField showAll="0"/>
    <pivotField numFmtId="14" showAll="0"/>
    <pivotField showAll="0"/>
    <pivotField showAll="0"/>
    <pivotField showAll="0"/>
    <pivotField showAll="0">
      <items count="3">
        <item x="1"/>
        <item x="0"/>
        <item t="default"/>
      </items>
    </pivotField>
    <pivotField dataField="1" showAll="0"/>
    <pivotField showAll="0"/>
    <pivotField showAll="0"/>
    <pivotField showAll="0"/>
    <pivotField showAll="0">
      <items count="13">
        <item x="0"/>
        <item x="1"/>
        <item x="2"/>
        <item x="3"/>
        <item x="4"/>
        <item x="5"/>
        <item x="6"/>
        <item x="7"/>
        <item x="8"/>
        <item x="9"/>
        <item x="10"/>
        <item x="11"/>
        <item t="default"/>
      </items>
    </pivotField>
    <pivotField dragToRow="0" dragToCol="0" dragToPage="0" showAll="0" defaultSubtotal="0"/>
  </pivotFields>
  <rowItems count="1">
    <i/>
  </rowItems>
  <colItems count="1">
    <i/>
  </colItems>
  <dataFields count="1">
    <dataField name="Sum of Debit" fld="6" baseField="0" baseItem="0" numFmtId="166"/>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28DC17-D800-4787-AAD4-3EAAF5B7C042}"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L4:M11" firstHeaderRow="1" firstDataRow="1" firstDataCol="1"/>
  <pivotFields count="12">
    <pivotField subtotalTop="0" showAll="0"/>
    <pivotField numFmtId="14" subtotalTop="0" showAll="0"/>
    <pivotField subtotalTop="0" showAll="0"/>
    <pivotField subtotalTop="0" showAll="0"/>
    <pivotField axis="axisRow" subtotalTop="0" showAll="0">
      <items count="8">
        <item x="6"/>
        <item x="1"/>
        <item x="4"/>
        <item x="2"/>
        <item x="5"/>
        <item x="0"/>
        <item x="3"/>
        <item t="default"/>
      </items>
    </pivotField>
    <pivotField subtotalTop="0" showAll="0">
      <items count="3">
        <item x="1"/>
        <item x="0"/>
        <item t="default"/>
      </items>
    </pivotField>
    <pivotField dataField="1" subtotalTop="0" showAll="0"/>
    <pivotField subtotalTop="0" showAll="0"/>
    <pivotField subtotalTop="0" showAll="0"/>
    <pivotField subtotalTop="0" showAll="0"/>
    <pivotField subtotalTop="0" showAll="0">
      <items count="13">
        <item x="0"/>
        <item x="1"/>
        <item x="2"/>
        <item x="3"/>
        <item x="4"/>
        <item x="5"/>
        <item x="6"/>
        <item x="7"/>
        <item x="8"/>
        <item x="9"/>
        <item x="10"/>
        <item x="11"/>
        <item t="default"/>
      </items>
    </pivotField>
    <pivotField subtotalTop="0" dragToRow="0" dragToCol="0" dragToPage="0" showAll="0" defaultSubtotal="0"/>
  </pivotFields>
  <rowFields count="1">
    <field x="4"/>
  </rowFields>
  <rowItems count="7">
    <i>
      <x/>
    </i>
    <i>
      <x v="1"/>
    </i>
    <i>
      <x v="2"/>
    </i>
    <i>
      <x v="3"/>
    </i>
    <i>
      <x v="4"/>
    </i>
    <i>
      <x v="5"/>
    </i>
    <i>
      <x v="6"/>
    </i>
  </rowItems>
  <colItems count="1">
    <i/>
  </colItems>
  <dataFields count="1">
    <dataField name="Sum of Debit" fld="6" showDataAs="percentOfCol" baseField="0" baseItem="0" numFmtId="167"/>
  </dataFields>
  <formats count="2">
    <format dxfId="7">
      <pivotArea outline="0" fieldPosition="0">
        <references count="1">
          <reference field="4294967294" count="1">
            <x v="0"/>
          </reference>
        </references>
      </pivotArea>
    </format>
    <format dxfId="6">
      <pivotArea outline="0" collapsedLevelsAreSubtotals="1" fieldPosition="0"/>
    </format>
  </formats>
  <chartFormats count="8">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 chart="3" format="12">
      <pivotArea type="data" outline="0" fieldPosition="0">
        <references count="2">
          <reference field="4294967294" count="1" selected="0">
            <x v="0"/>
          </reference>
          <reference field="4" count="1" selected="0">
            <x v="3"/>
          </reference>
        </references>
      </pivotArea>
    </chartFormat>
    <chartFormat chart="3" format="13">
      <pivotArea type="data" outline="0" fieldPosition="0">
        <references count="2">
          <reference field="4294967294" count="1" selected="0">
            <x v="0"/>
          </reference>
          <reference field="4" count="1" selected="0">
            <x v="4"/>
          </reference>
        </references>
      </pivotArea>
    </chartFormat>
    <chartFormat chart="3" format="14">
      <pivotArea type="data" outline="0" fieldPosition="0">
        <references count="2">
          <reference field="4294967294" count="1" selected="0">
            <x v="0"/>
          </reference>
          <reference field="4" count="1" selected="0">
            <x v="6"/>
          </reference>
        </references>
      </pivotArea>
    </chartFormat>
    <chartFormat chart="3" format="15">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Type" xr10:uid="{826D9BF1-5110-4086-8082-5878B75F532F}" sourceName="Category Type">
  <pivotTables>
    <pivotTable tabId="4" name="PivotTable8"/>
    <pivotTable tabId="4" name="PivotTable10"/>
    <pivotTable tabId="4" name="PivotTable11"/>
    <pivotTable tabId="4" name="PivotTable2"/>
    <pivotTable tabId="4" name="PivotTable3"/>
    <pivotTable tabId="4" name="PivotTable4"/>
    <pivotTable tabId="4" name="PivotTable7"/>
    <pivotTable tabId="4" name="PivotTable9"/>
  </pivotTables>
  <data>
    <tabular pivotCacheId="96540222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F095EBE-55CB-4475-9B7E-B501E0A80282}" sourceName="Month">
  <pivotTables>
    <pivotTable tabId="4" name="PivotTable8"/>
    <pivotTable tabId="4" name="PivotTable10"/>
    <pivotTable tabId="4" name="PivotTable11"/>
    <pivotTable tabId="4" name="PivotTable2"/>
    <pivotTable tabId="4" name="PivotTable3"/>
    <pivotTable tabId="4" name="PivotTable4"/>
    <pivotTable tabId="4" name="PivotTable7"/>
    <pivotTable tabId="4" name="PivotTable9"/>
  </pivotTables>
  <data>
    <tabular pivotCacheId="965402221">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FC68890-76E0-4EF9-9121-D812F02E0457}" sourceName="Category">
  <pivotTables>
    <pivotTable tabId="4" name="PivotTable8"/>
    <pivotTable tabId="4" name="PivotTable10"/>
    <pivotTable tabId="4" name="PivotTable11"/>
    <pivotTable tabId="4" name="PivotTable2"/>
    <pivotTable tabId="4" name="PivotTable4"/>
    <pivotTable tabId="4" name="PivotTable7"/>
    <pivotTable tabId="4" name="PivotTable9"/>
  </pivotTables>
  <data>
    <tabular pivotCacheId="965402221">
      <items count="7">
        <i x="6" s="1"/>
        <i x="1" s="1"/>
        <i x="4" s="1"/>
        <i x="2" s="1"/>
        <i x="5"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Type" xr10:uid="{CFF63677-9C18-4E64-BDA9-0FAD78E09FD0}" cache="Slicer_Category_Type" caption="Category Type" style="SlicerStyleDark5" rowHeight="257175"/>
  <slicer name="Month" xr10:uid="{7CEABC6C-B642-4C1E-B72A-110E2228835D}" cache="Slicer_Month" caption="Month" columnCount="2" style="SlicerStyleDark5" rowHeight="257175"/>
  <slicer name="Category" xr10:uid="{7620AC38-D953-4C8E-AF8F-449D75079701}" cache="Slicer_Category" caption="Category" style="SlicerStyleDark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91204E-7472-43B3-943F-075A869BFBB2}" name="tbl_main" displayName="tbl_main" ref="A1:K564" totalsRowShown="0">
  <autoFilter ref="A1:K564" xr:uid="{7E91204E-7472-43B3-943F-075A869BFBB2}"/>
  <tableColumns count="11">
    <tableColumn id="1" xr3:uid="{63BC4BB0-7A71-4431-B306-A691E3FEFE10}" name="Account"/>
    <tableColumn id="2" xr3:uid="{B85CC37B-7B85-4908-B57A-3B6AE0348722}" name="Date" dataDxfId="11"/>
    <tableColumn id="3" xr3:uid="{9156223B-C677-4F22-8A60-C28878727799}" name="Description"/>
    <tableColumn id="4" xr3:uid="{E56592AA-32A4-466B-AC42-9B1B151ECC72}" name="Sub-category"/>
    <tableColumn id="5" xr3:uid="{BD004FEF-96A2-4750-9EF5-8A6258870366}" name="Category"/>
    <tableColumn id="6" xr3:uid="{238CC605-9A2D-4771-9119-4EF710598987}" name="Category Type"/>
    <tableColumn id="7" xr3:uid="{D47A43AC-CD16-4F22-8581-5684D2A1B6B4}" name="Debit"/>
    <tableColumn id="8" xr3:uid="{7B26D087-3C7C-4231-B0A6-122AEEBB2012}" name="Credit"/>
    <tableColumn id="9" xr3:uid="{62650494-0E96-44BE-A83E-8B7529934119}" name="Amount" dataDxfId="10">
      <calculatedColumnFormula>IF(tbl_main[[#This Row],[Debit]]&lt;&gt;"",-tbl_main[[#This Row],[Debit]],tbl_main[[#This Row],[Credit]])</calculatedColumnFormula>
    </tableColumn>
    <tableColumn id="10" xr3:uid="{5B4B05F7-1E2E-4DEE-9FD5-7BDB258162B3}" name="Year" dataDxfId="9">
      <calculatedColumnFormula>YEAR(tbl_main[[#This Row],[Date]])</calculatedColumnFormula>
    </tableColumn>
    <tableColumn id="11" xr3:uid="{603BED80-967D-4EA1-8850-6C494C8F3BD5}" name="Month" dataDxfId="8">
      <calculatedColumnFormula>TEXT(tbl_main[[#This Row],[Date]],"mmm")</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7F9CA-1DC3-4B56-91E3-62E4AA9BC8F1}">
  <dimension ref="A1:N564"/>
  <sheetViews>
    <sheetView workbookViewId="0">
      <selection activeCell="D7" sqref="D7"/>
    </sheetView>
  </sheetViews>
  <sheetFormatPr defaultRowHeight="15" x14ac:dyDescent="0.25"/>
  <cols>
    <col min="1" max="1" width="10.42578125" customWidth="1"/>
    <col min="2" max="2" width="10.42578125" style="1" bestFit="1" customWidth="1"/>
    <col min="3" max="3" width="15.42578125" bestFit="1" customWidth="1"/>
    <col min="4" max="4" width="15" customWidth="1"/>
    <col min="5" max="5" width="14.7109375" bestFit="1" customWidth="1"/>
    <col min="6" max="6" width="16" customWidth="1"/>
    <col min="7" max="7" width="8.140625" customWidth="1"/>
    <col min="8" max="8" width="8.85546875" customWidth="1"/>
    <col min="9" max="9" width="10.140625" customWidth="1"/>
    <col min="13" max="13" width="14.7109375" bestFit="1" customWidth="1"/>
    <col min="14" max="14" width="43.28515625" bestFit="1" customWidth="1"/>
  </cols>
  <sheetData>
    <row r="1" spans="1:14" x14ac:dyDescent="0.25">
      <c r="A1" t="s">
        <v>0</v>
      </c>
      <c r="B1" s="1" t="s">
        <v>1</v>
      </c>
      <c r="C1" t="s">
        <v>2</v>
      </c>
      <c r="D1" t="s">
        <v>6</v>
      </c>
      <c r="E1" t="s">
        <v>7</v>
      </c>
      <c r="F1" t="s">
        <v>8</v>
      </c>
      <c r="G1" t="s">
        <v>3</v>
      </c>
      <c r="H1" t="s">
        <v>4</v>
      </c>
      <c r="I1" t="s">
        <v>5</v>
      </c>
      <c r="J1" t="s">
        <v>62</v>
      </c>
      <c r="K1" t="s">
        <v>63</v>
      </c>
      <c r="M1" t="s">
        <v>16</v>
      </c>
      <c r="N1">
        <v>1</v>
      </c>
    </row>
    <row r="2" spans="1:14" x14ac:dyDescent="0.25">
      <c r="A2" t="s">
        <v>9</v>
      </c>
      <c r="B2" s="1">
        <v>44200</v>
      </c>
      <c r="C2" t="s">
        <v>10</v>
      </c>
      <c r="D2" t="s">
        <v>11</v>
      </c>
      <c r="E2" t="s">
        <v>11</v>
      </c>
      <c r="F2" t="s">
        <v>12</v>
      </c>
      <c r="H2">
        <v>4000</v>
      </c>
      <c r="I2">
        <f>IF(tbl_main[[#This Row],[Debit]]&lt;&gt;"",-tbl_main[[#This Row],[Debit]],tbl_main[[#This Row],[Credit]])</f>
        <v>4000</v>
      </c>
      <c r="J2">
        <f>YEAR(tbl_main[[#This Row],[Date]])</f>
        <v>2021</v>
      </c>
      <c r="K2" t="str">
        <f>TEXT(tbl_main[[#This Row],[Date]],"mmm")</f>
        <v>Jan</v>
      </c>
      <c r="M2" t="str" cm="1">
        <f t="array" ref="M2:M7">_xlfn.UNIQUE(_xlfn._xlws.FILTER(tbl_main[Category],tbl_main[Category Type]=M1))</f>
        <v>Dining Out</v>
      </c>
      <c r="N2" t="str" cm="1">
        <f t="array" ref="N2">_xlfn.ARRAYTOTEXT(_xlfn.UNIQUE(_xlfn._xlws.FILTER(tbl_main[Sub-category],tbl_main[Category]=M2)))</f>
        <v>Coffee, Restaurant</v>
      </c>
    </row>
    <row r="3" spans="1:14" x14ac:dyDescent="0.25">
      <c r="A3" t="s">
        <v>4</v>
      </c>
      <c r="B3" s="1">
        <v>44200</v>
      </c>
      <c r="C3" t="s">
        <v>13</v>
      </c>
      <c r="D3" t="s">
        <v>14</v>
      </c>
      <c r="E3" t="s">
        <v>15</v>
      </c>
      <c r="F3" t="s">
        <v>16</v>
      </c>
      <c r="G3">
        <v>5</v>
      </c>
      <c r="I3">
        <f>IF(tbl_main[[#This Row],[Debit]]&lt;&gt;"",-tbl_main[[#This Row],[Debit]],tbl_main[[#This Row],[Credit]])</f>
        <v>-5</v>
      </c>
      <c r="J3">
        <f>YEAR(tbl_main[[#This Row],[Date]])</f>
        <v>2021</v>
      </c>
      <c r="K3" t="str">
        <f>TEXT(tbl_main[[#This Row],[Date]],"mmm")</f>
        <v>Jan</v>
      </c>
      <c r="M3" t="str">
        <v>Living Expenses</v>
      </c>
      <c r="N3" t="str" cm="1">
        <f t="array" ref="N3">_xlfn.ARRAYTOTEXT(_xlfn.UNIQUE(_xlfn._xlws.FILTER(tbl_main[Sub-category],tbl_main[Category]=M3)))</f>
        <v>Rent, Groceries, Gas/Electrics, Phone</v>
      </c>
    </row>
    <row r="4" spans="1:14" x14ac:dyDescent="0.25">
      <c r="A4" t="s">
        <v>9</v>
      </c>
      <c r="B4" s="1">
        <v>44201</v>
      </c>
      <c r="C4" t="s">
        <v>17</v>
      </c>
      <c r="D4" t="s">
        <v>18</v>
      </c>
      <c r="E4" t="s">
        <v>19</v>
      </c>
      <c r="F4" t="s">
        <v>16</v>
      </c>
      <c r="G4">
        <v>900</v>
      </c>
      <c r="I4">
        <f>IF(tbl_main[[#This Row],[Debit]]&lt;&gt;"",-tbl_main[[#This Row],[Debit]],tbl_main[[#This Row],[Credit]])</f>
        <v>-900</v>
      </c>
      <c r="J4">
        <f>YEAR(tbl_main[[#This Row],[Date]])</f>
        <v>2021</v>
      </c>
      <c r="K4" t="str">
        <f>TEXT(tbl_main[[#This Row],[Date]],"mmm")</f>
        <v>Jan</v>
      </c>
      <c r="M4" t="str">
        <v>Transport</v>
      </c>
      <c r="N4" t="str" cm="1">
        <f t="array" ref="N4">_xlfn.ARRAYTOTEXT(_xlfn.UNIQUE(_xlfn._xlws.FILTER(tbl_main[Sub-category],tbl_main[Category]=M4)))</f>
        <v>Entertainment, MV Fuel, Taxi</v>
      </c>
    </row>
    <row r="5" spans="1:14" x14ac:dyDescent="0.25">
      <c r="A5" t="s">
        <v>9</v>
      </c>
      <c r="B5" s="1">
        <v>44201</v>
      </c>
      <c r="C5" t="s">
        <v>20</v>
      </c>
      <c r="D5" t="s">
        <v>21</v>
      </c>
      <c r="E5" t="s">
        <v>22</v>
      </c>
      <c r="F5" t="s">
        <v>16</v>
      </c>
      <c r="G5">
        <v>150</v>
      </c>
      <c r="I5">
        <f>IF(tbl_main[[#This Row],[Debit]]&lt;&gt;"",-tbl_main[[#This Row],[Debit]],tbl_main[[#This Row],[Credit]])</f>
        <v>-150</v>
      </c>
      <c r="J5">
        <f>YEAR(tbl_main[[#This Row],[Date]])</f>
        <v>2021</v>
      </c>
      <c r="K5" t="str">
        <f>TEXT(tbl_main[[#This Row],[Date]],"mmm")</f>
        <v>Jan</v>
      </c>
      <c r="M5" t="str">
        <v>Discretionary</v>
      </c>
      <c r="N5" t="str" cm="1">
        <f t="array" ref="N5">_xlfn.ARRAYTOTEXT(_xlfn.UNIQUE(_xlfn._xlws.FILTER(tbl_main[Sub-category],tbl_main[Category]=M5)))</f>
        <v>Entertainment, Clothes, Gym, Gifts, Furnishings</v>
      </c>
    </row>
    <row r="6" spans="1:14" x14ac:dyDescent="0.25">
      <c r="A6" t="s">
        <v>4</v>
      </c>
      <c r="B6" s="1">
        <v>44201</v>
      </c>
      <c r="C6" t="s">
        <v>13</v>
      </c>
      <c r="D6" t="s">
        <v>14</v>
      </c>
      <c r="E6" t="s">
        <v>15</v>
      </c>
      <c r="F6" t="s">
        <v>16</v>
      </c>
      <c r="G6">
        <v>5</v>
      </c>
      <c r="I6">
        <f>IF(tbl_main[[#This Row],[Debit]]&lt;&gt;"",-tbl_main[[#This Row],[Debit]],tbl_main[[#This Row],[Credit]])</f>
        <v>-5</v>
      </c>
      <c r="J6">
        <f>YEAR(tbl_main[[#This Row],[Date]])</f>
        <v>2021</v>
      </c>
      <c r="K6" t="str">
        <f>TEXT(tbl_main[[#This Row],[Date]],"mmm")</f>
        <v>Jan</v>
      </c>
      <c r="M6" t="str">
        <v>Medical</v>
      </c>
      <c r="N6" t="str" cm="1">
        <f t="array" ref="N6">_xlfn.ARRAYTOTEXT(_xlfn.UNIQUE(_xlfn._xlws.FILTER(tbl_main[Sub-category],tbl_main[Category]=M6)))</f>
        <v>Doctor</v>
      </c>
    </row>
    <row r="7" spans="1:14" x14ac:dyDescent="0.25">
      <c r="A7" t="s">
        <v>4</v>
      </c>
      <c r="B7" s="1">
        <v>44202</v>
      </c>
      <c r="C7" t="s">
        <v>13</v>
      </c>
      <c r="D7" t="s">
        <v>14</v>
      </c>
      <c r="E7" t="s">
        <v>15</v>
      </c>
      <c r="F7" t="s">
        <v>16</v>
      </c>
      <c r="G7">
        <v>5</v>
      </c>
      <c r="I7">
        <f>IF(tbl_main[[#This Row],[Debit]]&lt;&gt;"",-tbl_main[[#This Row],[Debit]],tbl_main[[#This Row],[Credit]])</f>
        <v>-5</v>
      </c>
      <c r="J7">
        <f>YEAR(tbl_main[[#This Row],[Date]])</f>
        <v>2021</v>
      </c>
      <c r="K7" t="str">
        <f>TEXT(tbl_main[[#This Row],[Date]],"mmm")</f>
        <v>Jan</v>
      </c>
      <c r="M7" t="str">
        <v>Charity</v>
      </c>
      <c r="N7" t="str" cm="1">
        <f t="array" ref="N7">_xlfn.ARRAYTOTEXT(_xlfn.UNIQUE(_xlfn._xlws.FILTER(tbl_main[Sub-category],tbl_main[Category]=M7)))</f>
        <v>Donation</v>
      </c>
    </row>
    <row r="8" spans="1:14" x14ac:dyDescent="0.25">
      <c r="A8" t="s">
        <v>4</v>
      </c>
      <c r="B8" s="1">
        <v>44203</v>
      </c>
      <c r="C8" t="s">
        <v>13</v>
      </c>
      <c r="D8" t="s">
        <v>14</v>
      </c>
      <c r="E8" t="s">
        <v>15</v>
      </c>
      <c r="F8" t="s">
        <v>16</v>
      </c>
      <c r="G8">
        <v>5</v>
      </c>
      <c r="I8">
        <f>IF(tbl_main[[#This Row],[Debit]]&lt;&gt;"",-tbl_main[[#This Row],[Debit]],tbl_main[[#This Row],[Credit]])</f>
        <v>-5</v>
      </c>
      <c r="J8">
        <f>YEAR(tbl_main[[#This Row],[Date]])</f>
        <v>2021</v>
      </c>
      <c r="K8" t="str">
        <f>TEXT(tbl_main[[#This Row],[Date]],"mmm")</f>
        <v>Jan</v>
      </c>
    </row>
    <row r="9" spans="1:14" x14ac:dyDescent="0.25">
      <c r="A9" t="s">
        <v>4</v>
      </c>
      <c r="B9" s="1">
        <v>44204</v>
      </c>
      <c r="C9" t="s">
        <v>13</v>
      </c>
      <c r="D9" t="s">
        <v>14</v>
      </c>
      <c r="E9" t="s">
        <v>15</v>
      </c>
      <c r="F9" t="s">
        <v>16</v>
      </c>
      <c r="G9">
        <v>5</v>
      </c>
      <c r="I9">
        <f>IF(tbl_main[[#This Row],[Debit]]&lt;&gt;"",-tbl_main[[#This Row],[Debit]],tbl_main[[#This Row],[Credit]])</f>
        <v>-5</v>
      </c>
      <c r="J9">
        <f>YEAR(tbl_main[[#This Row],[Date]])</f>
        <v>2021</v>
      </c>
      <c r="K9" t="str">
        <f>TEXT(tbl_main[[#This Row],[Date]],"mmm")</f>
        <v>Jan</v>
      </c>
    </row>
    <row r="10" spans="1:14" x14ac:dyDescent="0.25">
      <c r="A10" t="s">
        <v>4</v>
      </c>
      <c r="B10" s="1">
        <v>44204</v>
      </c>
      <c r="C10" t="s">
        <v>23</v>
      </c>
      <c r="D10" t="s">
        <v>24</v>
      </c>
      <c r="E10" t="s">
        <v>19</v>
      </c>
      <c r="F10" t="s">
        <v>16</v>
      </c>
      <c r="G10">
        <v>155</v>
      </c>
      <c r="I10">
        <f>IF(tbl_main[[#This Row],[Debit]]&lt;&gt;"",-tbl_main[[#This Row],[Debit]],tbl_main[[#This Row],[Credit]])</f>
        <v>-155</v>
      </c>
      <c r="J10">
        <f>YEAR(tbl_main[[#This Row],[Date]])</f>
        <v>2021</v>
      </c>
      <c r="K10" t="str">
        <f>TEXT(tbl_main[[#This Row],[Date]],"mmm")</f>
        <v>Jan</v>
      </c>
    </row>
    <row r="11" spans="1:14" x14ac:dyDescent="0.25">
      <c r="A11" t="s">
        <v>9</v>
      </c>
      <c r="B11" s="1">
        <v>44207</v>
      </c>
      <c r="C11" t="s">
        <v>25</v>
      </c>
      <c r="D11" t="s">
        <v>26</v>
      </c>
      <c r="E11" t="s">
        <v>19</v>
      </c>
      <c r="F11" t="s">
        <v>16</v>
      </c>
      <c r="G11">
        <v>50</v>
      </c>
      <c r="I11">
        <f>IF(tbl_main[[#This Row],[Debit]]&lt;&gt;"",-tbl_main[[#This Row],[Debit]],tbl_main[[#This Row],[Credit]])</f>
        <v>-50</v>
      </c>
      <c r="J11">
        <f>YEAR(tbl_main[[#This Row],[Date]])</f>
        <v>2021</v>
      </c>
      <c r="K11" t="str">
        <f>TEXT(tbl_main[[#This Row],[Date]],"mmm")</f>
        <v>Jan</v>
      </c>
    </row>
    <row r="12" spans="1:14" x14ac:dyDescent="0.25">
      <c r="A12" t="s">
        <v>4</v>
      </c>
      <c r="B12" s="1">
        <v>44207</v>
      </c>
      <c r="C12" t="s">
        <v>13</v>
      </c>
      <c r="D12" t="s">
        <v>14</v>
      </c>
      <c r="E12" t="s">
        <v>15</v>
      </c>
      <c r="F12" t="s">
        <v>16</v>
      </c>
      <c r="G12">
        <v>5</v>
      </c>
      <c r="I12">
        <f>IF(tbl_main[[#This Row],[Debit]]&lt;&gt;"",-tbl_main[[#This Row],[Debit]],tbl_main[[#This Row],[Credit]])</f>
        <v>-5</v>
      </c>
      <c r="J12">
        <f>YEAR(tbl_main[[#This Row],[Date]])</f>
        <v>2021</v>
      </c>
      <c r="K12" t="str">
        <f>TEXT(tbl_main[[#This Row],[Date]],"mmm")</f>
        <v>Jan</v>
      </c>
    </row>
    <row r="13" spans="1:14" x14ac:dyDescent="0.25">
      <c r="A13" t="s">
        <v>4</v>
      </c>
      <c r="B13" s="1">
        <v>44208</v>
      </c>
      <c r="C13" t="s">
        <v>13</v>
      </c>
      <c r="D13" t="s">
        <v>14</v>
      </c>
      <c r="E13" t="s">
        <v>15</v>
      </c>
      <c r="F13" t="s">
        <v>16</v>
      </c>
      <c r="G13">
        <v>5</v>
      </c>
      <c r="I13">
        <f>IF(tbl_main[[#This Row],[Debit]]&lt;&gt;"",-tbl_main[[#This Row],[Debit]],tbl_main[[#This Row],[Credit]])</f>
        <v>-5</v>
      </c>
      <c r="J13">
        <f>YEAR(tbl_main[[#This Row],[Date]])</f>
        <v>2021</v>
      </c>
      <c r="K13" t="str">
        <f>TEXT(tbl_main[[#This Row],[Date]],"mmm")</f>
        <v>Jan</v>
      </c>
    </row>
    <row r="14" spans="1:14" x14ac:dyDescent="0.25">
      <c r="A14" t="s">
        <v>4</v>
      </c>
      <c r="B14" s="1">
        <v>44209</v>
      </c>
      <c r="C14" t="s">
        <v>27</v>
      </c>
      <c r="D14" t="s">
        <v>28</v>
      </c>
      <c r="E14" t="s">
        <v>22</v>
      </c>
      <c r="F14" t="s">
        <v>16</v>
      </c>
      <c r="G14">
        <v>77</v>
      </c>
      <c r="I14">
        <f>IF(tbl_main[[#This Row],[Debit]]&lt;&gt;"",-tbl_main[[#This Row],[Debit]],tbl_main[[#This Row],[Credit]])</f>
        <v>-77</v>
      </c>
      <c r="J14">
        <f>YEAR(tbl_main[[#This Row],[Date]])</f>
        <v>2021</v>
      </c>
      <c r="K14" t="str">
        <f>TEXT(tbl_main[[#This Row],[Date]],"mmm")</f>
        <v>Jan</v>
      </c>
    </row>
    <row r="15" spans="1:14" x14ac:dyDescent="0.25">
      <c r="A15" t="s">
        <v>4</v>
      </c>
      <c r="B15" s="1">
        <v>44209</v>
      </c>
      <c r="C15" t="s">
        <v>13</v>
      </c>
      <c r="D15" t="s">
        <v>14</v>
      </c>
      <c r="E15" t="s">
        <v>15</v>
      </c>
      <c r="F15" t="s">
        <v>16</v>
      </c>
      <c r="G15">
        <v>5</v>
      </c>
      <c r="I15">
        <f>IF(tbl_main[[#This Row],[Debit]]&lt;&gt;"",-tbl_main[[#This Row],[Debit]],tbl_main[[#This Row],[Credit]])</f>
        <v>-5</v>
      </c>
      <c r="J15">
        <f>YEAR(tbl_main[[#This Row],[Date]])</f>
        <v>2021</v>
      </c>
      <c r="K15" t="str">
        <f>TEXT(tbl_main[[#This Row],[Date]],"mmm")</f>
        <v>Jan</v>
      </c>
    </row>
    <row r="16" spans="1:14" x14ac:dyDescent="0.25">
      <c r="A16" t="s">
        <v>4</v>
      </c>
      <c r="B16" s="1">
        <v>44210</v>
      </c>
      <c r="C16" t="s">
        <v>13</v>
      </c>
      <c r="D16" t="s">
        <v>14</v>
      </c>
      <c r="E16" t="s">
        <v>15</v>
      </c>
      <c r="F16" t="s">
        <v>16</v>
      </c>
      <c r="G16">
        <v>5</v>
      </c>
      <c r="I16">
        <f>IF(tbl_main[[#This Row],[Debit]]&lt;&gt;"",-tbl_main[[#This Row],[Debit]],tbl_main[[#This Row],[Credit]])</f>
        <v>-5</v>
      </c>
      <c r="J16">
        <f>YEAR(tbl_main[[#This Row],[Date]])</f>
        <v>2021</v>
      </c>
      <c r="K16" t="str">
        <f>TEXT(tbl_main[[#This Row],[Date]],"mmm")</f>
        <v>Jan</v>
      </c>
    </row>
    <row r="17" spans="1:11" x14ac:dyDescent="0.25">
      <c r="A17" t="s">
        <v>4</v>
      </c>
      <c r="B17" s="1">
        <v>44211</v>
      </c>
      <c r="C17" t="s">
        <v>23</v>
      </c>
      <c r="D17" t="s">
        <v>24</v>
      </c>
      <c r="E17" t="s">
        <v>19</v>
      </c>
      <c r="F17" t="s">
        <v>16</v>
      </c>
      <c r="G17">
        <v>135</v>
      </c>
      <c r="I17">
        <f>IF(tbl_main[[#This Row],[Debit]]&lt;&gt;"",-tbl_main[[#This Row],[Debit]],tbl_main[[#This Row],[Credit]])</f>
        <v>-135</v>
      </c>
      <c r="J17">
        <f>YEAR(tbl_main[[#This Row],[Date]])</f>
        <v>2021</v>
      </c>
      <c r="K17" t="str">
        <f>TEXT(tbl_main[[#This Row],[Date]],"mmm")</f>
        <v>Jan</v>
      </c>
    </row>
    <row r="18" spans="1:11" x14ac:dyDescent="0.25">
      <c r="A18" t="s">
        <v>4</v>
      </c>
      <c r="B18" s="1">
        <v>44211</v>
      </c>
      <c r="C18" t="s">
        <v>13</v>
      </c>
      <c r="D18" t="s">
        <v>14</v>
      </c>
      <c r="E18" t="s">
        <v>15</v>
      </c>
      <c r="F18" t="s">
        <v>16</v>
      </c>
      <c r="G18">
        <v>5</v>
      </c>
      <c r="I18">
        <f>IF(tbl_main[[#This Row],[Debit]]&lt;&gt;"",-tbl_main[[#This Row],[Debit]],tbl_main[[#This Row],[Credit]])</f>
        <v>-5</v>
      </c>
      <c r="J18">
        <f>YEAR(tbl_main[[#This Row],[Date]])</f>
        <v>2021</v>
      </c>
      <c r="K18" t="str">
        <f>TEXT(tbl_main[[#This Row],[Date]],"mmm")</f>
        <v>Jan</v>
      </c>
    </row>
    <row r="19" spans="1:11" x14ac:dyDescent="0.25">
      <c r="A19" t="s">
        <v>4</v>
      </c>
      <c r="B19" s="1">
        <v>44212</v>
      </c>
      <c r="C19" t="s">
        <v>13</v>
      </c>
      <c r="D19" t="s">
        <v>14</v>
      </c>
      <c r="E19" t="s">
        <v>15</v>
      </c>
      <c r="F19" t="s">
        <v>16</v>
      </c>
      <c r="G19">
        <v>5</v>
      </c>
      <c r="I19">
        <f>IF(tbl_main[[#This Row],[Debit]]&lt;&gt;"",-tbl_main[[#This Row],[Debit]],tbl_main[[#This Row],[Credit]])</f>
        <v>-5</v>
      </c>
      <c r="J19">
        <f>YEAR(tbl_main[[#This Row],[Date]])</f>
        <v>2021</v>
      </c>
      <c r="K19" t="str">
        <f>TEXT(tbl_main[[#This Row],[Date]],"mmm")</f>
        <v>Jan</v>
      </c>
    </row>
    <row r="20" spans="1:11" x14ac:dyDescent="0.25">
      <c r="A20" t="s">
        <v>4</v>
      </c>
      <c r="B20" s="1">
        <v>44212</v>
      </c>
      <c r="C20" t="s">
        <v>29</v>
      </c>
      <c r="D20" t="s">
        <v>21</v>
      </c>
      <c r="E20" t="s">
        <v>30</v>
      </c>
      <c r="F20" t="s">
        <v>16</v>
      </c>
      <c r="G20">
        <v>40</v>
      </c>
      <c r="I20">
        <f>IF(tbl_main[[#This Row],[Debit]]&lt;&gt;"",-tbl_main[[#This Row],[Debit]],tbl_main[[#This Row],[Credit]])</f>
        <v>-40</v>
      </c>
      <c r="J20">
        <f>YEAR(tbl_main[[#This Row],[Date]])</f>
        <v>2021</v>
      </c>
      <c r="K20" t="str">
        <f>TEXT(tbl_main[[#This Row],[Date]],"mmm")</f>
        <v>Jan</v>
      </c>
    </row>
    <row r="21" spans="1:11" x14ac:dyDescent="0.25">
      <c r="A21" t="s">
        <v>4</v>
      </c>
      <c r="B21" s="1">
        <v>44212</v>
      </c>
      <c r="C21" t="s">
        <v>31</v>
      </c>
      <c r="D21" t="s">
        <v>32</v>
      </c>
      <c r="E21" t="s">
        <v>30</v>
      </c>
      <c r="F21" t="s">
        <v>16</v>
      </c>
      <c r="G21">
        <v>98</v>
      </c>
      <c r="I21">
        <f>IF(tbl_main[[#This Row],[Debit]]&lt;&gt;"",-tbl_main[[#This Row],[Debit]],tbl_main[[#This Row],[Credit]])</f>
        <v>-98</v>
      </c>
      <c r="J21">
        <f>YEAR(tbl_main[[#This Row],[Date]])</f>
        <v>2021</v>
      </c>
      <c r="K21" t="str">
        <f>TEXT(tbl_main[[#This Row],[Date]],"mmm")</f>
        <v>Jan</v>
      </c>
    </row>
    <row r="22" spans="1:11" x14ac:dyDescent="0.25">
      <c r="A22" t="s">
        <v>4</v>
      </c>
      <c r="B22" s="1">
        <v>44212</v>
      </c>
      <c r="C22" t="s">
        <v>33</v>
      </c>
      <c r="D22" t="s">
        <v>34</v>
      </c>
      <c r="E22" t="s">
        <v>15</v>
      </c>
      <c r="F22" t="s">
        <v>16</v>
      </c>
      <c r="G22">
        <v>52</v>
      </c>
      <c r="I22">
        <f>IF(tbl_main[[#This Row],[Debit]]&lt;&gt;"",-tbl_main[[#This Row],[Debit]],tbl_main[[#This Row],[Credit]])</f>
        <v>-52</v>
      </c>
      <c r="J22">
        <f>YEAR(tbl_main[[#This Row],[Date]])</f>
        <v>2021</v>
      </c>
      <c r="K22" t="str">
        <f>TEXT(tbl_main[[#This Row],[Date]],"mmm")</f>
        <v>Jan</v>
      </c>
    </row>
    <row r="23" spans="1:11" x14ac:dyDescent="0.25">
      <c r="A23" t="s">
        <v>4</v>
      </c>
      <c r="B23" s="1">
        <v>44213</v>
      </c>
      <c r="C23" t="s">
        <v>35</v>
      </c>
      <c r="D23" t="s">
        <v>36</v>
      </c>
      <c r="E23" t="s">
        <v>22</v>
      </c>
      <c r="F23" t="s">
        <v>16</v>
      </c>
      <c r="G23">
        <v>28</v>
      </c>
      <c r="I23">
        <f>IF(tbl_main[[#This Row],[Debit]]&lt;&gt;"",-tbl_main[[#This Row],[Debit]],tbl_main[[#This Row],[Credit]])</f>
        <v>-28</v>
      </c>
      <c r="J23">
        <f>YEAR(tbl_main[[#This Row],[Date]])</f>
        <v>2021</v>
      </c>
      <c r="K23" t="str">
        <f>TEXT(tbl_main[[#This Row],[Date]],"mmm")</f>
        <v>Jan</v>
      </c>
    </row>
    <row r="24" spans="1:11" x14ac:dyDescent="0.25">
      <c r="A24" t="s">
        <v>9</v>
      </c>
      <c r="B24" s="1">
        <v>44214</v>
      </c>
      <c r="C24" t="s">
        <v>37</v>
      </c>
      <c r="D24" t="s">
        <v>38</v>
      </c>
      <c r="E24" t="s">
        <v>30</v>
      </c>
      <c r="F24" t="s">
        <v>16</v>
      </c>
      <c r="G24">
        <v>30</v>
      </c>
      <c r="I24">
        <f>IF(tbl_main[[#This Row],[Debit]]&lt;&gt;"",-tbl_main[[#This Row],[Debit]],tbl_main[[#This Row],[Credit]])</f>
        <v>-30</v>
      </c>
      <c r="J24">
        <f>YEAR(tbl_main[[#This Row],[Date]])</f>
        <v>2021</v>
      </c>
      <c r="K24" t="str">
        <f>TEXT(tbl_main[[#This Row],[Date]],"mmm")</f>
        <v>Jan</v>
      </c>
    </row>
    <row r="25" spans="1:11" x14ac:dyDescent="0.25">
      <c r="A25" t="s">
        <v>4</v>
      </c>
      <c r="B25" s="1">
        <v>44214</v>
      </c>
      <c r="C25" t="s">
        <v>13</v>
      </c>
      <c r="D25" t="s">
        <v>14</v>
      </c>
      <c r="E25" t="s">
        <v>15</v>
      </c>
      <c r="F25" t="s">
        <v>16</v>
      </c>
      <c r="G25">
        <v>5</v>
      </c>
      <c r="I25">
        <f>IF(tbl_main[[#This Row],[Debit]]&lt;&gt;"",-tbl_main[[#This Row],[Debit]],tbl_main[[#This Row],[Credit]])</f>
        <v>-5</v>
      </c>
      <c r="J25">
        <f>YEAR(tbl_main[[#This Row],[Date]])</f>
        <v>2021</v>
      </c>
      <c r="K25" t="str">
        <f>TEXT(tbl_main[[#This Row],[Date]],"mmm")</f>
        <v>Jan</v>
      </c>
    </row>
    <row r="26" spans="1:11" x14ac:dyDescent="0.25">
      <c r="A26" t="s">
        <v>4</v>
      </c>
      <c r="B26" s="1">
        <v>44215</v>
      </c>
      <c r="C26" t="s">
        <v>13</v>
      </c>
      <c r="D26" t="s">
        <v>14</v>
      </c>
      <c r="E26" t="s">
        <v>15</v>
      </c>
      <c r="F26" t="s">
        <v>16</v>
      </c>
      <c r="G26">
        <v>5</v>
      </c>
      <c r="I26">
        <f>IF(tbl_main[[#This Row],[Debit]]&lt;&gt;"",-tbl_main[[#This Row],[Debit]],tbl_main[[#This Row],[Credit]])</f>
        <v>-5</v>
      </c>
      <c r="J26">
        <f>YEAR(tbl_main[[#This Row],[Date]])</f>
        <v>2021</v>
      </c>
      <c r="K26" t="str">
        <f>TEXT(tbl_main[[#This Row],[Date]],"mmm")</f>
        <v>Jan</v>
      </c>
    </row>
    <row r="27" spans="1:11" x14ac:dyDescent="0.25">
      <c r="A27" t="s">
        <v>9</v>
      </c>
      <c r="B27" s="1">
        <v>44215</v>
      </c>
      <c r="C27" t="s">
        <v>39</v>
      </c>
      <c r="D27" t="s">
        <v>40</v>
      </c>
      <c r="E27" t="s">
        <v>41</v>
      </c>
      <c r="F27" t="s">
        <v>16</v>
      </c>
      <c r="G27">
        <v>1504</v>
      </c>
      <c r="I27">
        <f>IF(tbl_main[[#This Row],[Debit]]&lt;&gt;"",-tbl_main[[#This Row],[Debit]],tbl_main[[#This Row],[Credit]])</f>
        <v>-1504</v>
      </c>
      <c r="J27">
        <f>YEAR(tbl_main[[#This Row],[Date]])</f>
        <v>2021</v>
      </c>
      <c r="K27" t="str">
        <f>TEXT(tbl_main[[#This Row],[Date]],"mmm")</f>
        <v>Jan</v>
      </c>
    </row>
    <row r="28" spans="1:11" x14ac:dyDescent="0.25">
      <c r="A28" t="s">
        <v>9</v>
      </c>
      <c r="B28" s="1">
        <v>44215</v>
      </c>
      <c r="C28" t="s">
        <v>42</v>
      </c>
      <c r="D28" t="s">
        <v>43</v>
      </c>
      <c r="E28" t="s">
        <v>19</v>
      </c>
      <c r="F28" t="s">
        <v>16</v>
      </c>
      <c r="G28">
        <v>40</v>
      </c>
      <c r="I28">
        <f>IF(tbl_main[[#This Row],[Debit]]&lt;&gt;"",-tbl_main[[#This Row],[Debit]],tbl_main[[#This Row],[Credit]])</f>
        <v>-40</v>
      </c>
      <c r="J28">
        <f>YEAR(tbl_main[[#This Row],[Date]])</f>
        <v>2021</v>
      </c>
      <c r="K28" t="str">
        <f>TEXT(tbl_main[[#This Row],[Date]],"mmm")</f>
        <v>Jan</v>
      </c>
    </row>
    <row r="29" spans="1:11" x14ac:dyDescent="0.25">
      <c r="A29" t="s">
        <v>4</v>
      </c>
      <c r="B29" s="1">
        <v>44216</v>
      </c>
      <c r="C29" t="s">
        <v>44</v>
      </c>
      <c r="D29" t="s">
        <v>45</v>
      </c>
      <c r="E29" t="s">
        <v>30</v>
      </c>
      <c r="F29" t="s">
        <v>16</v>
      </c>
      <c r="G29">
        <v>45</v>
      </c>
      <c r="I29">
        <f>IF(tbl_main[[#This Row],[Debit]]&lt;&gt;"",-tbl_main[[#This Row],[Debit]],tbl_main[[#This Row],[Credit]])</f>
        <v>-45</v>
      </c>
      <c r="J29">
        <f>YEAR(tbl_main[[#This Row],[Date]])</f>
        <v>2021</v>
      </c>
      <c r="K29" t="str">
        <f>TEXT(tbl_main[[#This Row],[Date]],"mmm")</f>
        <v>Jan</v>
      </c>
    </row>
    <row r="30" spans="1:11" x14ac:dyDescent="0.25">
      <c r="A30" t="s">
        <v>4</v>
      </c>
      <c r="B30" s="1">
        <v>44216</v>
      </c>
      <c r="C30" t="s">
        <v>46</v>
      </c>
      <c r="D30" t="s">
        <v>21</v>
      </c>
      <c r="E30" t="s">
        <v>30</v>
      </c>
      <c r="F30" t="s">
        <v>16</v>
      </c>
      <c r="G30">
        <v>32</v>
      </c>
      <c r="I30">
        <f>IF(tbl_main[[#This Row],[Debit]]&lt;&gt;"",-tbl_main[[#This Row],[Debit]],tbl_main[[#This Row],[Credit]])</f>
        <v>-32</v>
      </c>
      <c r="J30">
        <f>YEAR(tbl_main[[#This Row],[Date]])</f>
        <v>2021</v>
      </c>
      <c r="K30" t="str">
        <f>TEXT(tbl_main[[#This Row],[Date]],"mmm")</f>
        <v>Jan</v>
      </c>
    </row>
    <row r="31" spans="1:11" x14ac:dyDescent="0.25">
      <c r="A31" t="s">
        <v>4</v>
      </c>
      <c r="B31" s="1">
        <v>44216</v>
      </c>
      <c r="C31" t="s">
        <v>13</v>
      </c>
      <c r="D31" t="s">
        <v>14</v>
      </c>
      <c r="E31" t="s">
        <v>15</v>
      </c>
      <c r="F31" t="s">
        <v>16</v>
      </c>
      <c r="G31">
        <v>5</v>
      </c>
      <c r="I31">
        <f>IF(tbl_main[[#This Row],[Debit]]&lt;&gt;"",-tbl_main[[#This Row],[Debit]],tbl_main[[#This Row],[Credit]])</f>
        <v>-5</v>
      </c>
      <c r="J31">
        <f>YEAR(tbl_main[[#This Row],[Date]])</f>
        <v>2021</v>
      </c>
      <c r="K31" t="str">
        <f>TEXT(tbl_main[[#This Row],[Date]],"mmm")</f>
        <v>Jan</v>
      </c>
    </row>
    <row r="32" spans="1:11" x14ac:dyDescent="0.25">
      <c r="A32" t="s">
        <v>4</v>
      </c>
      <c r="B32" s="1">
        <v>44217</v>
      </c>
      <c r="C32" t="s">
        <v>13</v>
      </c>
      <c r="D32" t="s">
        <v>14</v>
      </c>
      <c r="E32" t="s">
        <v>15</v>
      </c>
      <c r="F32" t="s">
        <v>16</v>
      </c>
      <c r="G32">
        <v>5</v>
      </c>
      <c r="I32">
        <f>IF(tbl_main[[#This Row],[Debit]]&lt;&gt;"",-tbl_main[[#This Row],[Debit]],tbl_main[[#This Row],[Credit]])</f>
        <v>-5</v>
      </c>
      <c r="J32">
        <f>YEAR(tbl_main[[#This Row],[Date]])</f>
        <v>2021</v>
      </c>
      <c r="K32" t="str">
        <f>TEXT(tbl_main[[#This Row],[Date]],"mmm")</f>
        <v>Jan</v>
      </c>
    </row>
    <row r="33" spans="1:11" x14ac:dyDescent="0.25">
      <c r="A33" t="s">
        <v>4</v>
      </c>
      <c r="B33" s="1">
        <v>44218</v>
      </c>
      <c r="C33" t="s">
        <v>13</v>
      </c>
      <c r="D33" t="s">
        <v>14</v>
      </c>
      <c r="E33" t="s">
        <v>15</v>
      </c>
      <c r="F33" t="s">
        <v>16</v>
      </c>
      <c r="G33">
        <v>5</v>
      </c>
      <c r="I33">
        <f>IF(tbl_main[[#This Row],[Debit]]&lt;&gt;"",-tbl_main[[#This Row],[Debit]],tbl_main[[#This Row],[Credit]])</f>
        <v>-5</v>
      </c>
      <c r="J33">
        <f>YEAR(tbl_main[[#This Row],[Date]])</f>
        <v>2021</v>
      </c>
      <c r="K33" t="str">
        <f>TEXT(tbl_main[[#This Row],[Date]],"mmm")</f>
        <v>Jan</v>
      </c>
    </row>
    <row r="34" spans="1:11" x14ac:dyDescent="0.25">
      <c r="A34" t="s">
        <v>4</v>
      </c>
      <c r="B34" s="1">
        <v>44218</v>
      </c>
      <c r="C34" t="s">
        <v>23</v>
      </c>
      <c r="D34" t="s">
        <v>24</v>
      </c>
      <c r="E34" t="s">
        <v>19</v>
      </c>
      <c r="F34" t="s">
        <v>16</v>
      </c>
      <c r="G34">
        <v>170</v>
      </c>
      <c r="I34">
        <f>IF(tbl_main[[#This Row],[Debit]]&lt;&gt;"",-tbl_main[[#This Row],[Debit]],tbl_main[[#This Row],[Credit]])</f>
        <v>-170</v>
      </c>
      <c r="J34">
        <f>YEAR(tbl_main[[#This Row],[Date]])</f>
        <v>2021</v>
      </c>
      <c r="K34" t="str">
        <f>TEXT(tbl_main[[#This Row],[Date]],"mmm")</f>
        <v>Jan</v>
      </c>
    </row>
    <row r="35" spans="1:11" x14ac:dyDescent="0.25">
      <c r="A35" t="s">
        <v>4</v>
      </c>
      <c r="B35" s="1">
        <v>44219</v>
      </c>
      <c r="C35" t="s">
        <v>47</v>
      </c>
      <c r="D35" t="s">
        <v>34</v>
      </c>
      <c r="E35" t="s">
        <v>15</v>
      </c>
      <c r="F35" t="s">
        <v>16</v>
      </c>
      <c r="G35">
        <v>37</v>
      </c>
      <c r="I35">
        <f>IF(tbl_main[[#This Row],[Debit]]&lt;&gt;"",-tbl_main[[#This Row],[Debit]],tbl_main[[#This Row],[Credit]])</f>
        <v>-37</v>
      </c>
      <c r="J35">
        <f>YEAR(tbl_main[[#This Row],[Date]])</f>
        <v>2021</v>
      </c>
      <c r="K35" t="str">
        <f>TEXT(tbl_main[[#This Row],[Date]],"mmm")</f>
        <v>Jan</v>
      </c>
    </row>
    <row r="36" spans="1:11" x14ac:dyDescent="0.25">
      <c r="A36" t="s">
        <v>4</v>
      </c>
      <c r="B36" s="1">
        <v>44220</v>
      </c>
      <c r="C36" t="s">
        <v>48</v>
      </c>
      <c r="D36" t="s">
        <v>34</v>
      </c>
      <c r="E36" t="s">
        <v>15</v>
      </c>
      <c r="F36" t="s">
        <v>16</v>
      </c>
      <c r="G36">
        <v>12</v>
      </c>
      <c r="I36">
        <f>IF(tbl_main[[#This Row],[Debit]]&lt;&gt;"",-tbl_main[[#This Row],[Debit]],tbl_main[[#This Row],[Credit]])</f>
        <v>-12</v>
      </c>
      <c r="J36">
        <f>YEAR(tbl_main[[#This Row],[Date]])</f>
        <v>2021</v>
      </c>
      <c r="K36" t="str">
        <f>TEXT(tbl_main[[#This Row],[Date]],"mmm")</f>
        <v>Jan</v>
      </c>
    </row>
    <row r="37" spans="1:11" x14ac:dyDescent="0.25">
      <c r="A37" t="s">
        <v>9</v>
      </c>
      <c r="B37" s="1">
        <v>44221</v>
      </c>
      <c r="C37" t="s">
        <v>49</v>
      </c>
      <c r="D37" t="s">
        <v>50</v>
      </c>
      <c r="E37" t="s">
        <v>51</v>
      </c>
      <c r="F37" t="s">
        <v>16</v>
      </c>
      <c r="G37">
        <v>70</v>
      </c>
      <c r="I37">
        <f>IF(tbl_main[[#This Row],[Debit]]&lt;&gt;"",-tbl_main[[#This Row],[Debit]],tbl_main[[#This Row],[Credit]])</f>
        <v>-70</v>
      </c>
      <c r="J37">
        <f>YEAR(tbl_main[[#This Row],[Date]])</f>
        <v>2021</v>
      </c>
      <c r="K37" t="str">
        <f>TEXT(tbl_main[[#This Row],[Date]],"mmm")</f>
        <v>Jan</v>
      </c>
    </row>
    <row r="38" spans="1:11" x14ac:dyDescent="0.25">
      <c r="A38" t="s">
        <v>4</v>
      </c>
      <c r="B38" s="1">
        <v>44221</v>
      </c>
      <c r="C38" t="s">
        <v>27</v>
      </c>
      <c r="D38" t="s">
        <v>28</v>
      </c>
      <c r="E38" t="s">
        <v>22</v>
      </c>
      <c r="F38" t="s">
        <v>16</v>
      </c>
      <c r="G38">
        <v>63</v>
      </c>
      <c r="I38">
        <f>IF(tbl_main[[#This Row],[Debit]]&lt;&gt;"",-tbl_main[[#This Row],[Debit]],tbl_main[[#This Row],[Credit]])</f>
        <v>-63</v>
      </c>
      <c r="J38">
        <f>YEAR(tbl_main[[#This Row],[Date]])</f>
        <v>2021</v>
      </c>
      <c r="K38" t="str">
        <f>TEXT(tbl_main[[#This Row],[Date]],"mmm")</f>
        <v>Jan</v>
      </c>
    </row>
    <row r="39" spans="1:11" x14ac:dyDescent="0.25">
      <c r="A39" t="s">
        <v>4</v>
      </c>
      <c r="B39" s="1">
        <v>44221</v>
      </c>
      <c r="C39" t="s">
        <v>13</v>
      </c>
      <c r="D39" t="s">
        <v>14</v>
      </c>
      <c r="E39" t="s">
        <v>15</v>
      </c>
      <c r="F39" t="s">
        <v>16</v>
      </c>
      <c r="G39">
        <v>5</v>
      </c>
      <c r="I39">
        <f>IF(tbl_main[[#This Row],[Debit]]&lt;&gt;"",-tbl_main[[#This Row],[Debit]],tbl_main[[#This Row],[Credit]])</f>
        <v>-5</v>
      </c>
      <c r="J39">
        <f>YEAR(tbl_main[[#This Row],[Date]])</f>
        <v>2021</v>
      </c>
      <c r="K39" t="str">
        <f>TEXT(tbl_main[[#This Row],[Date]],"mmm")</f>
        <v>Jan</v>
      </c>
    </row>
    <row r="40" spans="1:11" x14ac:dyDescent="0.25">
      <c r="A40" t="s">
        <v>4</v>
      </c>
      <c r="B40" s="1">
        <v>44222</v>
      </c>
      <c r="C40" t="s">
        <v>13</v>
      </c>
      <c r="D40" t="s">
        <v>14</v>
      </c>
      <c r="E40" t="s">
        <v>15</v>
      </c>
      <c r="F40" t="s">
        <v>16</v>
      </c>
      <c r="G40">
        <v>5</v>
      </c>
      <c r="I40">
        <f>IF(tbl_main[[#This Row],[Debit]]&lt;&gt;"",-tbl_main[[#This Row],[Debit]],tbl_main[[#This Row],[Credit]])</f>
        <v>-5</v>
      </c>
      <c r="J40">
        <f>YEAR(tbl_main[[#This Row],[Date]])</f>
        <v>2021</v>
      </c>
      <c r="K40" t="str">
        <f>TEXT(tbl_main[[#This Row],[Date]],"mmm")</f>
        <v>Jan</v>
      </c>
    </row>
    <row r="41" spans="1:11" x14ac:dyDescent="0.25">
      <c r="A41" t="s">
        <v>4</v>
      </c>
      <c r="B41" s="1">
        <v>44223</v>
      </c>
      <c r="C41" t="s">
        <v>13</v>
      </c>
      <c r="D41" t="s">
        <v>14</v>
      </c>
      <c r="E41" t="s">
        <v>15</v>
      </c>
      <c r="F41" t="s">
        <v>16</v>
      </c>
      <c r="G41">
        <v>5</v>
      </c>
      <c r="I41">
        <f>IF(tbl_main[[#This Row],[Debit]]&lt;&gt;"",-tbl_main[[#This Row],[Debit]],tbl_main[[#This Row],[Credit]])</f>
        <v>-5</v>
      </c>
      <c r="J41">
        <f>YEAR(tbl_main[[#This Row],[Date]])</f>
        <v>2021</v>
      </c>
      <c r="K41" t="str">
        <f>TEXT(tbl_main[[#This Row],[Date]],"mmm")</f>
        <v>Jan</v>
      </c>
    </row>
    <row r="42" spans="1:11" x14ac:dyDescent="0.25">
      <c r="A42" t="s">
        <v>4</v>
      </c>
      <c r="B42" s="1">
        <v>44224</v>
      </c>
      <c r="C42" t="s">
        <v>13</v>
      </c>
      <c r="D42" t="s">
        <v>14</v>
      </c>
      <c r="E42" t="s">
        <v>15</v>
      </c>
      <c r="F42" t="s">
        <v>16</v>
      </c>
      <c r="G42">
        <v>5</v>
      </c>
      <c r="I42">
        <f>IF(tbl_main[[#This Row],[Debit]]&lt;&gt;"",-tbl_main[[#This Row],[Debit]],tbl_main[[#This Row],[Credit]])</f>
        <v>-5</v>
      </c>
      <c r="J42">
        <f>YEAR(tbl_main[[#This Row],[Date]])</f>
        <v>2021</v>
      </c>
      <c r="K42" t="str">
        <f>TEXT(tbl_main[[#This Row],[Date]],"mmm")</f>
        <v>Jan</v>
      </c>
    </row>
    <row r="43" spans="1:11" x14ac:dyDescent="0.25">
      <c r="A43" t="s">
        <v>4</v>
      </c>
      <c r="B43" s="1">
        <v>44225</v>
      </c>
      <c r="C43" t="s">
        <v>13</v>
      </c>
      <c r="D43" t="s">
        <v>14</v>
      </c>
      <c r="E43" t="s">
        <v>15</v>
      </c>
      <c r="F43" t="s">
        <v>16</v>
      </c>
      <c r="G43">
        <v>5</v>
      </c>
      <c r="I43">
        <f>IF(tbl_main[[#This Row],[Debit]]&lt;&gt;"",-tbl_main[[#This Row],[Debit]],tbl_main[[#This Row],[Credit]])</f>
        <v>-5</v>
      </c>
      <c r="J43">
        <f>YEAR(tbl_main[[#This Row],[Date]])</f>
        <v>2021</v>
      </c>
      <c r="K43" t="str">
        <f>TEXT(tbl_main[[#This Row],[Date]],"mmm")</f>
        <v>Jan</v>
      </c>
    </row>
    <row r="44" spans="1:11" x14ac:dyDescent="0.25">
      <c r="A44" t="s">
        <v>4</v>
      </c>
      <c r="B44" s="1">
        <v>44225</v>
      </c>
      <c r="C44" t="s">
        <v>23</v>
      </c>
      <c r="D44" t="s">
        <v>24</v>
      </c>
      <c r="E44" t="s">
        <v>19</v>
      </c>
      <c r="F44" t="s">
        <v>16</v>
      </c>
      <c r="G44">
        <v>162</v>
      </c>
      <c r="I44">
        <f>IF(tbl_main[[#This Row],[Debit]]&lt;&gt;"",-tbl_main[[#This Row],[Debit]],tbl_main[[#This Row],[Credit]])</f>
        <v>-162</v>
      </c>
      <c r="J44">
        <f>YEAR(tbl_main[[#This Row],[Date]])</f>
        <v>2021</v>
      </c>
      <c r="K44" t="str">
        <f>TEXT(tbl_main[[#This Row],[Date]],"mmm")</f>
        <v>Jan</v>
      </c>
    </row>
    <row r="45" spans="1:11" x14ac:dyDescent="0.25">
      <c r="A45" t="s">
        <v>4</v>
      </c>
      <c r="B45" s="1">
        <v>44226</v>
      </c>
      <c r="C45" t="s">
        <v>52</v>
      </c>
      <c r="D45" t="s">
        <v>32</v>
      </c>
      <c r="E45" t="s">
        <v>30</v>
      </c>
      <c r="F45" t="s">
        <v>16</v>
      </c>
      <c r="G45">
        <v>125</v>
      </c>
      <c r="I45">
        <f>IF(tbl_main[[#This Row],[Debit]]&lt;&gt;"",-tbl_main[[#This Row],[Debit]],tbl_main[[#This Row],[Credit]])</f>
        <v>-125</v>
      </c>
      <c r="J45">
        <f>YEAR(tbl_main[[#This Row],[Date]])</f>
        <v>2021</v>
      </c>
      <c r="K45" t="str">
        <f>TEXT(tbl_main[[#This Row],[Date]],"mmm")</f>
        <v>Jan</v>
      </c>
    </row>
    <row r="46" spans="1:11" x14ac:dyDescent="0.25">
      <c r="A46" t="s">
        <v>4</v>
      </c>
      <c r="B46" s="1">
        <v>44226</v>
      </c>
      <c r="C46" t="s">
        <v>53</v>
      </c>
      <c r="D46" t="s">
        <v>21</v>
      </c>
      <c r="E46" t="s">
        <v>30</v>
      </c>
      <c r="F46" t="s">
        <v>16</v>
      </c>
      <c r="G46">
        <v>175</v>
      </c>
      <c r="I46">
        <f>IF(tbl_main[[#This Row],[Debit]]&lt;&gt;"",-tbl_main[[#This Row],[Debit]],tbl_main[[#This Row],[Credit]])</f>
        <v>-175</v>
      </c>
      <c r="J46">
        <f>YEAR(tbl_main[[#This Row],[Date]])</f>
        <v>2021</v>
      </c>
      <c r="K46" t="str">
        <f>TEXT(tbl_main[[#This Row],[Date]],"mmm")</f>
        <v>Jan</v>
      </c>
    </row>
    <row r="47" spans="1:11" x14ac:dyDescent="0.25">
      <c r="A47" t="s">
        <v>4</v>
      </c>
      <c r="B47" s="1">
        <v>44227</v>
      </c>
      <c r="C47" t="s">
        <v>31</v>
      </c>
      <c r="D47" t="s">
        <v>32</v>
      </c>
      <c r="E47" t="s">
        <v>30</v>
      </c>
      <c r="F47" t="s">
        <v>16</v>
      </c>
      <c r="G47">
        <v>145</v>
      </c>
      <c r="I47">
        <f>IF(tbl_main[[#This Row],[Debit]]&lt;&gt;"",-tbl_main[[#This Row],[Debit]],tbl_main[[#This Row],[Credit]])</f>
        <v>-145</v>
      </c>
      <c r="J47">
        <f>YEAR(tbl_main[[#This Row],[Date]])</f>
        <v>2021</v>
      </c>
      <c r="K47" t="str">
        <f>TEXT(tbl_main[[#This Row],[Date]],"mmm")</f>
        <v>Jan</v>
      </c>
    </row>
    <row r="48" spans="1:11" x14ac:dyDescent="0.25">
      <c r="A48" t="s">
        <v>4</v>
      </c>
      <c r="B48" s="1">
        <v>44227</v>
      </c>
      <c r="C48" t="s">
        <v>35</v>
      </c>
      <c r="D48" t="s">
        <v>36</v>
      </c>
      <c r="E48" t="s">
        <v>22</v>
      </c>
      <c r="F48" t="s">
        <v>16</v>
      </c>
      <c r="G48">
        <v>23</v>
      </c>
      <c r="I48">
        <f>IF(tbl_main[[#This Row],[Debit]]&lt;&gt;"",-tbl_main[[#This Row],[Debit]],tbl_main[[#This Row],[Credit]])</f>
        <v>-23</v>
      </c>
      <c r="J48">
        <f>YEAR(tbl_main[[#This Row],[Date]])</f>
        <v>2021</v>
      </c>
      <c r="K48" t="str">
        <f>TEXT(tbl_main[[#This Row],[Date]],"mmm")</f>
        <v>Jan</v>
      </c>
    </row>
    <row r="49" spans="1:11" x14ac:dyDescent="0.25">
      <c r="A49" t="s">
        <v>9</v>
      </c>
      <c r="B49" s="1">
        <v>44228</v>
      </c>
      <c r="C49" t="s">
        <v>10</v>
      </c>
      <c r="D49" t="s">
        <v>11</v>
      </c>
      <c r="E49" t="s">
        <v>11</v>
      </c>
      <c r="F49" t="s">
        <v>12</v>
      </c>
      <c r="H49">
        <v>4000</v>
      </c>
      <c r="I49">
        <f>IF(tbl_main[[#This Row],[Debit]]&lt;&gt;"",-tbl_main[[#This Row],[Debit]],tbl_main[[#This Row],[Credit]])</f>
        <v>4000</v>
      </c>
      <c r="J49">
        <f>YEAR(tbl_main[[#This Row],[Date]])</f>
        <v>2021</v>
      </c>
      <c r="K49" t="str">
        <f>TEXT(tbl_main[[#This Row],[Date]],"mmm")</f>
        <v>Feb</v>
      </c>
    </row>
    <row r="50" spans="1:11" x14ac:dyDescent="0.25">
      <c r="A50" t="s">
        <v>4</v>
      </c>
      <c r="B50" s="1">
        <v>44228</v>
      </c>
      <c r="C50" t="s">
        <v>13</v>
      </c>
      <c r="D50" t="s">
        <v>14</v>
      </c>
      <c r="E50" t="s">
        <v>15</v>
      </c>
      <c r="F50" t="s">
        <v>16</v>
      </c>
      <c r="G50">
        <v>5</v>
      </c>
      <c r="I50">
        <f>IF(tbl_main[[#This Row],[Debit]]&lt;&gt;"",-tbl_main[[#This Row],[Debit]],tbl_main[[#This Row],[Credit]])</f>
        <v>-5</v>
      </c>
      <c r="J50">
        <f>YEAR(tbl_main[[#This Row],[Date]])</f>
        <v>2021</v>
      </c>
      <c r="K50" t="str">
        <f>TEXT(tbl_main[[#This Row],[Date]],"mmm")</f>
        <v>Feb</v>
      </c>
    </row>
    <row r="51" spans="1:11" x14ac:dyDescent="0.25">
      <c r="A51" t="s">
        <v>9</v>
      </c>
      <c r="B51" s="1">
        <v>44229</v>
      </c>
      <c r="C51" t="s">
        <v>17</v>
      </c>
      <c r="D51" t="s">
        <v>18</v>
      </c>
      <c r="E51" t="s">
        <v>19</v>
      </c>
      <c r="F51" t="s">
        <v>16</v>
      </c>
      <c r="G51">
        <v>900</v>
      </c>
      <c r="I51">
        <f>IF(tbl_main[[#This Row],[Debit]]&lt;&gt;"",-tbl_main[[#This Row],[Debit]],tbl_main[[#This Row],[Credit]])</f>
        <v>-900</v>
      </c>
      <c r="J51">
        <f>YEAR(tbl_main[[#This Row],[Date]])</f>
        <v>2021</v>
      </c>
      <c r="K51" t="str">
        <f>TEXT(tbl_main[[#This Row],[Date]],"mmm")</f>
        <v>Feb</v>
      </c>
    </row>
    <row r="52" spans="1:11" x14ac:dyDescent="0.25">
      <c r="A52" t="s">
        <v>9</v>
      </c>
      <c r="B52" s="1">
        <v>44229</v>
      </c>
      <c r="C52" t="s">
        <v>20</v>
      </c>
      <c r="D52" t="s">
        <v>21</v>
      </c>
      <c r="E52" t="s">
        <v>22</v>
      </c>
      <c r="F52" t="s">
        <v>16</v>
      </c>
      <c r="G52">
        <v>150</v>
      </c>
      <c r="I52">
        <f>IF(tbl_main[[#This Row],[Debit]]&lt;&gt;"",-tbl_main[[#This Row],[Debit]],tbl_main[[#This Row],[Credit]])</f>
        <v>-150</v>
      </c>
      <c r="J52">
        <f>YEAR(tbl_main[[#This Row],[Date]])</f>
        <v>2021</v>
      </c>
      <c r="K52" t="str">
        <f>TEXT(tbl_main[[#This Row],[Date]],"mmm")</f>
        <v>Feb</v>
      </c>
    </row>
    <row r="53" spans="1:11" x14ac:dyDescent="0.25">
      <c r="A53" t="s">
        <v>4</v>
      </c>
      <c r="B53" s="1">
        <v>44229</v>
      </c>
      <c r="C53" t="s">
        <v>13</v>
      </c>
      <c r="D53" t="s">
        <v>14</v>
      </c>
      <c r="E53" t="s">
        <v>15</v>
      </c>
      <c r="F53" t="s">
        <v>16</v>
      </c>
      <c r="G53">
        <v>5</v>
      </c>
      <c r="I53">
        <f>IF(tbl_main[[#This Row],[Debit]]&lt;&gt;"",-tbl_main[[#This Row],[Debit]],tbl_main[[#This Row],[Credit]])</f>
        <v>-5</v>
      </c>
      <c r="J53">
        <f>YEAR(tbl_main[[#This Row],[Date]])</f>
        <v>2021</v>
      </c>
      <c r="K53" t="str">
        <f>TEXT(tbl_main[[#This Row],[Date]],"mmm")</f>
        <v>Feb</v>
      </c>
    </row>
    <row r="54" spans="1:11" x14ac:dyDescent="0.25">
      <c r="A54" t="s">
        <v>4</v>
      </c>
      <c r="B54" s="1">
        <v>44230</v>
      </c>
      <c r="C54" t="s">
        <v>13</v>
      </c>
      <c r="D54" t="s">
        <v>14</v>
      </c>
      <c r="E54" t="s">
        <v>15</v>
      </c>
      <c r="F54" t="s">
        <v>16</v>
      </c>
      <c r="G54">
        <v>5</v>
      </c>
      <c r="I54">
        <f>IF(tbl_main[[#This Row],[Debit]]&lt;&gt;"",-tbl_main[[#This Row],[Debit]],tbl_main[[#This Row],[Credit]])</f>
        <v>-5</v>
      </c>
      <c r="J54">
        <f>YEAR(tbl_main[[#This Row],[Date]])</f>
        <v>2021</v>
      </c>
      <c r="K54" t="str">
        <f>TEXT(tbl_main[[#This Row],[Date]],"mmm")</f>
        <v>Feb</v>
      </c>
    </row>
    <row r="55" spans="1:11" x14ac:dyDescent="0.25">
      <c r="A55" t="s">
        <v>4</v>
      </c>
      <c r="B55" s="1">
        <v>44231</v>
      </c>
      <c r="C55" t="s">
        <v>13</v>
      </c>
      <c r="D55" t="s">
        <v>14</v>
      </c>
      <c r="E55" t="s">
        <v>15</v>
      </c>
      <c r="F55" t="s">
        <v>16</v>
      </c>
      <c r="G55">
        <v>5</v>
      </c>
      <c r="I55">
        <f>IF(tbl_main[[#This Row],[Debit]]&lt;&gt;"",-tbl_main[[#This Row],[Debit]],tbl_main[[#This Row],[Credit]])</f>
        <v>-5</v>
      </c>
      <c r="J55">
        <f>YEAR(tbl_main[[#This Row],[Date]])</f>
        <v>2021</v>
      </c>
      <c r="K55" t="str">
        <f>TEXT(tbl_main[[#This Row],[Date]],"mmm")</f>
        <v>Feb</v>
      </c>
    </row>
    <row r="56" spans="1:11" x14ac:dyDescent="0.25">
      <c r="A56" t="s">
        <v>4</v>
      </c>
      <c r="B56" s="1">
        <v>44232</v>
      </c>
      <c r="C56" t="s">
        <v>13</v>
      </c>
      <c r="D56" t="s">
        <v>14</v>
      </c>
      <c r="E56" t="s">
        <v>15</v>
      </c>
      <c r="F56" t="s">
        <v>16</v>
      </c>
      <c r="G56">
        <v>5</v>
      </c>
      <c r="I56">
        <f>IF(tbl_main[[#This Row],[Debit]]&lt;&gt;"",-tbl_main[[#This Row],[Debit]],tbl_main[[#This Row],[Credit]])</f>
        <v>-5</v>
      </c>
      <c r="J56">
        <f>YEAR(tbl_main[[#This Row],[Date]])</f>
        <v>2021</v>
      </c>
      <c r="K56" t="str">
        <f>TEXT(tbl_main[[#This Row],[Date]],"mmm")</f>
        <v>Feb</v>
      </c>
    </row>
    <row r="57" spans="1:11" x14ac:dyDescent="0.25">
      <c r="A57" t="s">
        <v>4</v>
      </c>
      <c r="B57" s="1">
        <v>44232</v>
      </c>
      <c r="C57" t="s">
        <v>23</v>
      </c>
      <c r="D57" t="s">
        <v>24</v>
      </c>
      <c r="E57" t="s">
        <v>19</v>
      </c>
      <c r="F57" t="s">
        <v>16</v>
      </c>
      <c r="G57">
        <v>205</v>
      </c>
      <c r="I57">
        <f>IF(tbl_main[[#This Row],[Debit]]&lt;&gt;"",-tbl_main[[#This Row],[Debit]],tbl_main[[#This Row],[Credit]])</f>
        <v>-205</v>
      </c>
      <c r="J57">
        <f>YEAR(tbl_main[[#This Row],[Date]])</f>
        <v>2021</v>
      </c>
      <c r="K57" t="str">
        <f>TEXT(tbl_main[[#This Row],[Date]],"mmm")</f>
        <v>Feb</v>
      </c>
    </row>
    <row r="58" spans="1:11" x14ac:dyDescent="0.25">
      <c r="A58" t="s">
        <v>9</v>
      </c>
      <c r="B58" s="1">
        <v>44235</v>
      </c>
      <c r="C58" t="s">
        <v>25</v>
      </c>
      <c r="D58" t="s">
        <v>26</v>
      </c>
      <c r="E58" t="s">
        <v>19</v>
      </c>
      <c r="F58" t="s">
        <v>16</v>
      </c>
      <c r="G58">
        <v>51.1</v>
      </c>
      <c r="I58">
        <f>IF(tbl_main[[#This Row],[Debit]]&lt;&gt;"",-tbl_main[[#This Row],[Debit]],tbl_main[[#This Row],[Credit]])</f>
        <v>-51.1</v>
      </c>
      <c r="J58">
        <f>YEAR(tbl_main[[#This Row],[Date]])</f>
        <v>2021</v>
      </c>
      <c r="K58" t="str">
        <f>TEXT(tbl_main[[#This Row],[Date]],"mmm")</f>
        <v>Feb</v>
      </c>
    </row>
    <row r="59" spans="1:11" x14ac:dyDescent="0.25">
      <c r="A59" t="s">
        <v>4</v>
      </c>
      <c r="B59" s="1">
        <v>44235</v>
      </c>
      <c r="C59" t="s">
        <v>13</v>
      </c>
      <c r="D59" t="s">
        <v>14</v>
      </c>
      <c r="E59" t="s">
        <v>15</v>
      </c>
      <c r="F59" t="s">
        <v>16</v>
      </c>
      <c r="G59">
        <v>5</v>
      </c>
      <c r="I59">
        <f>IF(tbl_main[[#This Row],[Debit]]&lt;&gt;"",-tbl_main[[#This Row],[Debit]],tbl_main[[#This Row],[Credit]])</f>
        <v>-5</v>
      </c>
      <c r="J59">
        <f>YEAR(tbl_main[[#This Row],[Date]])</f>
        <v>2021</v>
      </c>
      <c r="K59" t="str">
        <f>TEXT(tbl_main[[#This Row],[Date]],"mmm")</f>
        <v>Feb</v>
      </c>
    </row>
    <row r="60" spans="1:11" x14ac:dyDescent="0.25">
      <c r="A60" t="s">
        <v>4</v>
      </c>
      <c r="B60" s="1">
        <v>44236</v>
      </c>
      <c r="C60" t="s">
        <v>13</v>
      </c>
      <c r="D60" t="s">
        <v>14</v>
      </c>
      <c r="E60" t="s">
        <v>15</v>
      </c>
      <c r="F60" t="s">
        <v>16</v>
      </c>
      <c r="G60">
        <v>5</v>
      </c>
      <c r="I60">
        <f>IF(tbl_main[[#This Row],[Debit]]&lt;&gt;"",-tbl_main[[#This Row],[Debit]],tbl_main[[#This Row],[Credit]])</f>
        <v>-5</v>
      </c>
      <c r="J60">
        <f>YEAR(tbl_main[[#This Row],[Date]])</f>
        <v>2021</v>
      </c>
      <c r="K60" t="str">
        <f>TEXT(tbl_main[[#This Row],[Date]],"mmm")</f>
        <v>Feb</v>
      </c>
    </row>
    <row r="61" spans="1:11" x14ac:dyDescent="0.25">
      <c r="A61" t="s">
        <v>4</v>
      </c>
      <c r="B61" s="1">
        <v>44237</v>
      </c>
      <c r="C61" t="s">
        <v>27</v>
      </c>
      <c r="D61" t="s">
        <v>28</v>
      </c>
      <c r="E61" t="s">
        <v>22</v>
      </c>
      <c r="F61" t="s">
        <v>16</v>
      </c>
      <c r="G61">
        <v>78</v>
      </c>
      <c r="I61">
        <f>IF(tbl_main[[#This Row],[Debit]]&lt;&gt;"",-tbl_main[[#This Row],[Debit]],tbl_main[[#This Row],[Credit]])</f>
        <v>-78</v>
      </c>
      <c r="J61">
        <f>YEAR(tbl_main[[#This Row],[Date]])</f>
        <v>2021</v>
      </c>
      <c r="K61" t="str">
        <f>TEXT(tbl_main[[#This Row],[Date]],"mmm")</f>
        <v>Feb</v>
      </c>
    </row>
    <row r="62" spans="1:11" x14ac:dyDescent="0.25">
      <c r="A62" t="s">
        <v>4</v>
      </c>
      <c r="B62" s="1">
        <v>44237</v>
      </c>
      <c r="C62" t="s">
        <v>13</v>
      </c>
      <c r="D62" t="s">
        <v>14</v>
      </c>
      <c r="E62" t="s">
        <v>15</v>
      </c>
      <c r="F62" t="s">
        <v>16</v>
      </c>
      <c r="G62">
        <v>5</v>
      </c>
      <c r="I62">
        <f>IF(tbl_main[[#This Row],[Debit]]&lt;&gt;"",-tbl_main[[#This Row],[Debit]],tbl_main[[#This Row],[Credit]])</f>
        <v>-5</v>
      </c>
      <c r="J62">
        <f>YEAR(tbl_main[[#This Row],[Date]])</f>
        <v>2021</v>
      </c>
      <c r="K62" t="str">
        <f>TEXT(tbl_main[[#This Row],[Date]],"mmm")</f>
        <v>Feb</v>
      </c>
    </row>
    <row r="63" spans="1:11" x14ac:dyDescent="0.25">
      <c r="A63" t="s">
        <v>4</v>
      </c>
      <c r="B63" s="1">
        <v>44238</v>
      </c>
      <c r="C63" t="s">
        <v>13</v>
      </c>
      <c r="D63" t="s">
        <v>14</v>
      </c>
      <c r="E63" t="s">
        <v>15</v>
      </c>
      <c r="F63" t="s">
        <v>16</v>
      </c>
      <c r="G63">
        <v>5</v>
      </c>
      <c r="I63">
        <f>IF(tbl_main[[#This Row],[Debit]]&lt;&gt;"",-tbl_main[[#This Row],[Debit]],tbl_main[[#This Row],[Credit]])</f>
        <v>-5</v>
      </c>
      <c r="J63">
        <f>YEAR(tbl_main[[#This Row],[Date]])</f>
        <v>2021</v>
      </c>
      <c r="K63" t="str">
        <f>TEXT(tbl_main[[#This Row],[Date]],"mmm")</f>
        <v>Feb</v>
      </c>
    </row>
    <row r="64" spans="1:11" x14ac:dyDescent="0.25">
      <c r="A64" t="s">
        <v>4</v>
      </c>
      <c r="B64" s="1">
        <v>44239</v>
      </c>
      <c r="C64" t="s">
        <v>23</v>
      </c>
      <c r="D64" t="s">
        <v>24</v>
      </c>
      <c r="E64" t="s">
        <v>19</v>
      </c>
      <c r="F64" t="s">
        <v>16</v>
      </c>
      <c r="G64">
        <v>135.9</v>
      </c>
      <c r="I64">
        <f>IF(tbl_main[[#This Row],[Debit]]&lt;&gt;"",-tbl_main[[#This Row],[Debit]],tbl_main[[#This Row],[Credit]])</f>
        <v>-135.9</v>
      </c>
      <c r="J64">
        <f>YEAR(tbl_main[[#This Row],[Date]])</f>
        <v>2021</v>
      </c>
      <c r="K64" t="str">
        <f>TEXT(tbl_main[[#This Row],[Date]],"mmm")</f>
        <v>Feb</v>
      </c>
    </row>
    <row r="65" spans="1:11" x14ac:dyDescent="0.25">
      <c r="A65" t="s">
        <v>4</v>
      </c>
      <c r="B65" s="1">
        <v>44239</v>
      </c>
      <c r="C65" t="s">
        <v>13</v>
      </c>
      <c r="D65" t="s">
        <v>14</v>
      </c>
      <c r="E65" t="s">
        <v>15</v>
      </c>
      <c r="F65" t="s">
        <v>16</v>
      </c>
      <c r="G65">
        <v>5</v>
      </c>
      <c r="I65">
        <f>IF(tbl_main[[#This Row],[Debit]]&lt;&gt;"",-tbl_main[[#This Row],[Debit]],tbl_main[[#This Row],[Credit]])</f>
        <v>-5</v>
      </c>
      <c r="J65">
        <f>YEAR(tbl_main[[#This Row],[Date]])</f>
        <v>2021</v>
      </c>
      <c r="K65" t="str">
        <f>TEXT(tbl_main[[#This Row],[Date]],"mmm")</f>
        <v>Feb</v>
      </c>
    </row>
    <row r="66" spans="1:11" x14ac:dyDescent="0.25">
      <c r="A66" t="s">
        <v>4</v>
      </c>
      <c r="B66" s="1">
        <v>44240</v>
      </c>
      <c r="C66" t="s">
        <v>13</v>
      </c>
      <c r="D66" t="s">
        <v>14</v>
      </c>
      <c r="E66" t="s">
        <v>15</v>
      </c>
      <c r="F66" t="s">
        <v>16</v>
      </c>
      <c r="G66">
        <v>5</v>
      </c>
      <c r="I66">
        <f>IF(tbl_main[[#This Row],[Debit]]&lt;&gt;"",-tbl_main[[#This Row],[Debit]],tbl_main[[#This Row],[Credit]])</f>
        <v>-5</v>
      </c>
      <c r="J66">
        <f>YEAR(tbl_main[[#This Row],[Date]])</f>
        <v>2021</v>
      </c>
      <c r="K66" t="str">
        <f>TEXT(tbl_main[[#This Row],[Date]],"mmm")</f>
        <v>Feb</v>
      </c>
    </row>
    <row r="67" spans="1:11" x14ac:dyDescent="0.25">
      <c r="A67" t="s">
        <v>4</v>
      </c>
      <c r="B67" s="1">
        <v>44240</v>
      </c>
      <c r="C67" t="s">
        <v>29</v>
      </c>
      <c r="D67" t="s">
        <v>21</v>
      </c>
      <c r="E67" t="s">
        <v>30</v>
      </c>
      <c r="F67" t="s">
        <v>16</v>
      </c>
      <c r="G67">
        <v>40.9</v>
      </c>
      <c r="I67">
        <f>IF(tbl_main[[#This Row],[Debit]]&lt;&gt;"",-tbl_main[[#This Row],[Debit]],tbl_main[[#This Row],[Credit]])</f>
        <v>-40.9</v>
      </c>
      <c r="J67">
        <f>YEAR(tbl_main[[#This Row],[Date]])</f>
        <v>2021</v>
      </c>
      <c r="K67" t="str">
        <f>TEXT(tbl_main[[#This Row],[Date]],"mmm")</f>
        <v>Feb</v>
      </c>
    </row>
    <row r="68" spans="1:11" x14ac:dyDescent="0.25">
      <c r="A68" t="s">
        <v>4</v>
      </c>
      <c r="B68" s="1">
        <v>44240</v>
      </c>
      <c r="C68" t="s">
        <v>31</v>
      </c>
      <c r="D68" t="s">
        <v>32</v>
      </c>
      <c r="E68" t="s">
        <v>30</v>
      </c>
      <c r="F68" t="s">
        <v>16</v>
      </c>
      <c r="G68">
        <v>99</v>
      </c>
      <c r="I68">
        <f>IF(tbl_main[[#This Row],[Debit]]&lt;&gt;"",-tbl_main[[#This Row],[Debit]],tbl_main[[#This Row],[Credit]])</f>
        <v>-99</v>
      </c>
      <c r="J68">
        <f>YEAR(tbl_main[[#This Row],[Date]])</f>
        <v>2021</v>
      </c>
      <c r="K68" t="str">
        <f>TEXT(tbl_main[[#This Row],[Date]],"mmm")</f>
        <v>Feb</v>
      </c>
    </row>
    <row r="69" spans="1:11" x14ac:dyDescent="0.25">
      <c r="A69" t="s">
        <v>4</v>
      </c>
      <c r="B69" s="1">
        <v>44240</v>
      </c>
      <c r="C69" t="s">
        <v>33</v>
      </c>
      <c r="D69" t="s">
        <v>34</v>
      </c>
      <c r="E69" t="s">
        <v>15</v>
      </c>
      <c r="F69" t="s">
        <v>16</v>
      </c>
      <c r="G69">
        <v>53</v>
      </c>
      <c r="I69">
        <f>IF(tbl_main[[#This Row],[Debit]]&lt;&gt;"",-tbl_main[[#This Row],[Debit]],tbl_main[[#This Row],[Credit]])</f>
        <v>-53</v>
      </c>
      <c r="J69">
        <f>YEAR(tbl_main[[#This Row],[Date]])</f>
        <v>2021</v>
      </c>
      <c r="K69" t="str">
        <f>TEXT(tbl_main[[#This Row],[Date]],"mmm")</f>
        <v>Feb</v>
      </c>
    </row>
    <row r="70" spans="1:11" x14ac:dyDescent="0.25">
      <c r="A70" t="s">
        <v>4</v>
      </c>
      <c r="B70" s="1">
        <v>44241</v>
      </c>
      <c r="C70" t="s">
        <v>35</v>
      </c>
      <c r="D70" t="s">
        <v>36</v>
      </c>
      <c r="E70" t="s">
        <v>22</v>
      </c>
      <c r="F70" t="s">
        <v>16</v>
      </c>
      <c r="G70">
        <v>28.9</v>
      </c>
      <c r="I70">
        <f>IF(tbl_main[[#This Row],[Debit]]&lt;&gt;"",-tbl_main[[#This Row],[Debit]],tbl_main[[#This Row],[Credit]])</f>
        <v>-28.9</v>
      </c>
      <c r="J70">
        <f>YEAR(tbl_main[[#This Row],[Date]])</f>
        <v>2021</v>
      </c>
      <c r="K70" t="str">
        <f>TEXT(tbl_main[[#This Row],[Date]],"mmm")</f>
        <v>Feb</v>
      </c>
    </row>
    <row r="71" spans="1:11" x14ac:dyDescent="0.25">
      <c r="A71" t="s">
        <v>9</v>
      </c>
      <c r="B71" s="1">
        <v>44242</v>
      </c>
      <c r="C71" t="s">
        <v>37</v>
      </c>
      <c r="D71" t="s">
        <v>38</v>
      </c>
      <c r="E71" t="s">
        <v>30</v>
      </c>
      <c r="F71" t="s">
        <v>16</v>
      </c>
      <c r="G71">
        <v>30</v>
      </c>
      <c r="I71">
        <f>IF(tbl_main[[#This Row],[Debit]]&lt;&gt;"",-tbl_main[[#This Row],[Debit]],tbl_main[[#This Row],[Credit]])</f>
        <v>-30</v>
      </c>
      <c r="J71">
        <f>YEAR(tbl_main[[#This Row],[Date]])</f>
        <v>2021</v>
      </c>
      <c r="K71" t="str">
        <f>TEXT(tbl_main[[#This Row],[Date]],"mmm")</f>
        <v>Feb</v>
      </c>
    </row>
    <row r="72" spans="1:11" x14ac:dyDescent="0.25">
      <c r="A72" t="s">
        <v>4</v>
      </c>
      <c r="B72" s="1">
        <v>44242</v>
      </c>
      <c r="C72" t="s">
        <v>13</v>
      </c>
      <c r="D72" t="s">
        <v>14</v>
      </c>
      <c r="E72" t="s">
        <v>15</v>
      </c>
      <c r="F72" t="s">
        <v>16</v>
      </c>
      <c r="G72">
        <v>5</v>
      </c>
      <c r="I72">
        <f>IF(tbl_main[[#This Row],[Debit]]&lt;&gt;"",-tbl_main[[#This Row],[Debit]],tbl_main[[#This Row],[Credit]])</f>
        <v>-5</v>
      </c>
      <c r="J72">
        <f>YEAR(tbl_main[[#This Row],[Date]])</f>
        <v>2021</v>
      </c>
      <c r="K72" t="str">
        <f>TEXT(tbl_main[[#This Row],[Date]],"mmm")</f>
        <v>Feb</v>
      </c>
    </row>
    <row r="73" spans="1:11" x14ac:dyDescent="0.25">
      <c r="A73" t="s">
        <v>4</v>
      </c>
      <c r="B73" s="1">
        <v>44243</v>
      </c>
      <c r="C73" t="s">
        <v>13</v>
      </c>
      <c r="D73" t="s">
        <v>14</v>
      </c>
      <c r="E73" t="s">
        <v>15</v>
      </c>
      <c r="F73" t="s">
        <v>16</v>
      </c>
      <c r="G73">
        <v>5</v>
      </c>
      <c r="I73">
        <f>IF(tbl_main[[#This Row],[Debit]]&lt;&gt;"",-tbl_main[[#This Row],[Debit]],tbl_main[[#This Row],[Credit]])</f>
        <v>-5</v>
      </c>
      <c r="J73">
        <f>YEAR(tbl_main[[#This Row],[Date]])</f>
        <v>2021</v>
      </c>
      <c r="K73" t="str">
        <f>TEXT(tbl_main[[#This Row],[Date]],"mmm")</f>
        <v>Feb</v>
      </c>
    </row>
    <row r="74" spans="1:11" x14ac:dyDescent="0.25">
      <c r="A74" t="s">
        <v>9</v>
      </c>
      <c r="B74" s="1">
        <v>44243</v>
      </c>
      <c r="C74" t="s">
        <v>42</v>
      </c>
      <c r="D74" t="s">
        <v>43</v>
      </c>
      <c r="E74" t="s">
        <v>19</v>
      </c>
      <c r="F74" t="s">
        <v>16</v>
      </c>
      <c r="G74">
        <v>40</v>
      </c>
      <c r="I74">
        <f>IF(tbl_main[[#This Row],[Debit]]&lt;&gt;"",-tbl_main[[#This Row],[Debit]],tbl_main[[#This Row],[Credit]])</f>
        <v>-40</v>
      </c>
      <c r="J74">
        <f>YEAR(tbl_main[[#This Row],[Date]])</f>
        <v>2021</v>
      </c>
      <c r="K74" t="str">
        <f>TEXT(tbl_main[[#This Row],[Date]],"mmm")</f>
        <v>Feb</v>
      </c>
    </row>
    <row r="75" spans="1:11" x14ac:dyDescent="0.25">
      <c r="A75" t="s">
        <v>4</v>
      </c>
      <c r="B75" s="1">
        <v>44244</v>
      </c>
      <c r="C75" t="s">
        <v>44</v>
      </c>
      <c r="D75" t="s">
        <v>45</v>
      </c>
      <c r="E75" t="s">
        <v>30</v>
      </c>
      <c r="F75" t="s">
        <v>16</v>
      </c>
      <c r="G75">
        <v>45.9</v>
      </c>
      <c r="I75">
        <f>IF(tbl_main[[#This Row],[Debit]]&lt;&gt;"",-tbl_main[[#This Row],[Debit]],tbl_main[[#This Row],[Credit]])</f>
        <v>-45.9</v>
      </c>
      <c r="J75">
        <f>YEAR(tbl_main[[#This Row],[Date]])</f>
        <v>2021</v>
      </c>
      <c r="K75" t="str">
        <f>TEXT(tbl_main[[#This Row],[Date]],"mmm")</f>
        <v>Feb</v>
      </c>
    </row>
    <row r="76" spans="1:11" x14ac:dyDescent="0.25">
      <c r="A76" t="s">
        <v>4</v>
      </c>
      <c r="B76" s="1">
        <v>44244</v>
      </c>
      <c r="C76" t="s">
        <v>46</v>
      </c>
      <c r="D76" t="s">
        <v>21</v>
      </c>
      <c r="E76" t="s">
        <v>30</v>
      </c>
      <c r="F76" t="s">
        <v>16</v>
      </c>
      <c r="G76">
        <v>35</v>
      </c>
      <c r="I76">
        <f>IF(tbl_main[[#This Row],[Debit]]&lt;&gt;"",-tbl_main[[#This Row],[Debit]],tbl_main[[#This Row],[Credit]])</f>
        <v>-35</v>
      </c>
      <c r="J76">
        <f>YEAR(tbl_main[[#This Row],[Date]])</f>
        <v>2021</v>
      </c>
      <c r="K76" t="str">
        <f>TEXT(tbl_main[[#This Row],[Date]],"mmm")</f>
        <v>Feb</v>
      </c>
    </row>
    <row r="77" spans="1:11" x14ac:dyDescent="0.25">
      <c r="A77" t="s">
        <v>4</v>
      </c>
      <c r="B77" s="1">
        <v>44244</v>
      </c>
      <c r="C77" t="s">
        <v>13</v>
      </c>
      <c r="D77" t="s">
        <v>14</v>
      </c>
      <c r="E77" t="s">
        <v>15</v>
      </c>
      <c r="F77" t="s">
        <v>16</v>
      </c>
      <c r="G77">
        <v>5</v>
      </c>
      <c r="I77">
        <f>IF(tbl_main[[#This Row],[Debit]]&lt;&gt;"",-tbl_main[[#This Row],[Debit]],tbl_main[[#This Row],[Credit]])</f>
        <v>-5</v>
      </c>
      <c r="J77">
        <f>YEAR(tbl_main[[#This Row],[Date]])</f>
        <v>2021</v>
      </c>
      <c r="K77" t="str">
        <f>TEXT(tbl_main[[#This Row],[Date]],"mmm")</f>
        <v>Feb</v>
      </c>
    </row>
    <row r="78" spans="1:11" x14ac:dyDescent="0.25">
      <c r="A78" t="s">
        <v>4</v>
      </c>
      <c r="B78" s="1">
        <v>44245</v>
      </c>
      <c r="C78" t="s">
        <v>13</v>
      </c>
      <c r="D78" t="s">
        <v>14</v>
      </c>
      <c r="E78" t="s">
        <v>15</v>
      </c>
      <c r="F78" t="s">
        <v>16</v>
      </c>
      <c r="G78">
        <v>5</v>
      </c>
      <c r="I78">
        <f>IF(tbl_main[[#This Row],[Debit]]&lt;&gt;"",-tbl_main[[#This Row],[Debit]],tbl_main[[#This Row],[Credit]])</f>
        <v>-5</v>
      </c>
      <c r="J78">
        <f>YEAR(tbl_main[[#This Row],[Date]])</f>
        <v>2021</v>
      </c>
      <c r="K78" t="str">
        <f>TEXT(tbl_main[[#This Row],[Date]],"mmm")</f>
        <v>Feb</v>
      </c>
    </row>
    <row r="79" spans="1:11" x14ac:dyDescent="0.25">
      <c r="A79" t="s">
        <v>4</v>
      </c>
      <c r="B79" s="1">
        <v>44246</v>
      </c>
      <c r="C79" t="s">
        <v>13</v>
      </c>
      <c r="D79" t="s">
        <v>14</v>
      </c>
      <c r="E79" t="s">
        <v>15</v>
      </c>
      <c r="F79" t="s">
        <v>16</v>
      </c>
      <c r="G79">
        <v>5</v>
      </c>
      <c r="I79">
        <f>IF(tbl_main[[#This Row],[Debit]]&lt;&gt;"",-tbl_main[[#This Row],[Debit]],tbl_main[[#This Row],[Credit]])</f>
        <v>-5</v>
      </c>
      <c r="J79">
        <f>YEAR(tbl_main[[#This Row],[Date]])</f>
        <v>2021</v>
      </c>
      <c r="K79" t="str">
        <f>TEXT(tbl_main[[#This Row],[Date]],"mmm")</f>
        <v>Feb</v>
      </c>
    </row>
    <row r="80" spans="1:11" x14ac:dyDescent="0.25">
      <c r="A80" t="s">
        <v>4</v>
      </c>
      <c r="B80" s="1">
        <v>44246</v>
      </c>
      <c r="C80" t="s">
        <v>23</v>
      </c>
      <c r="D80" t="s">
        <v>24</v>
      </c>
      <c r="E80" t="s">
        <v>19</v>
      </c>
      <c r="F80" t="s">
        <v>16</v>
      </c>
      <c r="G80">
        <v>171</v>
      </c>
      <c r="I80">
        <f>IF(tbl_main[[#This Row],[Debit]]&lt;&gt;"",-tbl_main[[#This Row],[Debit]],tbl_main[[#This Row],[Credit]])</f>
        <v>-171</v>
      </c>
      <c r="J80">
        <f>YEAR(tbl_main[[#This Row],[Date]])</f>
        <v>2021</v>
      </c>
      <c r="K80" t="str">
        <f>TEXT(tbl_main[[#This Row],[Date]],"mmm")</f>
        <v>Feb</v>
      </c>
    </row>
    <row r="81" spans="1:11" x14ac:dyDescent="0.25">
      <c r="A81" t="s">
        <v>4</v>
      </c>
      <c r="B81" s="1">
        <v>44247</v>
      </c>
      <c r="C81" t="s">
        <v>47</v>
      </c>
      <c r="D81" t="s">
        <v>34</v>
      </c>
      <c r="E81" t="s">
        <v>15</v>
      </c>
      <c r="F81" t="s">
        <v>16</v>
      </c>
      <c r="G81">
        <v>37.9</v>
      </c>
      <c r="I81">
        <f>IF(tbl_main[[#This Row],[Debit]]&lt;&gt;"",-tbl_main[[#This Row],[Debit]],tbl_main[[#This Row],[Credit]])</f>
        <v>-37.9</v>
      </c>
      <c r="J81">
        <f>YEAR(tbl_main[[#This Row],[Date]])</f>
        <v>2021</v>
      </c>
      <c r="K81" t="str">
        <f>TEXT(tbl_main[[#This Row],[Date]],"mmm")</f>
        <v>Feb</v>
      </c>
    </row>
    <row r="82" spans="1:11" x14ac:dyDescent="0.25">
      <c r="A82" t="s">
        <v>4</v>
      </c>
      <c r="B82" s="1">
        <v>44248</v>
      </c>
      <c r="C82" t="s">
        <v>48</v>
      </c>
      <c r="D82" t="s">
        <v>34</v>
      </c>
      <c r="E82" t="s">
        <v>15</v>
      </c>
      <c r="F82" t="s">
        <v>16</v>
      </c>
      <c r="G82">
        <v>12.9</v>
      </c>
      <c r="I82">
        <f>IF(tbl_main[[#This Row],[Debit]]&lt;&gt;"",-tbl_main[[#This Row],[Debit]],tbl_main[[#This Row],[Credit]])</f>
        <v>-12.9</v>
      </c>
      <c r="J82">
        <f>YEAR(tbl_main[[#This Row],[Date]])</f>
        <v>2021</v>
      </c>
      <c r="K82" t="str">
        <f>TEXT(tbl_main[[#This Row],[Date]],"mmm")</f>
        <v>Feb</v>
      </c>
    </row>
    <row r="83" spans="1:11" x14ac:dyDescent="0.25">
      <c r="A83" t="s">
        <v>9</v>
      </c>
      <c r="B83" s="1">
        <v>44249</v>
      </c>
      <c r="C83" t="s">
        <v>49</v>
      </c>
      <c r="D83" t="s">
        <v>50</v>
      </c>
      <c r="E83" t="s">
        <v>51</v>
      </c>
      <c r="F83" t="s">
        <v>16</v>
      </c>
      <c r="G83">
        <v>55</v>
      </c>
      <c r="I83">
        <f>IF(tbl_main[[#This Row],[Debit]]&lt;&gt;"",-tbl_main[[#This Row],[Debit]],tbl_main[[#This Row],[Credit]])</f>
        <v>-55</v>
      </c>
      <c r="J83">
        <f>YEAR(tbl_main[[#This Row],[Date]])</f>
        <v>2021</v>
      </c>
      <c r="K83" t="str">
        <f>TEXT(tbl_main[[#This Row],[Date]],"mmm")</f>
        <v>Feb</v>
      </c>
    </row>
    <row r="84" spans="1:11" x14ac:dyDescent="0.25">
      <c r="A84" t="s">
        <v>4</v>
      </c>
      <c r="B84" s="1">
        <v>44249</v>
      </c>
      <c r="C84" t="s">
        <v>27</v>
      </c>
      <c r="D84" t="s">
        <v>28</v>
      </c>
      <c r="E84" t="s">
        <v>22</v>
      </c>
      <c r="F84" t="s">
        <v>16</v>
      </c>
      <c r="G84">
        <v>64.099999999999994</v>
      </c>
      <c r="I84">
        <f>IF(tbl_main[[#This Row],[Debit]]&lt;&gt;"",-tbl_main[[#This Row],[Debit]],tbl_main[[#This Row],[Credit]])</f>
        <v>-64.099999999999994</v>
      </c>
      <c r="J84">
        <f>YEAR(tbl_main[[#This Row],[Date]])</f>
        <v>2021</v>
      </c>
      <c r="K84" t="str">
        <f>TEXT(tbl_main[[#This Row],[Date]],"mmm")</f>
        <v>Feb</v>
      </c>
    </row>
    <row r="85" spans="1:11" x14ac:dyDescent="0.25">
      <c r="A85" t="s">
        <v>4</v>
      </c>
      <c r="B85" s="1">
        <v>44249</v>
      </c>
      <c r="C85" t="s">
        <v>13</v>
      </c>
      <c r="D85" t="s">
        <v>14</v>
      </c>
      <c r="E85" t="s">
        <v>15</v>
      </c>
      <c r="F85" t="s">
        <v>16</v>
      </c>
      <c r="G85">
        <v>5</v>
      </c>
      <c r="I85">
        <f>IF(tbl_main[[#This Row],[Debit]]&lt;&gt;"",-tbl_main[[#This Row],[Debit]],tbl_main[[#This Row],[Credit]])</f>
        <v>-5</v>
      </c>
      <c r="J85">
        <f>YEAR(tbl_main[[#This Row],[Date]])</f>
        <v>2021</v>
      </c>
      <c r="K85" t="str">
        <f>TEXT(tbl_main[[#This Row],[Date]],"mmm")</f>
        <v>Feb</v>
      </c>
    </row>
    <row r="86" spans="1:11" x14ac:dyDescent="0.25">
      <c r="A86" t="s">
        <v>4</v>
      </c>
      <c r="B86" s="1">
        <v>44250</v>
      </c>
      <c r="C86" t="s">
        <v>13</v>
      </c>
      <c r="D86" t="s">
        <v>14</v>
      </c>
      <c r="E86" t="s">
        <v>15</v>
      </c>
      <c r="F86" t="s">
        <v>16</v>
      </c>
      <c r="G86">
        <v>5</v>
      </c>
      <c r="I86">
        <f>IF(tbl_main[[#This Row],[Debit]]&lt;&gt;"",-tbl_main[[#This Row],[Debit]],tbl_main[[#This Row],[Credit]])</f>
        <v>-5</v>
      </c>
      <c r="J86">
        <f>YEAR(tbl_main[[#This Row],[Date]])</f>
        <v>2021</v>
      </c>
      <c r="K86" t="str">
        <f>TEXT(tbl_main[[#This Row],[Date]],"mmm")</f>
        <v>Feb</v>
      </c>
    </row>
    <row r="87" spans="1:11" x14ac:dyDescent="0.25">
      <c r="A87" t="s">
        <v>4</v>
      </c>
      <c r="B87" s="1">
        <v>44251</v>
      </c>
      <c r="C87" t="s">
        <v>13</v>
      </c>
      <c r="D87" t="s">
        <v>14</v>
      </c>
      <c r="E87" t="s">
        <v>15</v>
      </c>
      <c r="F87" t="s">
        <v>16</v>
      </c>
      <c r="G87">
        <v>5</v>
      </c>
      <c r="I87">
        <f>IF(tbl_main[[#This Row],[Debit]]&lt;&gt;"",-tbl_main[[#This Row],[Debit]],tbl_main[[#This Row],[Credit]])</f>
        <v>-5</v>
      </c>
      <c r="J87">
        <f>YEAR(tbl_main[[#This Row],[Date]])</f>
        <v>2021</v>
      </c>
      <c r="K87" t="str">
        <f>TEXT(tbl_main[[#This Row],[Date]],"mmm")</f>
        <v>Feb</v>
      </c>
    </row>
    <row r="88" spans="1:11" x14ac:dyDescent="0.25">
      <c r="A88" t="s">
        <v>4</v>
      </c>
      <c r="B88" s="1">
        <v>44252</v>
      </c>
      <c r="C88" t="s">
        <v>13</v>
      </c>
      <c r="D88" t="s">
        <v>14</v>
      </c>
      <c r="E88" t="s">
        <v>15</v>
      </c>
      <c r="F88" t="s">
        <v>16</v>
      </c>
      <c r="G88">
        <v>5</v>
      </c>
      <c r="I88">
        <f>IF(tbl_main[[#This Row],[Debit]]&lt;&gt;"",-tbl_main[[#This Row],[Debit]],tbl_main[[#This Row],[Credit]])</f>
        <v>-5</v>
      </c>
      <c r="J88">
        <f>YEAR(tbl_main[[#This Row],[Date]])</f>
        <v>2021</v>
      </c>
      <c r="K88" t="str">
        <f>TEXT(tbl_main[[#This Row],[Date]],"mmm")</f>
        <v>Feb</v>
      </c>
    </row>
    <row r="89" spans="1:11" x14ac:dyDescent="0.25">
      <c r="A89" t="s">
        <v>4</v>
      </c>
      <c r="B89" s="1">
        <v>44253</v>
      </c>
      <c r="C89" t="s">
        <v>13</v>
      </c>
      <c r="D89" t="s">
        <v>14</v>
      </c>
      <c r="E89" t="s">
        <v>15</v>
      </c>
      <c r="F89" t="s">
        <v>16</v>
      </c>
      <c r="G89">
        <v>5</v>
      </c>
      <c r="I89">
        <f>IF(tbl_main[[#This Row],[Debit]]&lt;&gt;"",-tbl_main[[#This Row],[Debit]],tbl_main[[#This Row],[Credit]])</f>
        <v>-5</v>
      </c>
      <c r="J89">
        <f>YEAR(tbl_main[[#This Row],[Date]])</f>
        <v>2021</v>
      </c>
      <c r="K89" t="str">
        <f>TEXT(tbl_main[[#This Row],[Date]],"mmm")</f>
        <v>Feb</v>
      </c>
    </row>
    <row r="90" spans="1:11" x14ac:dyDescent="0.25">
      <c r="A90" t="s">
        <v>4</v>
      </c>
      <c r="B90" s="1">
        <v>44253</v>
      </c>
      <c r="C90" t="s">
        <v>23</v>
      </c>
      <c r="D90" t="s">
        <v>24</v>
      </c>
      <c r="E90" t="s">
        <v>19</v>
      </c>
      <c r="F90" t="s">
        <v>16</v>
      </c>
      <c r="G90">
        <v>162.9</v>
      </c>
      <c r="I90">
        <f>IF(tbl_main[[#This Row],[Debit]]&lt;&gt;"",-tbl_main[[#This Row],[Debit]],tbl_main[[#This Row],[Credit]])</f>
        <v>-162.9</v>
      </c>
      <c r="J90">
        <f>YEAR(tbl_main[[#This Row],[Date]])</f>
        <v>2021</v>
      </c>
      <c r="K90" t="str">
        <f>TEXT(tbl_main[[#This Row],[Date]],"mmm")</f>
        <v>Feb</v>
      </c>
    </row>
    <row r="91" spans="1:11" x14ac:dyDescent="0.25">
      <c r="A91" t="s">
        <v>4</v>
      </c>
      <c r="B91" s="1">
        <v>44254</v>
      </c>
      <c r="C91" t="s">
        <v>52</v>
      </c>
      <c r="D91" t="s">
        <v>32</v>
      </c>
      <c r="E91" t="s">
        <v>30</v>
      </c>
      <c r="F91" t="s">
        <v>16</v>
      </c>
      <c r="G91">
        <v>125.9</v>
      </c>
      <c r="I91">
        <f>IF(tbl_main[[#This Row],[Debit]]&lt;&gt;"",-tbl_main[[#This Row],[Debit]],tbl_main[[#This Row],[Credit]])</f>
        <v>-125.9</v>
      </c>
      <c r="J91">
        <f>YEAR(tbl_main[[#This Row],[Date]])</f>
        <v>2021</v>
      </c>
      <c r="K91" t="str">
        <f>TEXT(tbl_main[[#This Row],[Date]],"mmm")</f>
        <v>Feb</v>
      </c>
    </row>
    <row r="92" spans="1:11" x14ac:dyDescent="0.25">
      <c r="A92" t="s">
        <v>4</v>
      </c>
      <c r="B92" s="1">
        <v>44254</v>
      </c>
      <c r="C92" t="s">
        <v>54</v>
      </c>
      <c r="D92" t="s">
        <v>32</v>
      </c>
      <c r="E92" t="s">
        <v>30</v>
      </c>
      <c r="F92" t="s">
        <v>16</v>
      </c>
      <c r="G92">
        <v>137</v>
      </c>
      <c r="I92">
        <f>IF(tbl_main[[#This Row],[Debit]]&lt;&gt;"",-tbl_main[[#This Row],[Debit]],tbl_main[[#This Row],[Credit]])</f>
        <v>-137</v>
      </c>
      <c r="J92">
        <f>YEAR(tbl_main[[#This Row],[Date]])</f>
        <v>2021</v>
      </c>
      <c r="K92" t="str">
        <f>TEXT(tbl_main[[#This Row],[Date]],"mmm")</f>
        <v>Feb</v>
      </c>
    </row>
    <row r="93" spans="1:11" x14ac:dyDescent="0.25">
      <c r="A93" t="s">
        <v>4</v>
      </c>
      <c r="B93" s="1">
        <v>44255</v>
      </c>
      <c r="C93" t="s">
        <v>31</v>
      </c>
      <c r="D93" t="s">
        <v>32</v>
      </c>
      <c r="E93" t="s">
        <v>30</v>
      </c>
      <c r="F93" t="s">
        <v>16</v>
      </c>
      <c r="G93">
        <v>146.1</v>
      </c>
      <c r="I93">
        <f>IF(tbl_main[[#This Row],[Debit]]&lt;&gt;"",-tbl_main[[#This Row],[Debit]],tbl_main[[#This Row],[Credit]])</f>
        <v>-146.1</v>
      </c>
      <c r="J93">
        <f>YEAR(tbl_main[[#This Row],[Date]])</f>
        <v>2021</v>
      </c>
      <c r="K93" t="str">
        <f>TEXT(tbl_main[[#This Row],[Date]],"mmm")</f>
        <v>Feb</v>
      </c>
    </row>
    <row r="94" spans="1:11" x14ac:dyDescent="0.25">
      <c r="A94" t="s">
        <v>4</v>
      </c>
      <c r="B94" s="1">
        <v>44255</v>
      </c>
      <c r="C94" t="s">
        <v>35</v>
      </c>
      <c r="D94" t="s">
        <v>36</v>
      </c>
      <c r="E94" t="s">
        <v>22</v>
      </c>
      <c r="F94" t="s">
        <v>16</v>
      </c>
      <c r="G94">
        <v>24.1</v>
      </c>
      <c r="I94">
        <f>IF(tbl_main[[#This Row],[Debit]]&lt;&gt;"",-tbl_main[[#This Row],[Debit]],tbl_main[[#This Row],[Credit]])</f>
        <v>-24.1</v>
      </c>
      <c r="J94">
        <f>YEAR(tbl_main[[#This Row],[Date]])</f>
        <v>2021</v>
      </c>
      <c r="K94" t="str">
        <f>TEXT(tbl_main[[#This Row],[Date]],"mmm")</f>
        <v>Feb</v>
      </c>
    </row>
    <row r="95" spans="1:11" x14ac:dyDescent="0.25">
      <c r="A95" t="s">
        <v>9</v>
      </c>
      <c r="B95" s="1">
        <v>44256</v>
      </c>
      <c r="C95" t="s">
        <v>10</v>
      </c>
      <c r="D95" t="s">
        <v>11</v>
      </c>
      <c r="E95" t="s">
        <v>11</v>
      </c>
      <c r="F95" t="s">
        <v>12</v>
      </c>
      <c r="H95">
        <v>4000</v>
      </c>
      <c r="I95">
        <f>IF(tbl_main[[#This Row],[Debit]]&lt;&gt;"",-tbl_main[[#This Row],[Debit]],tbl_main[[#This Row],[Credit]])</f>
        <v>4000</v>
      </c>
      <c r="J95">
        <f>YEAR(tbl_main[[#This Row],[Date]])</f>
        <v>2021</v>
      </c>
      <c r="K95" t="str">
        <f>TEXT(tbl_main[[#This Row],[Date]],"mmm")</f>
        <v>Mar</v>
      </c>
    </row>
    <row r="96" spans="1:11" x14ac:dyDescent="0.25">
      <c r="A96" t="s">
        <v>4</v>
      </c>
      <c r="B96" s="1">
        <v>44256</v>
      </c>
      <c r="C96" t="s">
        <v>13</v>
      </c>
      <c r="D96" t="s">
        <v>14</v>
      </c>
      <c r="E96" t="s">
        <v>15</v>
      </c>
      <c r="F96" t="s">
        <v>16</v>
      </c>
      <c r="G96">
        <v>5</v>
      </c>
      <c r="I96">
        <f>IF(tbl_main[[#This Row],[Debit]]&lt;&gt;"",-tbl_main[[#This Row],[Debit]],tbl_main[[#This Row],[Credit]])</f>
        <v>-5</v>
      </c>
      <c r="J96">
        <f>YEAR(tbl_main[[#This Row],[Date]])</f>
        <v>2021</v>
      </c>
      <c r="K96" t="str">
        <f>TEXT(tbl_main[[#This Row],[Date]],"mmm")</f>
        <v>Mar</v>
      </c>
    </row>
    <row r="97" spans="1:11" x14ac:dyDescent="0.25">
      <c r="A97" t="s">
        <v>9</v>
      </c>
      <c r="B97" s="1">
        <v>44257</v>
      </c>
      <c r="C97" t="s">
        <v>17</v>
      </c>
      <c r="D97" t="s">
        <v>18</v>
      </c>
      <c r="E97" t="s">
        <v>19</v>
      </c>
      <c r="F97" t="s">
        <v>16</v>
      </c>
      <c r="G97">
        <v>900</v>
      </c>
      <c r="I97">
        <f>IF(tbl_main[[#This Row],[Debit]]&lt;&gt;"",-tbl_main[[#This Row],[Debit]],tbl_main[[#This Row],[Credit]])</f>
        <v>-900</v>
      </c>
      <c r="J97">
        <f>YEAR(tbl_main[[#This Row],[Date]])</f>
        <v>2021</v>
      </c>
      <c r="K97" t="str">
        <f>TEXT(tbl_main[[#This Row],[Date]],"mmm")</f>
        <v>Mar</v>
      </c>
    </row>
    <row r="98" spans="1:11" x14ac:dyDescent="0.25">
      <c r="A98" t="s">
        <v>9</v>
      </c>
      <c r="B98" s="1">
        <v>44257</v>
      </c>
      <c r="C98" t="s">
        <v>20</v>
      </c>
      <c r="D98" t="s">
        <v>21</v>
      </c>
      <c r="E98" t="s">
        <v>22</v>
      </c>
      <c r="F98" t="s">
        <v>16</v>
      </c>
      <c r="G98">
        <v>150</v>
      </c>
      <c r="I98">
        <f>IF(tbl_main[[#This Row],[Debit]]&lt;&gt;"",-tbl_main[[#This Row],[Debit]],tbl_main[[#This Row],[Credit]])</f>
        <v>-150</v>
      </c>
      <c r="J98">
        <f>YEAR(tbl_main[[#This Row],[Date]])</f>
        <v>2021</v>
      </c>
      <c r="K98" t="str">
        <f>TEXT(tbl_main[[#This Row],[Date]],"mmm")</f>
        <v>Mar</v>
      </c>
    </row>
    <row r="99" spans="1:11" x14ac:dyDescent="0.25">
      <c r="A99" t="s">
        <v>4</v>
      </c>
      <c r="B99" s="1">
        <v>44257</v>
      </c>
      <c r="C99" t="s">
        <v>13</v>
      </c>
      <c r="D99" t="s">
        <v>14</v>
      </c>
      <c r="E99" t="s">
        <v>15</v>
      </c>
      <c r="F99" t="s">
        <v>16</v>
      </c>
      <c r="G99">
        <v>5</v>
      </c>
      <c r="I99">
        <f>IF(tbl_main[[#This Row],[Debit]]&lt;&gt;"",-tbl_main[[#This Row],[Debit]],tbl_main[[#This Row],[Credit]])</f>
        <v>-5</v>
      </c>
      <c r="J99">
        <f>YEAR(tbl_main[[#This Row],[Date]])</f>
        <v>2021</v>
      </c>
      <c r="K99" t="str">
        <f>TEXT(tbl_main[[#This Row],[Date]],"mmm")</f>
        <v>Mar</v>
      </c>
    </row>
    <row r="100" spans="1:11" x14ac:dyDescent="0.25">
      <c r="A100" t="s">
        <v>4</v>
      </c>
      <c r="B100" s="1">
        <v>44258</v>
      </c>
      <c r="C100" t="s">
        <v>13</v>
      </c>
      <c r="D100" t="s">
        <v>14</v>
      </c>
      <c r="E100" t="s">
        <v>15</v>
      </c>
      <c r="F100" t="s">
        <v>16</v>
      </c>
      <c r="G100">
        <v>5</v>
      </c>
      <c r="I100">
        <f>IF(tbl_main[[#This Row],[Debit]]&lt;&gt;"",-tbl_main[[#This Row],[Debit]],tbl_main[[#This Row],[Credit]])</f>
        <v>-5</v>
      </c>
      <c r="J100">
        <f>YEAR(tbl_main[[#This Row],[Date]])</f>
        <v>2021</v>
      </c>
      <c r="K100" t="str">
        <f>TEXT(tbl_main[[#This Row],[Date]],"mmm")</f>
        <v>Mar</v>
      </c>
    </row>
    <row r="101" spans="1:11" x14ac:dyDescent="0.25">
      <c r="A101" t="s">
        <v>4</v>
      </c>
      <c r="B101" s="1">
        <v>44259</v>
      </c>
      <c r="C101" t="s">
        <v>13</v>
      </c>
      <c r="D101" t="s">
        <v>14</v>
      </c>
      <c r="E101" t="s">
        <v>15</v>
      </c>
      <c r="F101" t="s">
        <v>16</v>
      </c>
      <c r="G101">
        <v>5</v>
      </c>
      <c r="I101">
        <f>IF(tbl_main[[#This Row],[Debit]]&lt;&gt;"",-tbl_main[[#This Row],[Debit]],tbl_main[[#This Row],[Credit]])</f>
        <v>-5</v>
      </c>
      <c r="J101">
        <f>YEAR(tbl_main[[#This Row],[Date]])</f>
        <v>2021</v>
      </c>
      <c r="K101" t="str">
        <f>TEXT(tbl_main[[#This Row],[Date]],"mmm")</f>
        <v>Mar</v>
      </c>
    </row>
    <row r="102" spans="1:11" x14ac:dyDescent="0.25">
      <c r="A102" t="s">
        <v>4</v>
      </c>
      <c r="B102" s="1">
        <v>44260</v>
      </c>
      <c r="C102" t="s">
        <v>13</v>
      </c>
      <c r="D102" t="s">
        <v>14</v>
      </c>
      <c r="E102" t="s">
        <v>15</v>
      </c>
      <c r="F102" t="s">
        <v>16</v>
      </c>
      <c r="G102">
        <v>5</v>
      </c>
      <c r="I102">
        <f>IF(tbl_main[[#This Row],[Debit]]&lt;&gt;"",-tbl_main[[#This Row],[Debit]],tbl_main[[#This Row],[Credit]])</f>
        <v>-5</v>
      </c>
      <c r="J102">
        <f>YEAR(tbl_main[[#This Row],[Date]])</f>
        <v>2021</v>
      </c>
      <c r="K102" t="str">
        <f>TEXT(tbl_main[[#This Row],[Date]],"mmm")</f>
        <v>Mar</v>
      </c>
    </row>
    <row r="103" spans="1:11" x14ac:dyDescent="0.25">
      <c r="A103" t="s">
        <v>4</v>
      </c>
      <c r="B103" s="1">
        <v>44260</v>
      </c>
      <c r="C103" t="s">
        <v>23</v>
      </c>
      <c r="D103" t="s">
        <v>24</v>
      </c>
      <c r="E103" t="s">
        <v>19</v>
      </c>
      <c r="F103" t="s">
        <v>16</v>
      </c>
      <c r="G103">
        <v>149</v>
      </c>
      <c r="I103">
        <f>IF(tbl_main[[#This Row],[Debit]]&lt;&gt;"",-tbl_main[[#This Row],[Debit]],tbl_main[[#This Row],[Credit]])</f>
        <v>-149</v>
      </c>
      <c r="J103">
        <f>YEAR(tbl_main[[#This Row],[Date]])</f>
        <v>2021</v>
      </c>
      <c r="K103" t="str">
        <f>TEXT(tbl_main[[#This Row],[Date]],"mmm")</f>
        <v>Mar</v>
      </c>
    </row>
    <row r="104" spans="1:11" x14ac:dyDescent="0.25">
      <c r="A104" t="s">
        <v>9</v>
      </c>
      <c r="B104" s="1">
        <v>44263</v>
      </c>
      <c r="C104" t="s">
        <v>25</v>
      </c>
      <c r="D104" t="s">
        <v>26</v>
      </c>
      <c r="E104" t="s">
        <v>19</v>
      </c>
      <c r="F104" t="s">
        <v>16</v>
      </c>
      <c r="G104">
        <v>52.1</v>
      </c>
      <c r="I104">
        <f>IF(tbl_main[[#This Row],[Debit]]&lt;&gt;"",-tbl_main[[#This Row],[Debit]],tbl_main[[#This Row],[Credit]])</f>
        <v>-52.1</v>
      </c>
      <c r="J104">
        <f>YEAR(tbl_main[[#This Row],[Date]])</f>
        <v>2021</v>
      </c>
      <c r="K104" t="str">
        <f>TEXT(tbl_main[[#This Row],[Date]],"mmm")</f>
        <v>Mar</v>
      </c>
    </row>
    <row r="105" spans="1:11" x14ac:dyDescent="0.25">
      <c r="A105" t="s">
        <v>4</v>
      </c>
      <c r="B105" s="1">
        <v>44263</v>
      </c>
      <c r="C105" t="s">
        <v>13</v>
      </c>
      <c r="D105" t="s">
        <v>14</v>
      </c>
      <c r="E105" t="s">
        <v>15</v>
      </c>
      <c r="F105" t="s">
        <v>16</v>
      </c>
      <c r="G105">
        <v>5</v>
      </c>
      <c r="I105">
        <f>IF(tbl_main[[#This Row],[Debit]]&lt;&gt;"",-tbl_main[[#This Row],[Debit]],tbl_main[[#This Row],[Credit]])</f>
        <v>-5</v>
      </c>
      <c r="J105">
        <f>YEAR(tbl_main[[#This Row],[Date]])</f>
        <v>2021</v>
      </c>
      <c r="K105" t="str">
        <f>TEXT(tbl_main[[#This Row],[Date]],"mmm")</f>
        <v>Mar</v>
      </c>
    </row>
    <row r="106" spans="1:11" x14ac:dyDescent="0.25">
      <c r="A106" t="s">
        <v>4</v>
      </c>
      <c r="B106" s="1">
        <v>44264</v>
      </c>
      <c r="C106" t="s">
        <v>13</v>
      </c>
      <c r="D106" t="s">
        <v>14</v>
      </c>
      <c r="E106" t="s">
        <v>15</v>
      </c>
      <c r="F106" t="s">
        <v>16</v>
      </c>
      <c r="G106">
        <v>5</v>
      </c>
      <c r="I106">
        <f>IF(tbl_main[[#This Row],[Debit]]&lt;&gt;"",-tbl_main[[#This Row],[Debit]],tbl_main[[#This Row],[Credit]])</f>
        <v>-5</v>
      </c>
      <c r="J106">
        <f>YEAR(tbl_main[[#This Row],[Date]])</f>
        <v>2021</v>
      </c>
      <c r="K106" t="str">
        <f>TEXT(tbl_main[[#This Row],[Date]],"mmm")</f>
        <v>Mar</v>
      </c>
    </row>
    <row r="107" spans="1:11" x14ac:dyDescent="0.25">
      <c r="A107" t="s">
        <v>4</v>
      </c>
      <c r="B107" s="1">
        <v>44265</v>
      </c>
      <c r="C107" t="s">
        <v>27</v>
      </c>
      <c r="D107" t="s">
        <v>28</v>
      </c>
      <c r="E107" t="s">
        <v>22</v>
      </c>
      <c r="F107" t="s">
        <v>16</v>
      </c>
      <c r="G107">
        <v>78.900000000000006</v>
      </c>
      <c r="I107">
        <f>IF(tbl_main[[#This Row],[Debit]]&lt;&gt;"",-tbl_main[[#This Row],[Debit]],tbl_main[[#This Row],[Credit]])</f>
        <v>-78.900000000000006</v>
      </c>
      <c r="J107">
        <f>YEAR(tbl_main[[#This Row],[Date]])</f>
        <v>2021</v>
      </c>
      <c r="K107" t="str">
        <f>TEXT(tbl_main[[#This Row],[Date]],"mmm")</f>
        <v>Mar</v>
      </c>
    </row>
    <row r="108" spans="1:11" x14ac:dyDescent="0.25">
      <c r="A108" t="s">
        <v>4</v>
      </c>
      <c r="B108" s="1">
        <v>44265</v>
      </c>
      <c r="C108" t="s">
        <v>13</v>
      </c>
      <c r="D108" t="s">
        <v>14</v>
      </c>
      <c r="E108" t="s">
        <v>15</v>
      </c>
      <c r="F108" t="s">
        <v>16</v>
      </c>
      <c r="G108">
        <v>5</v>
      </c>
      <c r="I108">
        <f>IF(tbl_main[[#This Row],[Debit]]&lt;&gt;"",-tbl_main[[#This Row],[Debit]],tbl_main[[#This Row],[Credit]])</f>
        <v>-5</v>
      </c>
      <c r="J108">
        <f>YEAR(tbl_main[[#This Row],[Date]])</f>
        <v>2021</v>
      </c>
      <c r="K108" t="str">
        <f>TEXT(tbl_main[[#This Row],[Date]],"mmm")</f>
        <v>Mar</v>
      </c>
    </row>
    <row r="109" spans="1:11" x14ac:dyDescent="0.25">
      <c r="A109" t="s">
        <v>4</v>
      </c>
      <c r="B109" s="1">
        <v>44266</v>
      </c>
      <c r="C109" t="s">
        <v>13</v>
      </c>
      <c r="D109" t="s">
        <v>14</v>
      </c>
      <c r="E109" t="s">
        <v>15</v>
      </c>
      <c r="F109" t="s">
        <v>16</v>
      </c>
      <c r="G109">
        <v>5</v>
      </c>
      <c r="I109">
        <f>IF(tbl_main[[#This Row],[Debit]]&lt;&gt;"",-tbl_main[[#This Row],[Debit]],tbl_main[[#This Row],[Credit]])</f>
        <v>-5</v>
      </c>
      <c r="J109">
        <f>YEAR(tbl_main[[#This Row],[Date]])</f>
        <v>2021</v>
      </c>
      <c r="K109" t="str">
        <f>TEXT(tbl_main[[#This Row],[Date]],"mmm")</f>
        <v>Mar</v>
      </c>
    </row>
    <row r="110" spans="1:11" x14ac:dyDescent="0.25">
      <c r="A110" t="s">
        <v>4</v>
      </c>
      <c r="B110" s="1">
        <v>44267</v>
      </c>
      <c r="C110" t="s">
        <v>23</v>
      </c>
      <c r="D110" t="s">
        <v>24</v>
      </c>
      <c r="E110" t="s">
        <v>19</v>
      </c>
      <c r="F110" t="s">
        <v>16</v>
      </c>
      <c r="G110">
        <v>137</v>
      </c>
      <c r="I110">
        <f>IF(tbl_main[[#This Row],[Debit]]&lt;&gt;"",-tbl_main[[#This Row],[Debit]],tbl_main[[#This Row],[Credit]])</f>
        <v>-137</v>
      </c>
      <c r="J110">
        <f>YEAR(tbl_main[[#This Row],[Date]])</f>
        <v>2021</v>
      </c>
      <c r="K110" t="str">
        <f>TEXT(tbl_main[[#This Row],[Date]],"mmm")</f>
        <v>Mar</v>
      </c>
    </row>
    <row r="111" spans="1:11" x14ac:dyDescent="0.25">
      <c r="A111" t="s">
        <v>4</v>
      </c>
      <c r="B111" s="1">
        <v>44267</v>
      </c>
      <c r="C111" t="s">
        <v>13</v>
      </c>
      <c r="D111" t="s">
        <v>14</v>
      </c>
      <c r="E111" t="s">
        <v>15</v>
      </c>
      <c r="F111" t="s">
        <v>16</v>
      </c>
      <c r="G111">
        <v>5</v>
      </c>
      <c r="I111">
        <f>IF(tbl_main[[#This Row],[Debit]]&lt;&gt;"",-tbl_main[[#This Row],[Debit]],tbl_main[[#This Row],[Credit]])</f>
        <v>-5</v>
      </c>
      <c r="J111">
        <f>YEAR(tbl_main[[#This Row],[Date]])</f>
        <v>2021</v>
      </c>
      <c r="K111" t="str">
        <f>TEXT(tbl_main[[#This Row],[Date]],"mmm")</f>
        <v>Mar</v>
      </c>
    </row>
    <row r="112" spans="1:11" x14ac:dyDescent="0.25">
      <c r="A112" t="s">
        <v>4</v>
      </c>
      <c r="B112" s="1">
        <v>44268</v>
      </c>
      <c r="C112" t="s">
        <v>13</v>
      </c>
      <c r="D112" t="s">
        <v>14</v>
      </c>
      <c r="E112" t="s">
        <v>15</v>
      </c>
      <c r="F112" t="s">
        <v>16</v>
      </c>
      <c r="G112">
        <v>5</v>
      </c>
      <c r="I112">
        <f>IF(tbl_main[[#This Row],[Debit]]&lt;&gt;"",-tbl_main[[#This Row],[Debit]],tbl_main[[#This Row],[Credit]])</f>
        <v>-5</v>
      </c>
      <c r="J112">
        <f>YEAR(tbl_main[[#This Row],[Date]])</f>
        <v>2021</v>
      </c>
      <c r="K112" t="str">
        <f>TEXT(tbl_main[[#This Row],[Date]],"mmm")</f>
        <v>Mar</v>
      </c>
    </row>
    <row r="113" spans="1:11" x14ac:dyDescent="0.25">
      <c r="A113" t="s">
        <v>4</v>
      </c>
      <c r="B113" s="1">
        <v>44268</v>
      </c>
      <c r="C113" t="s">
        <v>29</v>
      </c>
      <c r="D113" t="s">
        <v>21</v>
      </c>
      <c r="E113" t="s">
        <v>30</v>
      </c>
      <c r="F113" t="s">
        <v>16</v>
      </c>
      <c r="G113">
        <v>41.8</v>
      </c>
      <c r="I113">
        <f>IF(tbl_main[[#This Row],[Debit]]&lt;&gt;"",-tbl_main[[#This Row],[Debit]],tbl_main[[#This Row],[Credit]])</f>
        <v>-41.8</v>
      </c>
      <c r="J113">
        <f>YEAR(tbl_main[[#This Row],[Date]])</f>
        <v>2021</v>
      </c>
      <c r="K113" t="str">
        <f>TEXT(tbl_main[[#This Row],[Date]],"mmm")</f>
        <v>Mar</v>
      </c>
    </row>
    <row r="114" spans="1:11" x14ac:dyDescent="0.25">
      <c r="A114" t="s">
        <v>4</v>
      </c>
      <c r="B114" s="1">
        <v>44268</v>
      </c>
      <c r="C114" t="s">
        <v>31</v>
      </c>
      <c r="D114" t="s">
        <v>32</v>
      </c>
      <c r="E114" t="s">
        <v>30</v>
      </c>
      <c r="F114" t="s">
        <v>16</v>
      </c>
      <c r="G114">
        <v>99.9</v>
      </c>
      <c r="I114">
        <f>IF(tbl_main[[#This Row],[Debit]]&lt;&gt;"",-tbl_main[[#This Row],[Debit]],tbl_main[[#This Row],[Credit]])</f>
        <v>-99.9</v>
      </c>
      <c r="J114">
        <f>YEAR(tbl_main[[#This Row],[Date]])</f>
        <v>2021</v>
      </c>
      <c r="K114" t="str">
        <f>TEXT(tbl_main[[#This Row],[Date]],"mmm")</f>
        <v>Mar</v>
      </c>
    </row>
    <row r="115" spans="1:11" x14ac:dyDescent="0.25">
      <c r="A115" t="s">
        <v>4</v>
      </c>
      <c r="B115" s="1">
        <v>44268</v>
      </c>
      <c r="C115" t="s">
        <v>33</v>
      </c>
      <c r="D115" t="s">
        <v>34</v>
      </c>
      <c r="E115" t="s">
        <v>15</v>
      </c>
      <c r="F115" t="s">
        <v>16</v>
      </c>
      <c r="G115">
        <v>54</v>
      </c>
      <c r="I115">
        <f>IF(tbl_main[[#This Row],[Debit]]&lt;&gt;"",-tbl_main[[#This Row],[Debit]],tbl_main[[#This Row],[Credit]])</f>
        <v>-54</v>
      </c>
      <c r="J115">
        <f>YEAR(tbl_main[[#This Row],[Date]])</f>
        <v>2021</v>
      </c>
      <c r="K115" t="str">
        <f>TEXT(tbl_main[[#This Row],[Date]],"mmm")</f>
        <v>Mar</v>
      </c>
    </row>
    <row r="116" spans="1:11" x14ac:dyDescent="0.25">
      <c r="A116" t="s">
        <v>4</v>
      </c>
      <c r="B116" s="1">
        <v>44269</v>
      </c>
      <c r="C116" t="s">
        <v>35</v>
      </c>
      <c r="D116" t="s">
        <v>36</v>
      </c>
      <c r="E116" t="s">
        <v>22</v>
      </c>
      <c r="F116" t="s">
        <v>16</v>
      </c>
      <c r="G116">
        <v>30</v>
      </c>
      <c r="I116">
        <f>IF(tbl_main[[#This Row],[Debit]]&lt;&gt;"",-tbl_main[[#This Row],[Debit]],tbl_main[[#This Row],[Credit]])</f>
        <v>-30</v>
      </c>
      <c r="J116">
        <f>YEAR(tbl_main[[#This Row],[Date]])</f>
        <v>2021</v>
      </c>
      <c r="K116" t="str">
        <f>TEXT(tbl_main[[#This Row],[Date]],"mmm")</f>
        <v>Mar</v>
      </c>
    </row>
    <row r="117" spans="1:11" x14ac:dyDescent="0.25">
      <c r="A117" t="s">
        <v>9</v>
      </c>
      <c r="B117" s="1">
        <v>44270</v>
      </c>
      <c r="C117" t="s">
        <v>37</v>
      </c>
      <c r="D117" t="s">
        <v>38</v>
      </c>
      <c r="E117" t="s">
        <v>30</v>
      </c>
      <c r="F117" t="s">
        <v>16</v>
      </c>
      <c r="G117">
        <v>30</v>
      </c>
      <c r="I117">
        <f>IF(tbl_main[[#This Row],[Debit]]&lt;&gt;"",-tbl_main[[#This Row],[Debit]],tbl_main[[#This Row],[Credit]])</f>
        <v>-30</v>
      </c>
      <c r="J117">
        <f>YEAR(tbl_main[[#This Row],[Date]])</f>
        <v>2021</v>
      </c>
      <c r="K117" t="str">
        <f>TEXT(tbl_main[[#This Row],[Date]],"mmm")</f>
        <v>Mar</v>
      </c>
    </row>
    <row r="118" spans="1:11" x14ac:dyDescent="0.25">
      <c r="A118" t="s">
        <v>4</v>
      </c>
      <c r="B118" s="1">
        <v>44270</v>
      </c>
      <c r="C118" t="s">
        <v>13</v>
      </c>
      <c r="D118" t="s">
        <v>14</v>
      </c>
      <c r="E118" t="s">
        <v>15</v>
      </c>
      <c r="F118" t="s">
        <v>16</v>
      </c>
      <c r="G118">
        <v>5</v>
      </c>
      <c r="I118">
        <f>IF(tbl_main[[#This Row],[Debit]]&lt;&gt;"",-tbl_main[[#This Row],[Debit]],tbl_main[[#This Row],[Credit]])</f>
        <v>-5</v>
      </c>
      <c r="J118">
        <f>YEAR(tbl_main[[#This Row],[Date]])</f>
        <v>2021</v>
      </c>
      <c r="K118" t="str">
        <f>TEXT(tbl_main[[#This Row],[Date]],"mmm")</f>
        <v>Mar</v>
      </c>
    </row>
    <row r="119" spans="1:11" x14ac:dyDescent="0.25">
      <c r="A119" t="s">
        <v>4</v>
      </c>
      <c r="B119" s="1">
        <v>44271</v>
      </c>
      <c r="C119" t="s">
        <v>13</v>
      </c>
      <c r="D119" t="s">
        <v>14</v>
      </c>
      <c r="E119" t="s">
        <v>15</v>
      </c>
      <c r="F119" t="s">
        <v>16</v>
      </c>
      <c r="G119">
        <v>5</v>
      </c>
      <c r="I119">
        <f>IF(tbl_main[[#This Row],[Debit]]&lt;&gt;"",-tbl_main[[#This Row],[Debit]],tbl_main[[#This Row],[Credit]])</f>
        <v>-5</v>
      </c>
      <c r="J119">
        <f>YEAR(tbl_main[[#This Row],[Date]])</f>
        <v>2021</v>
      </c>
      <c r="K119" t="str">
        <f>TEXT(tbl_main[[#This Row],[Date]],"mmm")</f>
        <v>Mar</v>
      </c>
    </row>
    <row r="120" spans="1:11" x14ac:dyDescent="0.25">
      <c r="A120" t="s">
        <v>9</v>
      </c>
      <c r="B120" s="1">
        <v>44271</v>
      </c>
      <c r="C120" t="s">
        <v>55</v>
      </c>
      <c r="D120" t="s">
        <v>40</v>
      </c>
      <c r="E120" t="s">
        <v>41</v>
      </c>
      <c r="F120" t="s">
        <v>16</v>
      </c>
      <c r="G120">
        <v>75</v>
      </c>
      <c r="I120">
        <f>IF(tbl_main[[#This Row],[Debit]]&lt;&gt;"",-tbl_main[[#This Row],[Debit]],tbl_main[[#This Row],[Credit]])</f>
        <v>-75</v>
      </c>
      <c r="J120">
        <f>YEAR(tbl_main[[#This Row],[Date]])</f>
        <v>2021</v>
      </c>
      <c r="K120" t="str">
        <f>TEXT(tbl_main[[#This Row],[Date]],"mmm")</f>
        <v>Mar</v>
      </c>
    </row>
    <row r="121" spans="1:11" x14ac:dyDescent="0.25">
      <c r="A121" t="s">
        <v>9</v>
      </c>
      <c r="B121" s="1">
        <v>44271</v>
      </c>
      <c r="C121" t="s">
        <v>42</v>
      </c>
      <c r="D121" t="s">
        <v>43</v>
      </c>
      <c r="E121" t="s">
        <v>19</v>
      </c>
      <c r="F121" t="s">
        <v>16</v>
      </c>
      <c r="G121">
        <v>40</v>
      </c>
      <c r="I121">
        <f>IF(tbl_main[[#This Row],[Debit]]&lt;&gt;"",-tbl_main[[#This Row],[Debit]],tbl_main[[#This Row],[Credit]])</f>
        <v>-40</v>
      </c>
      <c r="J121">
        <f>YEAR(tbl_main[[#This Row],[Date]])</f>
        <v>2021</v>
      </c>
      <c r="K121" t="str">
        <f>TEXT(tbl_main[[#This Row],[Date]],"mmm")</f>
        <v>Mar</v>
      </c>
    </row>
    <row r="122" spans="1:11" x14ac:dyDescent="0.25">
      <c r="A122" t="s">
        <v>4</v>
      </c>
      <c r="B122" s="1">
        <v>44272</v>
      </c>
      <c r="C122" t="s">
        <v>44</v>
      </c>
      <c r="D122" t="s">
        <v>45</v>
      </c>
      <c r="E122" t="s">
        <v>30</v>
      </c>
      <c r="F122" t="s">
        <v>16</v>
      </c>
      <c r="G122">
        <v>46.8</v>
      </c>
      <c r="I122">
        <f>IF(tbl_main[[#This Row],[Debit]]&lt;&gt;"",-tbl_main[[#This Row],[Debit]],tbl_main[[#This Row],[Credit]])</f>
        <v>-46.8</v>
      </c>
      <c r="J122">
        <f>YEAR(tbl_main[[#This Row],[Date]])</f>
        <v>2021</v>
      </c>
      <c r="K122" t="str">
        <f>TEXT(tbl_main[[#This Row],[Date]],"mmm")</f>
        <v>Mar</v>
      </c>
    </row>
    <row r="123" spans="1:11" x14ac:dyDescent="0.25">
      <c r="A123" t="s">
        <v>4</v>
      </c>
      <c r="B123" s="1">
        <v>44272</v>
      </c>
      <c r="C123" t="s">
        <v>46</v>
      </c>
      <c r="D123" t="s">
        <v>21</v>
      </c>
      <c r="E123" t="s">
        <v>30</v>
      </c>
      <c r="F123" t="s">
        <v>16</v>
      </c>
      <c r="G123">
        <v>35</v>
      </c>
      <c r="I123">
        <f>IF(tbl_main[[#This Row],[Debit]]&lt;&gt;"",-tbl_main[[#This Row],[Debit]],tbl_main[[#This Row],[Credit]])</f>
        <v>-35</v>
      </c>
      <c r="J123">
        <f>YEAR(tbl_main[[#This Row],[Date]])</f>
        <v>2021</v>
      </c>
      <c r="K123" t="str">
        <f>TEXT(tbl_main[[#This Row],[Date]],"mmm")</f>
        <v>Mar</v>
      </c>
    </row>
    <row r="124" spans="1:11" x14ac:dyDescent="0.25">
      <c r="A124" t="s">
        <v>4</v>
      </c>
      <c r="B124" s="1">
        <v>44272</v>
      </c>
      <c r="C124" t="s">
        <v>13</v>
      </c>
      <c r="D124" t="s">
        <v>14</v>
      </c>
      <c r="E124" t="s">
        <v>15</v>
      </c>
      <c r="F124" t="s">
        <v>16</v>
      </c>
      <c r="G124">
        <v>5</v>
      </c>
      <c r="I124">
        <f>IF(tbl_main[[#This Row],[Debit]]&lt;&gt;"",-tbl_main[[#This Row],[Debit]],tbl_main[[#This Row],[Credit]])</f>
        <v>-5</v>
      </c>
      <c r="J124">
        <f>YEAR(tbl_main[[#This Row],[Date]])</f>
        <v>2021</v>
      </c>
      <c r="K124" t="str">
        <f>TEXT(tbl_main[[#This Row],[Date]],"mmm")</f>
        <v>Mar</v>
      </c>
    </row>
    <row r="125" spans="1:11" x14ac:dyDescent="0.25">
      <c r="A125" t="s">
        <v>4</v>
      </c>
      <c r="B125" s="1">
        <v>44273</v>
      </c>
      <c r="C125" t="s">
        <v>13</v>
      </c>
      <c r="D125" t="s">
        <v>14</v>
      </c>
      <c r="E125" t="s">
        <v>15</v>
      </c>
      <c r="F125" t="s">
        <v>16</v>
      </c>
      <c r="G125">
        <v>5</v>
      </c>
      <c r="I125">
        <f>IF(tbl_main[[#This Row],[Debit]]&lt;&gt;"",-tbl_main[[#This Row],[Debit]],tbl_main[[#This Row],[Credit]])</f>
        <v>-5</v>
      </c>
      <c r="J125">
        <f>YEAR(tbl_main[[#This Row],[Date]])</f>
        <v>2021</v>
      </c>
      <c r="K125" t="str">
        <f>TEXT(tbl_main[[#This Row],[Date]],"mmm")</f>
        <v>Mar</v>
      </c>
    </row>
    <row r="126" spans="1:11" x14ac:dyDescent="0.25">
      <c r="A126" t="s">
        <v>4</v>
      </c>
      <c r="B126" s="1">
        <v>44274</v>
      </c>
      <c r="C126" t="s">
        <v>13</v>
      </c>
      <c r="D126" t="s">
        <v>14</v>
      </c>
      <c r="E126" t="s">
        <v>15</v>
      </c>
      <c r="F126" t="s">
        <v>16</v>
      </c>
      <c r="G126">
        <v>5</v>
      </c>
      <c r="I126">
        <f>IF(tbl_main[[#This Row],[Debit]]&lt;&gt;"",-tbl_main[[#This Row],[Debit]],tbl_main[[#This Row],[Credit]])</f>
        <v>-5</v>
      </c>
      <c r="J126">
        <f>YEAR(tbl_main[[#This Row],[Date]])</f>
        <v>2021</v>
      </c>
      <c r="K126" t="str">
        <f>TEXT(tbl_main[[#This Row],[Date]],"mmm")</f>
        <v>Mar</v>
      </c>
    </row>
    <row r="127" spans="1:11" x14ac:dyDescent="0.25">
      <c r="A127" t="s">
        <v>4</v>
      </c>
      <c r="B127" s="1">
        <v>44274</v>
      </c>
      <c r="C127" t="s">
        <v>23</v>
      </c>
      <c r="D127" t="s">
        <v>24</v>
      </c>
      <c r="E127" t="s">
        <v>19</v>
      </c>
      <c r="F127" t="s">
        <v>16</v>
      </c>
      <c r="G127">
        <v>171.9</v>
      </c>
      <c r="I127">
        <f>IF(tbl_main[[#This Row],[Debit]]&lt;&gt;"",-tbl_main[[#This Row],[Debit]],tbl_main[[#This Row],[Credit]])</f>
        <v>-171.9</v>
      </c>
      <c r="J127">
        <f>YEAR(tbl_main[[#This Row],[Date]])</f>
        <v>2021</v>
      </c>
      <c r="K127" t="str">
        <f>TEXT(tbl_main[[#This Row],[Date]],"mmm")</f>
        <v>Mar</v>
      </c>
    </row>
    <row r="128" spans="1:11" x14ac:dyDescent="0.25">
      <c r="A128" t="s">
        <v>4</v>
      </c>
      <c r="B128" s="1">
        <v>44275</v>
      </c>
      <c r="C128" t="s">
        <v>47</v>
      </c>
      <c r="D128" t="s">
        <v>34</v>
      </c>
      <c r="E128" t="s">
        <v>15</v>
      </c>
      <c r="F128" t="s">
        <v>16</v>
      </c>
      <c r="G128">
        <v>39</v>
      </c>
      <c r="I128">
        <f>IF(tbl_main[[#This Row],[Debit]]&lt;&gt;"",-tbl_main[[#This Row],[Debit]],tbl_main[[#This Row],[Credit]])</f>
        <v>-39</v>
      </c>
      <c r="J128">
        <f>YEAR(tbl_main[[#This Row],[Date]])</f>
        <v>2021</v>
      </c>
      <c r="K128" t="str">
        <f>TEXT(tbl_main[[#This Row],[Date]],"mmm")</f>
        <v>Mar</v>
      </c>
    </row>
    <row r="129" spans="1:11" x14ac:dyDescent="0.25">
      <c r="A129" t="s">
        <v>4</v>
      </c>
      <c r="B129" s="1">
        <v>44276</v>
      </c>
      <c r="C129" t="s">
        <v>48</v>
      </c>
      <c r="D129" t="s">
        <v>34</v>
      </c>
      <c r="E129" t="s">
        <v>15</v>
      </c>
      <c r="F129" t="s">
        <v>16</v>
      </c>
      <c r="G129">
        <v>14</v>
      </c>
      <c r="I129">
        <f>IF(tbl_main[[#This Row],[Debit]]&lt;&gt;"",-tbl_main[[#This Row],[Debit]],tbl_main[[#This Row],[Credit]])</f>
        <v>-14</v>
      </c>
      <c r="J129">
        <f>YEAR(tbl_main[[#This Row],[Date]])</f>
        <v>2021</v>
      </c>
      <c r="K129" t="str">
        <f>TEXT(tbl_main[[#This Row],[Date]],"mmm")</f>
        <v>Mar</v>
      </c>
    </row>
    <row r="130" spans="1:11" x14ac:dyDescent="0.25">
      <c r="A130" t="s">
        <v>9</v>
      </c>
      <c r="B130" s="1">
        <v>44277</v>
      </c>
      <c r="C130" t="s">
        <v>49</v>
      </c>
      <c r="D130" t="s">
        <v>50</v>
      </c>
      <c r="E130" t="s">
        <v>51</v>
      </c>
      <c r="F130" t="s">
        <v>16</v>
      </c>
      <c r="G130">
        <v>55</v>
      </c>
      <c r="I130">
        <f>IF(tbl_main[[#This Row],[Debit]]&lt;&gt;"",-tbl_main[[#This Row],[Debit]],tbl_main[[#This Row],[Credit]])</f>
        <v>-55</v>
      </c>
      <c r="J130">
        <f>YEAR(tbl_main[[#This Row],[Date]])</f>
        <v>2021</v>
      </c>
      <c r="K130" t="str">
        <f>TEXT(tbl_main[[#This Row],[Date]],"mmm")</f>
        <v>Mar</v>
      </c>
    </row>
    <row r="131" spans="1:11" x14ac:dyDescent="0.25">
      <c r="A131" t="s">
        <v>4</v>
      </c>
      <c r="B131" s="1">
        <v>44277</v>
      </c>
      <c r="C131" t="s">
        <v>27</v>
      </c>
      <c r="D131" t="s">
        <v>28</v>
      </c>
      <c r="E131" t="s">
        <v>22</v>
      </c>
      <c r="F131" t="s">
        <v>16</v>
      </c>
      <c r="G131">
        <v>65</v>
      </c>
      <c r="I131">
        <f>IF(tbl_main[[#This Row],[Debit]]&lt;&gt;"",-tbl_main[[#This Row],[Debit]],tbl_main[[#This Row],[Credit]])</f>
        <v>-65</v>
      </c>
      <c r="J131">
        <f>YEAR(tbl_main[[#This Row],[Date]])</f>
        <v>2021</v>
      </c>
      <c r="K131" t="str">
        <f>TEXT(tbl_main[[#This Row],[Date]],"mmm")</f>
        <v>Mar</v>
      </c>
    </row>
    <row r="132" spans="1:11" x14ac:dyDescent="0.25">
      <c r="A132" t="s">
        <v>4</v>
      </c>
      <c r="B132" s="1">
        <v>44277</v>
      </c>
      <c r="C132" t="s">
        <v>13</v>
      </c>
      <c r="D132" t="s">
        <v>14</v>
      </c>
      <c r="E132" t="s">
        <v>15</v>
      </c>
      <c r="F132" t="s">
        <v>16</v>
      </c>
      <c r="G132">
        <v>5</v>
      </c>
      <c r="I132">
        <f>IF(tbl_main[[#This Row],[Debit]]&lt;&gt;"",-tbl_main[[#This Row],[Debit]],tbl_main[[#This Row],[Credit]])</f>
        <v>-5</v>
      </c>
      <c r="J132">
        <f>YEAR(tbl_main[[#This Row],[Date]])</f>
        <v>2021</v>
      </c>
      <c r="K132" t="str">
        <f>TEXT(tbl_main[[#This Row],[Date]],"mmm")</f>
        <v>Mar</v>
      </c>
    </row>
    <row r="133" spans="1:11" x14ac:dyDescent="0.25">
      <c r="A133" t="s">
        <v>4</v>
      </c>
      <c r="B133" s="1">
        <v>44278</v>
      </c>
      <c r="C133" t="s">
        <v>13</v>
      </c>
      <c r="D133" t="s">
        <v>14</v>
      </c>
      <c r="E133" t="s">
        <v>15</v>
      </c>
      <c r="F133" t="s">
        <v>16</v>
      </c>
      <c r="G133">
        <v>5</v>
      </c>
      <c r="I133">
        <f>IF(tbl_main[[#This Row],[Debit]]&lt;&gt;"",-tbl_main[[#This Row],[Debit]],tbl_main[[#This Row],[Credit]])</f>
        <v>-5</v>
      </c>
      <c r="J133">
        <f>YEAR(tbl_main[[#This Row],[Date]])</f>
        <v>2021</v>
      </c>
      <c r="K133" t="str">
        <f>TEXT(tbl_main[[#This Row],[Date]],"mmm")</f>
        <v>Mar</v>
      </c>
    </row>
    <row r="134" spans="1:11" x14ac:dyDescent="0.25">
      <c r="A134" t="s">
        <v>4</v>
      </c>
      <c r="B134" s="1">
        <v>44279</v>
      </c>
      <c r="C134" t="s">
        <v>13</v>
      </c>
      <c r="D134" t="s">
        <v>14</v>
      </c>
      <c r="E134" t="s">
        <v>15</v>
      </c>
      <c r="F134" t="s">
        <v>16</v>
      </c>
      <c r="G134">
        <v>5</v>
      </c>
      <c r="I134">
        <f>IF(tbl_main[[#This Row],[Debit]]&lt;&gt;"",-tbl_main[[#This Row],[Debit]],tbl_main[[#This Row],[Credit]])</f>
        <v>-5</v>
      </c>
      <c r="J134">
        <f>YEAR(tbl_main[[#This Row],[Date]])</f>
        <v>2021</v>
      </c>
      <c r="K134" t="str">
        <f>TEXT(tbl_main[[#This Row],[Date]],"mmm")</f>
        <v>Mar</v>
      </c>
    </row>
    <row r="135" spans="1:11" x14ac:dyDescent="0.25">
      <c r="A135" t="s">
        <v>4</v>
      </c>
      <c r="B135" s="1">
        <v>44280</v>
      </c>
      <c r="C135" t="s">
        <v>13</v>
      </c>
      <c r="D135" t="s">
        <v>14</v>
      </c>
      <c r="E135" t="s">
        <v>15</v>
      </c>
      <c r="F135" t="s">
        <v>16</v>
      </c>
      <c r="G135">
        <v>5</v>
      </c>
      <c r="I135">
        <f>IF(tbl_main[[#This Row],[Debit]]&lt;&gt;"",-tbl_main[[#This Row],[Debit]],tbl_main[[#This Row],[Credit]])</f>
        <v>-5</v>
      </c>
      <c r="J135">
        <f>YEAR(tbl_main[[#This Row],[Date]])</f>
        <v>2021</v>
      </c>
      <c r="K135" t="str">
        <f>TEXT(tbl_main[[#This Row],[Date]],"mmm")</f>
        <v>Mar</v>
      </c>
    </row>
    <row r="136" spans="1:11" x14ac:dyDescent="0.25">
      <c r="A136" t="s">
        <v>4</v>
      </c>
      <c r="B136" s="1">
        <v>44281</v>
      </c>
      <c r="C136" t="s">
        <v>13</v>
      </c>
      <c r="D136" t="s">
        <v>14</v>
      </c>
      <c r="E136" t="s">
        <v>15</v>
      </c>
      <c r="F136" t="s">
        <v>16</v>
      </c>
      <c r="G136">
        <v>5</v>
      </c>
      <c r="I136">
        <f>IF(tbl_main[[#This Row],[Debit]]&lt;&gt;"",-tbl_main[[#This Row],[Debit]],tbl_main[[#This Row],[Credit]])</f>
        <v>-5</v>
      </c>
      <c r="J136">
        <f>YEAR(tbl_main[[#This Row],[Date]])</f>
        <v>2021</v>
      </c>
      <c r="K136" t="str">
        <f>TEXT(tbl_main[[#This Row],[Date]],"mmm")</f>
        <v>Mar</v>
      </c>
    </row>
    <row r="137" spans="1:11" x14ac:dyDescent="0.25">
      <c r="A137" t="s">
        <v>4</v>
      </c>
      <c r="B137" s="1">
        <v>44281</v>
      </c>
      <c r="C137" t="s">
        <v>23</v>
      </c>
      <c r="D137" t="s">
        <v>24</v>
      </c>
      <c r="E137" t="s">
        <v>19</v>
      </c>
      <c r="F137" t="s">
        <v>16</v>
      </c>
      <c r="G137">
        <v>209</v>
      </c>
      <c r="I137">
        <f>IF(tbl_main[[#This Row],[Debit]]&lt;&gt;"",-tbl_main[[#This Row],[Debit]],tbl_main[[#This Row],[Credit]])</f>
        <v>-209</v>
      </c>
      <c r="J137">
        <f>YEAR(tbl_main[[#This Row],[Date]])</f>
        <v>2021</v>
      </c>
      <c r="K137" t="str">
        <f>TEXT(tbl_main[[#This Row],[Date]],"mmm")</f>
        <v>Mar</v>
      </c>
    </row>
    <row r="138" spans="1:11" x14ac:dyDescent="0.25">
      <c r="A138" t="s">
        <v>4</v>
      </c>
      <c r="B138" s="1">
        <v>44282</v>
      </c>
      <c r="C138" t="s">
        <v>52</v>
      </c>
      <c r="D138" t="s">
        <v>32</v>
      </c>
      <c r="E138" t="s">
        <v>30</v>
      </c>
      <c r="F138" t="s">
        <v>16</v>
      </c>
      <c r="G138">
        <v>127</v>
      </c>
      <c r="I138">
        <f>IF(tbl_main[[#This Row],[Debit]]&lt;&gt;"",-tbl_main[[#This Row],[Debit]],tbl_main[[#This Row],[Credit]])</f>
        <v>-127</v>
      </c>
      <c r="J138">
        <f>YEAR(tbl_main[[#This Row],[Date]])</f>
        <v>2021</v>
      </c>
      <c r="K138" t="str">
        <f>TEXT(tbl_main[[#This Row],[Date]],"mmm")</f>
        <v>Mar</v>
      </c>
    </row>
    <row r="139" spans="1:11" x14ac:dyDescent="0.25">
      <c r="A139" t="s">
        <v>4</v>
      </c>
      <c r="B139" s="1">
        <v>44282</v>
      </c>
      <c r="C139" t="s">
        <v>56</v>
      </c>
      <c r="D139" t="s">
        <v>32</v>
      </c>
      <c r="E139" t="s">
        <v>30</v>
      </c>
      <c r="F139" t="s">
        <v>16</v>
      </c>
      <c r="G139">
        <v>177.2</v>
      </c>
      <c r="I139">
        <f>IF(tbl_main[[#This Row],[Debit]]&lt;&gt;"",-tbl_main[[#This Row],[Debit]],tbl_main[[#This Row],[Credit]])</f>
        <v>-177.2</v>
      </c>
      <c r="J139">
        <f>YEAR(tbl_main[[#This Row],[Date]])</f>
        <v>2021</v>
      </c>
      <c r="K139" t="str">
        <f>TEXT(tbl_main[[#This Row],[Date]],"mmm")</f>
        <v>Mar</v>
      </c>
    </row>
    <row r="140" spans="1:11" x14ac:dyDescent="0.25">
      <c r="A140" t="s">
        <v>4</v>
      </c>
      <c r="B140" s="1">
        <v>44283</v>
      </c>
      <c r="C140" t="s">
        <v>31</v>
      </c>
      <c r="D140" t="s">
        <v>32</v>
      </c>
      <c r="E140" t="s">
        <v>30</v>
      </c>
      <c r="F140" t="s">
        <v>16</v>
      </c>
      <c r="G140">
        <v>147.1</v>
      </c>
      <c r="I140">
        <f>IF(tbl_main[[#This Row],[Debit]]&lt;&gt;"",-tbl_main[[#This Row],[Debit]],tbl_main[[#This Row],[Credit]])</f>
        <v>-147.1</v>
      </c>
      <c r="J140">
        <f>YEAR(tbl_main[[#This Row],[Date]])</f>
        <v>2021</v>
      </c>
      <c r="K140" t="str">
        <f>TEXT(tbl_main[[#This Row],[Date]],"mmm")</f>
        <v>Mar</v>
      </c>
    </row>
    <row r="141" spans="1:11" x14ac:dyDescent="0.25">
      <c r="A141" t="s">
        <v>4</v>
      </c>
      <c r="B141" s="1">
        <v>44283</v>
      </c>
      <c r="C141" t="s">
        <v>35</v>
      </c>
      <c r="D141" t="s">
        <v>36</v>
      </c>
      <c r="E141" t="s">
        <v>22</v>
      </c>
      <c r="F141" t="s">
        <v>16</v>
      </c>
      <c r="G141">
        <v>25</v>
      </c>
      <c r="I141">
        <f>IF(tbl_main[[#This Row],[Debit]]&lt;&gt;"",-tbl_main[[#This Row],[Debit]],tbl_main[[#This Row],[Credit]])</f>
        <v>-25</v>
      </c>
      <c r="J141">
        <f>YEAR(tbl_main[[#This Row],[Date]])</f>
        <v>2021</v>
      </c>
      <c r="K141" t="str">
        <f>TEXT(tbl_main[[#This Row],[Date]],"mmm")</f>
        <v>Mar</v>
      </c>
    </row>
    <row r="142" spans="1:11" x14ac:dyDescent="0.25">
      <c r="A142" t="s">
        <v>4</v>
      </c>
      <c r="B142" s="1">
        <v>44284</v>
      </c>
      <c r="C142" t="s">
        <v>57</v>
      </c>
      <c r="D142" t="s">
        <v>34</v>
      </c>
      <c r="E142" t="s">
        <v>15</v>
      </c>
      <c r="F142" t="s">
        <v>16</v>
      </c>
      <c r="G142">
        <v>15</v>
      </c>
      <c r="I142">
        <f>IF(tbl_main[[#This Row],[Debit]]&lt;&gt;"",-tbl_main[[#This Row],[Debit]],tbl_main[[#This Row],[Credit]])</f>
        <v>-15</v>
      </c>
      <c r="J142">
        <f>YEAR(tbl_main[[#This Row],[Date]])</f>
        <v>2021</v>
      </c>
      <c r="K142" t="str">
        <f>TEXT(tbl_main[[#This Row],[Date]],"mmm")</f>
        <v>Mar</v>
      </c>
    </row>
    <row r="143" spans="1:11" x14ac:dyDescent="0.25">
      <c r="A143" t="s">
        <v>4</v>
      </c>
      <c r="B143" s="1">
        <v>44285</v>
      </c>
      <c r="C143" t="s">
        <v>13</v>
      </c>
      <c r="D143" t="s">
        <v>14</v>
      </c>
      <c r="E143" t="s">
        <v>15</v>
      </c>
      <c r="F143" t="s">
        <v>16</v>
      </c>
      <c r="G143">
        <v>5</v>
      </c>
      <c r="I143">
        <f>IF(tbl_main[[#This Row],[Debit]]&lt;&gt;"",-tbl_main[[#This Row],[Debit]],tbl_main[[#This Row],[Credit]])</f>
        <v>-5</v>
      </c>
      <c r="J143">
        <f>YEAR(tbl_main[[#This Row],[Date]])</f>
        <v>2021</v>
      </c>
      <c r="K143" t="str">
        <f>TEXT(tbl_main[[#This Row],[Date]],"mmm")</f>
        <v>Mar</v>
      </c>
    </row>
    <row r="144" spans="1:11" x14ac:dyDescent="0.25">
      <c r="A144" t="s">
        <v>4</v>
      </c>
      <c r="B144" s="1">
        <v>44286</v>
      </c>
      <c r="C144" t="s">
        <v>13</v>
      </c>
      <c r="D144" t="s">
        <v>14</v>
      </c>
      <c r="E144" t="s">
        <v>15</v>
      </c>
      <c r="F144" t="s">
        <v>16</v>
      </c>
      <c r="G144">
        <v>5</v>
      </c>
      <c r="I144">
        <f>IF(tbl_main[[#This Row],[Debit]]&lt;&gt;"",-tbl_main[[#This Row],[Debit]],tbl_main[[#This Row],[Credit]])</f>
        <v>-5</v>
      </c>
      <c r="J144">
        <f>YEAR(tbl_main[[#This Row],[Date]])</f>
        <v>2021</v>
      </c>
      <c r="K144" t="str">
        <f>TEXT(tbl_main[[#This Row],[Date]],"mmm")</f>
        <v>Mar</v>
      </c>
    </row>
    <row r="145" spans="1:11" x14ac:dyDescent="0.25">
      <c r="A145" t="s">
        <v>9</v>
      </c>
      <c r="B145" s="1">
        <v>44287</v>
      </c>
      <c r="C145" t="s">
        <v>10</v>
      </c>
      <c r="D145" t="s">
        <v>11</v>
      </c>
      <c r="E145" t="s">
        <v>11</v>
      </c>
      <c r="F145" t="s">
        <v>12</v>
      </c>
      <c r="H145">
        <v>4000</v>
      </c>
      <c r="I145">
        <f>IF(tbl_main[[#This Row],[Debit]]&lt;&gt;"",-tbl_main[[#This Row],[Debit]],tbl_main[[#This Row],[Credit]])</f>
        <v>4000</v>
      </c>
      <c r="J145">
        <f>YEAR(tbl_main[[#This Row],[Date]])</f>
        <v>2021</v>
      </c>
      <c r="K145" t="str">
        <f>TEXT(tbl_main[[#This Row],[Date]],"mmm")</f>
        <v>Apr</v>
      </c>
    </row>
    <row r="146" spans="1:11" x14ac:dyDescent="0.25">
      <c r="A146" t="s">
        <v>4</v>
      </c>
      <c r="B146" s="1">
        <v>44287</v>
      </c>
      <c r="C146" t="s">
        <v>13</v>
      </c>
      <c r="D146" t="s">
        <v>14</v>
      </c>
      <c r="E146" t="s">
        <v>15</v>
      </c>
      <c r="F146" t="s">
        <v>16</v>
      </c>
      <c r="G146">
        <v>5</v>
      </c>
      <c r="I146">
        <f>IF(tbl_main[[#This Row],[Debit]]&lt;&gt;"",-tbl_main[[#This Row],[Debit]],tbl_main[[#This Row],[Credit]])</f>
        <v>-5</v>
      </c>
      <c r="J146">
        <f>YEAR(tbl_main[[#This Row],[Date]])</f>
        <v>2021</v>
      </c>
      <c r="K146" t="str">
        <f>TEXT(tbl_main[[#This Row],[Date]],"mmm")</f>
        <v>Apr</v>
      </c>
    </row>
    <row r="147" spans="1:11" x14ac:dyDescent="0.25">
      <c r="A147" t="s">
        <v>9</v>
      </c>
      <c r="B147" s="1">
        <v>44288</v>
      </c>
      <c r="C147" t="s">
        <v>17</v>
      </c>
      <c r="D147" t="s">
        <v>18</v>
      </c>
      <c r="E147" t="s">
        <v>19</v>
      </c>
      <c r="F147" t="s">
        <v>16</v>
      </c>
      <c r="G147">
        <v>900</v>
      </c>
      <c r="I147">
        <f>IF(tbl_main[[#This Row],[Debit]]&lt;&gt;"",-tbl_main[[#This Row],[Debit]],tbl_main[[#This Row],[Credit]])</f>
        <v>-900</v>
      </c>
      <c r="J147">
        <f>YEAR(tbl_main[[#This Row],[Date]])</f>
        <v>2021</v>
      </c>
      <c r="K147" t="str">
        <f>TEXT(tbl_main[[#This Row],[Date]],"mmm")</f>
        <v>Apr</v>
      </c>
    </row>
    <row r="148" spans="1:11" x14ac:dyDescent="0.25">
      <c r="A148" t="s">
        <v>9</v>
      </c>
      <c r="B148" s="1">
        <v>44288</v>
      </c>
      <c r="C148" t="s">
        <v>20</v>
      </c>
      <c r="D148" t="s">
        <v>21</v>
      </c>
      <c r="E148" t="s">
        <v>22</v>
      </c>
      <c r="F148" t="s">
        <v>16</v>
      </c>
      <c r="G148">
        <v>150</v>
      </c>
      <c r="I148">
        <f>IF(tbl_main[[#This Row],[Debit]]&lt;&gt;"",-tbl_main[[#This Row],[Debit]],tbl_main[[#This Row],[Credit]])</f>
        <v>-150</v>
      </c>
      <c r="J148">
        <f>YEAR(tbl_main[[#This Row],[Date]])</f>
        <v>2021</v>
      </c>
      <c r="K148" t="str">
        <f>TEXT(tbl_main[[#This Row],[Date]],"mmm")</f>
        <v>Apr</v>
      </c>
    </row>
    <row r="149" spans="1:11" x14ac:dyDescent="0.25">
      <c r="A149" t="s">
        <v>4</v>
      </c>
      <c r="B149" s="1">
        <v>44288</v>
      </c>
      <c r="C149" t="s">
        <v>13</v>
      </c>
      <c r="D149" t="s">
        <v>14</v>
      </c>
      <c r="E149" t="s">
        <v>15</v>
      </c>
      <c r="F149" t="s">
        <v>16</v>
      </c>
      <c r="G149">
        <v>5</v>
      </c>
      <c r="I149">
        <f>IF(tbl_main[[#This Row],[Debit]]&lt;&gt;"",-tbl_main[[#This Row],[Debit]],tbl_main[[#This Row],[Credit]])</f>
        <v>-5</v>
      </c>
      <c r="J149">
        <f>YEAR(tbl_main[[#This Row],[Date]])</f>
        <v>2021</v>
      </c>
      <c r="K149" t="str">
        <f>TEXT(tbl_main[[#This Row],[Date]],"mmm")</f>
        <v>Apr</v>
      </c>
    </row>
    <row r="150" spans="1:11" x14ac:dyDescent="0.25">
      <c r="A150" t="s">
        <v>4</v>
      </c>
      <c r="B150" s="1">
        <v>44289</v>
      </c>
      <c r="C150" t="s">
        <v>13</v>
      </c>
      <c r="D150" t="s">
        <v>14</v>
      </c>
      <c r="E150" t="s">
        <v>15</v>
      </c>
      <c r="F150" t="s">
        <v>16</v>
      </c>
      <c r="G150">
        <v>5</v>
      </c>
      <c r="I150">
        <f>IF(tbl_main[[#This Row],[Debit]]&lt;&gt;"",-tbl_main[[#This Row],[Debit]],tbl_main[[#This Row],[Credit]])</f>
        <v>-5</v>
      </c>
      <c r="J150">
        <f>YEAR(tbl_main[[#This Row],[Date]])</f>
        <v>2021</v>
      </c>
      <c r="K150" t="str">
        <f>TEXT(tbl_main[[#This Row],[Date]],"mmm")</f>
        <v>Apr</v>
      </c>
    </row>
    <row r="151" spans="1:11" x14ac:dyDescent="0.25">
      <c r="A151" t="s">
        <v>4</v>
      </c>
      <c r="B151" s="1">
        <v>44290</v>
      </c>
      <c r="C151" t="s">
        <v>13</v>
      </c>
      <c r="D151" t="s">
        <v>14</v>
      </c>
      <c r="E151" t="s">
        <v>15</v>
      </c>
      <c r="F151" t="s">
        <v>16</v>
      </c>
      <c r="G151">
        <v>5</v>
      </c>
      <c r="I151">
        <f>IF(tbl_main[[#This Row],[Debit]]&lt;&gt;"",-tbl_main[[#This Row],[Debit]],tbl_main[[#This Row],[Credit]])</f>
        <v>-5</v>
      </c>
      <c r="J151">
        <f>YEAR(tbl_main[[#This Row],[Date]])</f>
        <v>2021</v>
      </c>
      <c r="K151" t="str">
        <f>TEXT(tbl_main[[#This Row],[Date]],"mmm")</f>
        <v>Apr</v>
      </c>
    </row>
    <row r="152" spans="1:11" x14ac:dyDescent="0.25">
      <c r="A152" t="s">
        <v>4</v>
      </c>
      <c r="B152" s="1">
        <v>44291</v>
      </c>
      <c r="C152" t="s">
        <v>13</v>
      </c>
      <c r="D152" t="s">
        <v>14</v>
      </c>
      <c r="E152" t="s">
        <v>15</v>
      </c>
      <c r="F152" t="s">
        <v>16</v>
      </c>
      <c r="G152">
        <v>5</v>
      </c>
      <c r="I152">
        <f>IF(tbl_main[[#This Row],[Debit]]&lt;&gt;"",-tbl_main[[#This Row],[Debit]],tbl_main[[#This Row],[Credit]])</f>
        <v>-5</v>
      </c>
      <c r="J152">
        <f>YEAR(tbl_main[[#This Row],[Date]])</f>
        <v>2021</v>
      </c>
      <c r="K152" t="str">
        <f>TEXT(tbl_main[[#This Row],[Date]],"mmm")</f>
        <v>Apr</v>
      </c>
    </row>
    <row r="153" spans="1:11" x14ac:dyDescent="0.25">
      <c r="A153" t="s">
        <v>4</v>
      </c>
      <c r="B153" s="1">
        <v>44291</v>
      </c>
      <c r="C153" t="s">
        <v>23</v>
      </c>
      <c r="D153" t="s">
        <v>24</v>
      </c>
      <c r="E153" t="s">
        <v>19</v>
      </c>
      <c r="F153" t="s">
        <v>16</v>
      </c>
      <c r="G153">
        <v>158.19999999999999</v>
      </c>
      <c r="I153">
        <f>IF(tbl_main[[#This Row],[Debit]]&lt;&gt;"",-tbl_main[[#This Row],[Debit]],tbl_main[[#This Row],[Credit]])</f>
        <v>-158.19999999999999</v>
      </c>
      <c r="J153">
        <f>YEAR(tbl_main[[#This Row],[Date]])</f>
        <v>2021</v>
      </c>
      <c r="K153" t="str">
        <f>TEXT(tbl_main[[#This Row],[Date]],"mmm")</f>
        <v>Apr</v>
      </c>
    </row>
    <row r="154" spans="1:11" x14ac:dyDescent="0.25">
      <c r="A154" t="s">
        <v>9</v>
      </c>
      <c r="B154" s="1">
        <v>44294</v>
      </c>
      <c r="C154" t="s">
        <v>25</v>
      </c>
      <c r="D154" t="s">
        <v>26</v>
      </c>
      <c r="E154" t="s">
        <v>19</v>
      </c>
      <c r="F154" t="s">
        <v>16</v>
      </c>
      <c r="G154">
        <v>53.2</v>
      </c>
      <c r="I154">
        <f>IF(tbl_main[[#This Row],[Debit]]&lt;&gt;"",-tbl_main[[#This Row],[Debit]],tbl_main[[#This Row],[Credit]])</f>
        <v>-53.2</v>
      </c>
      <c r="J154">
        <f>YEAR(tbl_main[[#This Row],[Date]])</f>
        <v>2021</v>
      </c>
      <c r="K154" t="str">
        <f>TEXT(tbl_main[[#This Row],[Date]],"mmm")</f>
        <v>Apr</v>
      </c>
    </row>
    <row r="155" spans="1:11" x14ac:dyDescent="0.25">
      <c r="A155" t="s">
        <v>4</v>
      </c>
      <c r="B155" s="1">
        <v>44294</v>
      </c>
      <c r="C155" t="s">
        <v>13</v>
      </c>
      <c r="D155" t="s">
        <v>14</v>
      </c>
      <c r="E155" t="s">
        <v>15</v>
      </c>
      <c r="F155" t="s">
        <v>16</v>
      </c>
      <c r="G155">
        <v>5</v>
      </c>
      <c r="I155">
        <f>IF(tbl_main[[#This Row],[Debit]]&lt;&gt;"",-tbl_main[[#This Row],[Debit]],tbl_main[[#This Row],[Credit]])</f>
        <v>-5</v>
      </c>
      <c r="J155">
        <f>YEAR(tbl_main[[#This Row],[Date]])</f>
        <v>2021</v>
      </c>
      <c r="K155" t="str">
        <f>TEXT(tbl_main[[#This Row],[Date]],"mmm")</f>
        <v>Apr</v>
      </c>
    </row>
    <row r="156" spans="1:11" x14ac:dyDescent="0.25">
      <c r="A156" t="s">
        <v>4</v>
      </c>
      <c r="B156" s="1">
        <v>44295</v>
      </c>
      <c r="C156" t="s">
        <v>13</v>
      </c>
      <c r="D156" t="s">
        <v>14</v>
      </c>
      <c r="E156" t="s">
        <v>15</v>
      </c>
      <c r="F156" t="s">
        <v>16</v>
      </c>
      <c r="G156">
        <v>5</v>
      </c>
      <c r="I156">
        <f>IF(tbl_main[[#This Row],[Debit]]&lt;&gt;"",-tbl_main[[#This Row],[Debit]],tbl_main[[#This Row],[Credit]])</f>
        <v>-5</v>
      </c>
      <c r="J156">
        <f>YEAR(tbl_main[[#This Row],[Date]])</f>
        <v>2021</v>
      </c>
      <c r="K156" t="str">
        <f>TEXT(tbl_main[[#This Row],[Date]],"mmm")</f>
        <v>Apr</v>
      </c>
    </row>
    <row r="157" spans="1:11" x14ac:dyDescent="0.25">
      <c r="A157" t="s">
        <v>4</v>
      </c>
      <c r="B157" s="1">
        <v>44296</v>
      </c>
      <c r="C157" t="s">
        <v>27</v>
      </c>
      <c r="D157" t="s">
        <v>28</v>
      </c>
      <c r="E157" t="s">
        <v>22</v>
      </c>
      <c r="F157" t="s">
        <v>16</v>
      </c>
      <c r="G157">
        <v>79.900000000000006</v>
      </c>
      <c r="I157">
        <f>IF(tbl_main[[#This Row],[Debit]]&lt;&gt;"",-tbl_main[[#This Row],[Debit]],tbl_main[[#This Row],[Credit]])</f>
        <v>-79.900000000000006</v>
      </c>
      <c r="J157">
        <f>YEAR(tbl_main[[#This Row],[Date]])</f>
        <v>2021</v>
      </c>
      <c r="K157" t="str">
        <f>TEXT(tbl_main[[#This Row],[Date]],"mmm")</f>
        <v>Apr</v>
      </c>
    </row>
    <row r="158" spans="1:11" x14ac:dyDescent="0.25">
      <c r="A158" t="s">
        <v>4</v>
      </c>
      <c r="B158" s="1">
        <v>44296</v>
      </c>
      <c r="C158" t="s">
        <v>13</v>
      </c>
      <c r="D158" t="s">
        <v>14</v>
      </c>
      <c r="E158" t="s">
        <v>15</v>
      </c>
      <c r="F158" t="s">
        <v>16</v>
      </c>
      <c r="G158">
        <v>5</v>
      </c>
      <c r="I158">
        <f>IF(tbl_main[[#This Row],[Debit]]&lt;&gt;"",-tbl_main[[#This Row],[Debit]],tbl_main[[#This Row],[Credit]])</f>
        <v>-5</v>
      </c>
      <c r="J158">
        <f>YEAR(tbl_main[[#This Row],[Date]])</f>
        <v>2021</v>
      </c>
      <c r="K158" t="str">
        <f>TEXT(tbl_main[[#This Row],[Date]],"mmm")</f>
        <v>Apr</v>
      </c>
    </row>
    <row r="159" spans="1:11" x14ac:dyDescent="0.25">
      <c r="A159" t="s">
        <v>4</v>
      </c>
      <c r="B159" s="1">
        <v>44297</v>
      </c>
      <c r="C159" t="s">
        <v>13</v>
      </c>
      <c r="D159" t="s">
        <v>14</v>
      </c>
      <c r="E159" t="s">
        <v>15</v>
      </c>
      <c r="F159" t="s">
        <v>16</v>
      </c>
      <c r="G159">
        <v>5</v>
      </c>
      <c r="I159">
        <f>IF(tbl_main[[#This Row],[Debit]]&lt;&gt;"",-tbl_main[[#This Row],[Debit]],tbl_main[[#This Row],[Credit]])</f>
        <v>-5</v>
      </c>
      <c r="J159">
        <f>YEAR(tbl_main[[#This Row],[Date]])</f>
        <v>2021</v>
      </c>
      <c r="K159" t="str">
        <f>TEXT(tbl_main[[#This Row],[Date]],"mmm")</f>
        <v>Apr</v>
      </c>
    </row>
    <row r="160" spans="1:11" x14ac:dyDescent="0.25">
      <c r="A160" t="s">
        <v>4</v>
      </c>
      <c r="B160" s="1">
        <v>44298</v>
      </c>
      <c r="C160" t="s">
        <v>23</v>
      </c>
      <c r="D160" t="s">
        <v>24</v>
      </c>
      <c r="E160" t="s">
        <v>19</v>
      </c>
      <c r="F160" t="s">
        <v>16</v>
      </c>
      <c r="G160">
        <v>98</v>
      </c>
      <c r="I160">
        <f>IF(tbl_main[[#This Row],[Debit]]&lt;&gt;"",-tbl_main[[#This Row],[Debit]],tbl_main[[#This Row],[Credit]])</f>
        <v>-98</v>
      </c>
      <c r="J160">
        <f>YEAR(tbl_main[[#This Row],[Date]])</f>
        <v>2021</v>
      </c>
      <c r="K160" t="str">
        <f>TEXT(tbl_main[[#This Row],[Date]],"mmm")</f>
        <v>Apr</v>
      </c>
    </row>
    <row r="161" spans="1:11" x14ac:dyDescent="0.25">
      <c r="A161" t="s">
        <v>4</v>
      </c>
      <c r="B161" s="1">
        <v>44298</v>
      </c>
      <c r="C161" t="s">
        <v>13</v>
      </c>
      <c r="D161" t="s">
        <v>14</v>
      </c>
      <c r="E161" t="s">
        <v>15</v>
      </c>
      <c r="F161" t="s">
        <v>16</v>
      </c>
      <c r="G161">
        <v>5</v>
      </c>
      <c r="I161">
        <f>IF(tbl_main[[#This Row],[Debit]]&lt;&gt;"",-tbl_main[[#This Row],[Debit]],tbl_main[[#This Row],[Credit]])</f>
        <v>-5</v>
      </c>
      <c r="J161">
        <f>YEAR(tbl_main[[#This Row],[Date]])</f>
        <v>2021</v>
      </c>
      <c r="K161" t="str">
        <f>TEXT(tbl_main[[#This Row],[Date]],"mmm")</f>
        <v>Apr</v>
      </c>
    </row>
    <row r="162" spans="1:11" x14ac:dyDescent="0.25">
      <c r="A162" t="s">
        <v>4</v>
      </c>
      <c r="B162" s="1">
        <v>44299</v>
      </c>
      <c r="C162" t="s">
        <v>13</v>
      </c>
      <c r="D162" t="s">
        <v>14</v>
      </c>
      <c r="E162" t="s">
        <v>15</v>
      </c>
      <c r="F162" t="s">
        <v>16</v>
      </c>
      <c r="G162">
        <v>5</v>
      </c>
      <c r="I162">
        <f>IF(tbl_main[[#This Row],[Debit]]&lt;&gt;"",-tbl_main[[#This Row],[Debit]],tbl_main[[#This Row],[Credit]])</f>
        <v>-5</v>
      </c>
      <c r="J162">
        <f>YEAR(tbl_main[[#This Row],[Date]])</f>
        <v>2021</v>
      </c>
      <c r="K162" t="str">
        <f>TEXT(tbl_main[[#This Row],[Date]],"mmm")</f>
        <v>Apr</v>
      </c>
    </row>
    <row r="163" spans="1:11" x14ac:dyDescent="0.25">
      <c r="A163" t="s">
        <v>4</v>
      </c>
      <c r="B163" s="1">
        <v>44299</v>
      </c>
      <c r="C163" t="s">
        <v>29</v>
      </c>
      <c r="D163" t="s">
        <v>21</v>
      </c>
      <c r="E163" t="s">
        <v>30</v>
      </c>
      <c r="F163" t="s">
        <v>16</v>
      </c>
      <c r="G163">
        <v>42.8</v>
      </c>
      <c r="I163">
        <f>IF(tbl_main[[#This Row],[Debit]]&lt;&gt;"",-tbl_main[[#This Row],[Debit]],tbl_main[[#This Row],[Credit]])</f>
        <v>-42.8</v>
      </c>
      <c r="J163">
        <f>YEAR(tbl_main[[#This Row],[Date]])</f>
        <v>2021</v>
      </c>
      <c r="K163" t="str">
        <f>TEXT(tbl_main[[#This Row],[Date]],"mmm")</f>
        <v>Apr</v>
      </c>
    </row>
    <row r="164" spans="1:11" x14ac:dyDescent="0.25">
      <c r="A164" t="s">
        <v>4</v>
      </c>
      <c r="B164" s="1">
        <v>44299</v>
      </c>
      <c r="C164" t="s">
        <v>31</v>
      </c>
      <c r="D164" t="s">
        <v>32</v>
      </c>
      <c r="E164" t="s">
        <v>30</v>
      </c>
      <c r="F164" t="s">
        <v>16</v>
      </c>
      <c r="G164">
        <v>100.9</v>
      </c>
      <c r="I164">
        <f>IF(tbl_main[[#This Row],[Debit]]&lt;&gt;"",-tbl_main[[#This Row],[Debit]],tbl_main[[#This Row],[Credit]])</f>
        <v>-100.9</v>
      </c>
      <c r="J164">
        <f>YEAR(tbl_main[[#This Row],[Date]])</f>
        <v>2021</v>
      </c>
      <c r="K164" t="str">
        <f>TEXT(tbl_main[[#This Row],[Date]],"mmm")</f>
        <v>Apr</v>
      </c>
    </row>
    <row r="165" spans="1:11" x14ac:dyDescent="0.25">
      <c r="A165" t="s">
        <v>4</v>
      </c>
      <c r="B165" s="1">
        <v>44299</v>
      </c>
      <c r="C165" t="s">
        <v>33</v>
      </c>
      <c r="D165" t="s">
        <v>34</v>
      </c>
      <c r="E165" t="s">
        <v>15</v>
      </c>
      <c r="F165" t="s">
        <v>16</v>
      </c>
      <c r="G165">
        <v>54.9</v>
      </c>
      <c r="I165">
        <f>IF(tbl_main[[#This Row],[Debit]]&lt;&gt;"",-tbl_main[[#This Row],[Debit]],tbl_main[[#This Row],[Credit]])</f>
        <v>-54.9</v>
      </c>
      <c r="J165">
        <f>YEAR(tbl_main[[#This Row],[Date]])</f>
        <v>2021</v>
      </c>
      <c r="K165" t="str">
        <f>TEXT(tbl_main[[#This Row],[Date]],"mmm")</f>
        <v>Apr</v>
      </c>
    </row>
    <row r="166" spans="1:11" x14ac:dyDescent="0.25">
      <c r="A166" t="s">
        <v>4</v>
      </c>
      <c r="B166" s="1">
        <v>44300</v>
      </c>
      <c r="C166" t="s">
        <v>35</v>
      </c>
      <c r="D166" t="s">
        <v>36</v>
      </c>
      <c r="E166" t="s">
        <v>22</v>
      </c>
      <c r="F166" t="s">
        <v>16</v>
      </c>
      <c r="G166">
        <v>31</v>
      </c>
      <c r="I166">
        <f>IF(tbl_main[[#This Row],[Debit]]&lt;&gt;"",-tbl_main[[#This Row],[Debit]],tbl_main[[#This Row],[Credit]])</f>
        <v>-31</v>
      </c>
      <c r="J166">
        <f>YEAR(tbl_main[[#This Row],[Date]])</f>
        <v>2021</v>
      </c>
      <c r="K166" t="str">
        <f>TEXT(tbl_main[[#This Row],[Date]],"mmm")</f>
        <v>Apr</v>
      </c>
    </row>
    <row r="167" spans="1:11" x14ac:dyDescent="0.25">
      <c r="A167" t="s">
        <v>9</v>
      </c>
      <c r="B167" s="1">
        <v>44301</v>
      </c>
      <c r="C167" t="s">
        <v>37</v>
      </c>
      <c r="D167" t="s">
        <v>38</v>
      </c>
      <c r="E167" t="s">
        <v>30</v>
      </c>
      <c r="F167" t="s">
        <v>16</v>
      </c>
      <c r="G167">
        <v>30</v>
      </c>
      <c r="I167">
        <f>IF(tbl_main[[#This Row],[Debit]]&lt;&gt;"",-tbl_main[[#This Row],[Debit]],tbl_main[[#This Row],[Credit]])</f>
        <v>-30</v>
      </c>
      <c r="J167">
        <f>YEAR(tbl_main[[#This Row],[Date]])</f>
        <v>2021</v>
      </c>
      <c r="K167" t="str">
        <f>TEXT(tbl_main[[#This Row],[Date]],"mmm")</f>
        <v>Apr</v>
      </c>
    </row>
    <row r="168" spans="1:11" x14ac:dyDescent="0.25">
      <c r="A168" t="s">
        <v>4</v>
      </c>
      <c r="B168" s="1">
        <v>44301</v>
      </c>
      <c r="C168" t="s">
        <v>13</v>
      </c>
      <c r="D168" t="s">
        <v>14</v>
      </c>
      <c r="E168" t="s">
        <v>15</v>
      </c>
      <c r="F168" t="s">
        <v>16</v>
      </c>
      <c r="G168">
        <v>5</v>
      </c>
      <c r="I168">
        <f>IF(tbl_main[[#This Row],[Debit]]&lt;&gt;"",-tbl_main[[#This Row],[Debit]],tbl_main[[#This Row],[Credit]])</f>
        <v>-5</v>
      </c>
      <c r="J168">
        <f>YEAR(tbl_main[[#This Row],[Date]])</f>
        <v>2021</v>
      </c>
      <c r="K168" t="str">
        <f>TEXT(tbl_main[[#This Row],[Date]],"mmm")</f>
        <v>Apr</v>
      </c>
    </row>
    <row r="169" spans="1:11" x14ac:dyDescent="0.25">
      <c r="A169" t="s">
        <v>4</v>
      </c>
      <c r="B169" s="1">
        <v>44302</v>
      </c>
      <c r="C169" t="s">
        <v>13</v>
      </c>
      <c r="D169" t="s">
        <v>14</v>
      </c>
      <c r="E169" t="s">
        <v>15</v>
      </c>
      <c r="F169" t="s">
        <v>16</v>
      </c>
      <c r="G169">
        <v>5</v>
      </c>
      <c r="I169">
        <f>IF(tbl_main[[#This Row],[Debit]]&lt;&gt;"",-tbl_main[[#This Row],[Debit]],tbl_main[[#This Row],[Credit]])</f>
        <v>-5</v>
      </c>
      <c r="J169">
        <f>YEAR(tbl_main[[#This Row],[Date]])</f>
        <v>2021</v>
      </c>
      <c r="K169" t="str">
        <f>TEXT(tbl_main[[#This Row],[Date]],"mmm")</f>
        <v>Apr</v>
      </c>
    </row>
    <row r="170" spans="1:11" x14ac:dyDescent="0.25">
      <c r="A170" t="s">
        <v>9</v>
      </c>
      <c r="B170" s="1">
        <v>44302</v>
      </c>
      <c r="C170" t="s">
        <v>42</v>
      </c>
      <c r="D170" t="s">
        <v>43</v>
      </c>
      <c r="E170" t="s">
        <v>19</v>
      </c>
      <c r="F170" t="s">
        <v>16</v>
      </c>
      <c r="G170">
        <v>40</v>
      </c>
      <c r="I170">
        <f>IF(tbl_main[[#This Row],[Debit]]&lt;&gt;"",-tbl_main[[#This Row],[Debit]],tbl_main[[#This Row],[Credit]])</f>
        <v>-40</v>
      </c>
      <c r="J170">
        <f>YEAR(tbl_main[[#This Row],[Date]])</f>
        <v>2021</v>
      </c>
      <c r="K170" t="str">
        <f>TEXT(tbl_main[[#This Row],[Date]],"mmm")</f>
        <v>Apr</v>
      </c>
    </row>
    <row r="171" spans="1:11" x14ac:dyDescent="0.25">
      <c r="A171" t="s">
        <v>4</v>
      </c>
      <c r="B171" s="1">
        <v>44303</v>
      </c>
      <c r="C171" t="s">
        <v>44</v>
      </c>
      <c r="D171" t="s">
        <v>45</v>
      </c>
      <c r="E171" t="s">
        <v>30</v>
      </c>
      <c r="F171" t="s">
        <v>16</v>
      </c>
      <c r="G171">
        <v>47.9</v>
      </c>
      <c r="I171">
        <f>IF(tbl_main[[#This Row],[Debit]]&lt;&gt;"",-tbl_main[[#This Row],[Debit]],tbl_main[[#This Row],[Credit]])</f>
        <v>-47.9</v>
      </c>
      <c r="J171">
        <f>YEAR(tbl_main[[#This Row],[Date]])</f>
        <v>2021</v>
      </c>
      <c r="K171" t="str">
        <f>TEXT(tbl_main[[#This Row],[Date]],"mmm")</f>
        <v>Apr</v>
      </c>
    </row>
    <row r="172" spans="1:11" x14ac:dyDescent="0.25">
      <c r="A172" t="s">
        <v>4</v>
      </c>
      <c r="B172" s="1">
        <v>44303</v>
      </c>
      <c r="C172" t="s">
        <v>46</v>
      </c>
      <c r="D172" t="s">
        <v>21</v>
      </c>
      <c r="E172" t="s">
        <v>30</v>
      </c>
      <c r="F172" t="s">
        <v>16</v>
      </c>
      <c r="G172">
        <v>35</v>
      </c>
      <c r="I172">
        <f>IF(tbl_main[[#This Row],[Debit]]&lt;&gt;"",-tbl_main[[#This Row],[Debit]],tbl_main[[#This Row],[Credit]])</f>
        <v>-35</v>
      </c>
      <c r="J172">
        <f>YEAR(tbl_main[[#This Row],[Date]])</f>
        <v>2021</v>
      </c>
      <c r="K172" t="str">
        <f>TEXT(tbl_main[[#This Row],[Date]],"mmm")</f>
        <v>Apr</v>
      </c>
    </row>
    <row r="173" spans="1:11" x14ac:dyDescent="0.25">
      <c r="A173" t="s">
        <v>4</v>
      </c>
      <c r="B173" s="1">
        <v>44303</v>
      </c>
      <c r="C173" t="s">
        <v>13</v>
      </c>
      <c r="D173" t="s">
        <v>14</v>
      </c>
      <c r="E173" t="s">
        <v>15</v>
      </c>
      <c r="F173" t="s">
        <v>16</v>
      </c>
      <c r="G173">
        <v>5</v>
      </c>
      <c r="I173">
        <f>IF(tbl_main[[#This Row],[Debit]]&lt;&gt;"",-tbl_main[[#This Row],[Debit]],tbl_main[[#This Row],[Credit]])</f>
        <v>-5</v>
      </c>
      <c r="J173">
        <f>YEAR(tbl_main[[#This Row],[Date]])</f>
        <v>2021</v>
      </c>
      <c r="K173" t="str">
        <f>TEXT(tbl_main[[#This Row],[Date]],"mmm")</f>
        <v>Apr</v>
      </c>
    </row>
    <row r="174" spans="1:11" x14ac:dyDescent="0.25">
      <c r="A174" t="s">
        <v>4</v>
      </c>
      <c r="B174" s="1">
        <v>44304</v>
      </c>
      <c r="C174" t="s">
        <v>13</v>
      </c>
      <c r="D174" t="s">
        <v>14</v>
      </c>
      <c r="E174" t="s">
        <v>15</v>
      </c>
      <c r="F174" t="s">
        <v>16</v>
      </c>
      <c r="G174">
        <v>5</v>
      </c>
      <c r="I174">
        <f>IF(tbl_main[[#This Row],[Debit]]&lt;&gt;"",-tbl_main[[#This Row],[Debit]],tbl_main[[#This Row],[Credit]])</f>
        <v>-5</v>
      </c>
      <c r="J174">
        <f>YEAR(tbl_main[[#This Row],[Date]])</f>
        <v>2021</v>
      </c>
      <c r="K174" t="str">
        <f>TEXT(tbl_main[[#This Row],[Date]],"mmm")</f>
        <v>Apr</v>
      </c>
    </row>
    <row r="175" spans="1:11" x14ac:dyDescent="0.25">
      <c r="A175" t="s">
        <v>4</v>
      </c>
      <c r="B175" s="1">
        <v>44305</v>
      </c>
      <c r="C175" t="s">
        <v>13</v>
      </c>
      <c r="D175" t="s">
        <v>14</v>
      </c>
      <c r="E175" t="s">
        <v>15</v>
      </c>
      <c r="F175" t="s">
        <v>16</v>
      </c>
      <c r="G175">
        <v>5</v>
      </c>
      <c r="I175">
        <f>IF(tbl_main[[#This Row],[Debit]]&lt;&gt;"",-tbl_main[[#This Row],[Debit]],tbl_main[[#This Row],[Credit]])</f>
        <v>-5</v>
      </c>
      <c r="J175">
        <f>YEAR(tbl_main[[#This Row],[Date]])</f>
        <v>2021</v>
      </c>
      <c r="K175" t="str">
        <f>TEXT(tbl_main[[#This Row],[Date]],"mmm")</f>
        <v>Apr</v>
      </c>
    </row>
    <row r="176" spans="1:11" x14ac:dyDescent="0.25">
      <c r="A176" t="s">
        <v>4</v>
      </c>
      <c r="B176" s="1">
        <v>44305</v>
      </c>
      <c r="C176" t="s">
        <v>23</v>
      </c>
      <c r="D176" t="s">
        <v>24</v>
      </c>
      <c r="E176" t="s">
        <v>19</v>
      </c>
      <c r="F176" t="s">
        <v>16</v>
      </c>
      <c r="G176">
        <v>173</v>
      </c>
      <c r="I176">
        <f>IF(tbl_main[[#This Row],[Debit]]&lt;&gt;"",-tbl_main[[#This Row],[Debit]],tbl_main[[#This Row],[Credit]])</f>
        <v>-173</v>
      </c>
      <c r="J176">
        <f>YEAR(tbl_main[[#This Row],[Date]])</f>
        <v>2021</v>
      </c>
      <c r="K176" t="str">
        <f>TEXT(tbl_main[[#This Row],[Date]],"mmm")</f>
        <v>Apr</v>
      </c>
    </row>
    <row r="177" spans="1:11" x14ac:dyDescent="0.25">
      <c r="A177" t="s">
        <v>4</v>
      </c>
      <c r="B177" s="1">
        <v>44306</v>
      </c>
      <c r="C177" t="s">
        <v>47</v>
      </c>
      <c r="D177" t="s">
        <v>34</v>
      </c>
      <c r="E177" t="s">
        <v>15</v>
      </c>
      <c r="F177" t="s">
        <v>16</v>
      </c>
      <c r="G177">
        <v>40.1</v>
      </c>
      <c r="I177">
        <f>IF(tbl_main[[#This Row],[Debit]]&lt;&gt;"",-tbl_main[[#This Row],[Debit]],tbl_main[[#This Row],[Credit]])</f>
        <v>-40.1</v>
      </c>
      <c r="J177">
        <f>YEAR(tbl_main[[#This Row],[Date]])</f>
        <v>2021</v>
      </c>
      <c r="K177" t="str">
        <f>TEXT(tbl_main[[#This Row],[Date]],"mmm")</f>
        <v>Apr</v>
      </c>
    </row>
    <row r="178" spans="1:11" x14ac:dyDescent="0.25">
      <c r="A178" t="s">
        <v>4</v>
      </c>
      <c r="B178" s="1">
        <v>44307</v>
      </c>
      <c r="C178" t="s">
        <v>48</v>
      </c>
      <c r="D178" t="s">
        <v>34</v>
      </c>
      <c r="E178" t="s">
        <v>15</v>
      </c>
      <c r="F178" t="s">
        <v>16</v>
      </c>
      <c r="G178">
        <v>15.1</v>
      </c>
      <c r="I178">
        <f>IF(tbl_main[[#This Row],[Debit]]&lt;&gt;"",-tbl_main[[#This Row],[Debit]],tbl_main[[#This Row],[Credit]])</f>
        <v>-15.1</v>
      </c>
      <c r="J178">
        <f>YEAR(tbl_main[[#This Row],[Date]])</f>
        <v>2021</v>
      </c>
      <c r="K178" t="str">
        <f>TEXT(tbl_main[[#This Row],[Date]],"mmm")</f>
        <v>Apr</v>
      </c>
    </row>
    <row r="179" spans="1:11" x14ac:dyDescent="0.25">
      <c r="A179" t="s">
        <v>9</v>
      </c>
      <c r="B179" s="1">
        <v>44308</v>
      </c>
      <c r="C179" t="s">
        <v>49</v>
      </c>
      <c r="D179" t="s">
        <v>50</v>
      </c>
      <c r="E179" t="s">
        <v>51</v>
      </c>
      <c r="F179" t="s">
        <v>16</v>
      </c>
      <c r="G179">
        <v>55</v>
      </c>
      <c r="I179">
        <f>IF(tbl_main[[#This Row],[Debit]]&lt;&gt;"",-tbl_main[[#This Row],[Debit]],tbl_main[[#This Row],[Credit]])</f>
        <v>-55</v>
      </c>
      <c r="J179">
        <f>YEAR(tbl_main[[#This Row],[Date]])</f>
        <v>2021</v>
      </c>
      <c r="K179" t="str">
        <f>TEXT(tbl_main[[#This Row],[Date]],"mmm")</f>
        <v>Apr</v>
      </c>
    </row>
    <row r="180" spans="1:11" x14ac:dyDescent="0.25">
      <c r="A180" t="s">
        <v>4</v>
      </c>
      <c r="B180" s="1">
        <v>44308</v>
      </c>
      <c r="C180" t="s">
        <v>27</v>
      </c>
      <c r="D180" t="s">
        <v>28</v>
      </c>
      <c r="E180" t="s">
        <v>22</v>
      </c>
      <c r="F180" t="s">
        <v>16</v>
      </c>
      <c r="G180">
        <v>66</v>
      </c>
      <c r="I180">
        <f>IF(tbl_main[[#This Row],[Debit]]&lt;&gt;"",-tbl_main[[#This Row],[Debit]],tbl_main[[#This Row],[Credit]])</f>
        <v>-66</v>
      </c>
      <c r="J180">
        <f>YEAR(tbl_main[[#This Row],[Date]])</f>
        <v>2021</v>
      </c>
      <c r="K180" t="str">
        <f>TEXT(tbl_main[[#This Row],[Date]],"mmm")</f>
        <v>Apr</v>
      </c>
    </row>
    <row r="181" spans="1:11" x14ac:dyDescent="0.25">
      <c r="A181" t="s">
        <v>4</v>
      </c>
      <c r="B181" s="1">
        <v>44308</v>
      </c>
      <c r="C181" t="s">
        <v>13</v>
      </c>
      <c r="D181" t="s">
        <v>14</v>
      </c>
      <c r="E181" t="s">
        <v>15</v>
      </c>
      <c r="F181" t="s">
        <v>16</v>
      </c>
      <c r="G181">
        <v>5</v>
      </c>
      <c r="I181">
        <f>IF(tbl_main[[#This Row],[Debit]]&lt;&gt;"",-tbl_main[[#This Row],[Debit]],tbl_main[[#This Row],[Credit]])</f>
        <v>-5</v>
      </c>
      <c r="J181">
        <f>YEAR(tbl_main[[#This Row],[Date]])</f>
        <v>2021</v>
      </c>
      <c r="K181" t="str">
        <f>TEXT(tbl_main[[#This Row],[Date]],"mmm")</f>
        <v>Apr</v>
      </c>
    </row>
    <row r="182" spans="1:11" x14ac:dyDescent="0.25">
      <c r="A182" t="s">
        <v>4</v>
      </c>
      <c r="B182" s="1">
        <v>44309</v>
      </c>
      <c r="C182" t="s">
        <v>13</v>
      </c>
      <c r="D182" t="s">
        <v>14</v>
      </c>
      <c r="E182" t="s">
        <v>15</v>
      </c>
      <c r="F182" t="s">
        <v>16</v>
      </c>
      <c r="G182">
        <v>5</v>
      </c>
      <c r="I182">
        <f>IF(tbl_main[[#This Row],[Debit]]&lt;&gt;"",-tbl_main[[#This Row],[Debit]],tbl_main[[#This Row],[Credit]])</f>
        <v>-5</v>
      </c>
      <c r="J182">
        <f>YEAR(tbl_main[[#This Row],[Date]])</f>
        <v>2021</v>
      </c>
      <c r="K182" t="str">
        <f>TEXT(tbl_main[[#This Row],[Date]],"mmm")</f>
        <v>Apr</v>
      </c>
    </row>
    <row r="183" spans="1:11" x14ac:dyDescent="0.25">
      <c r="A183" t="s">
        <v>4</v>
      </c>
      <c r="B183" s="1">
        <v>44310</v>
      </c>
      <c r="C183" t="s">
        <v>13</v>
      </c>
      <c r="D183" t="s">
        <v>14</v>
      </c>
      <c r="E183" t="s">
        <v>15</v>
      </c>
      <c r="F183" t="s">
        <v>16</v>
      </c>
      <c r="G183">
        <v>5</v>
      </c>
      <c r="I183">
        <f>IF(tbl_main[[#This Row],[Debit]]&lt;&gt;"",-tbl_main[[#This Row],[Debit]],tbl_main[[#This Row],[Credit]])</f>
        <v>-5</v>
      </c>
      <c r="J183">
        <f>YEAR(tbl_main[[#This Row],[Date]])</f>
        <v>2021</v>
      </c>
      <c r="K183" t="str">
        <f>TEXT(tbl_main[[#This Row],[Date]],"mmm")</f>
        <v>Apr</v>
      </c>
    </row>
    <row r="184" spans="1:11" x14ac:dyDescent="0.25">
      <c r="A184" t="s">
        <v>4</v>
      </c>
      <c r="B184" s="1">
        <v>44311</v>
      </c>
      <c r="C184" t="s">
        <v>13</v>
      </c>
      <c r="D184" t="s">
        <v>14</v>
      </c>
      <c r="E184" t="s">
        <v>15</v>
      </c>
      <c r="F184" t="s">
        <v>16</v>
      </c>
      <c r="G184">
        <v>5</v>
      </c>
      <c r="I184">
        <f>IF(tbl_main[[#This Row],[Debit]]&lt;&gt;"",-tbl_main[[#This Row],[Debit]],tbl_main[[#This Row],[Credit]])</f>
        <v>-5</v>
      </c>
      <c r="J184">
        <f>YEAR(tbl_main[[#This Row],[Date]])</f>
        <v>2021</v>
      </c>
      <c r="K184" t="str">
        <f>TEXT(tbl_main[[#This Row],[Date]],"mmm")</f>
        <v>Apr</v>
      </c>
    </row>
    <row r="185" spans="1:11" x14ac:dyDescent="0.25">
      <c r="A185" t="s">
        <v>4</v>
      </c>
      <c r="B185" s="1">
        <v>44312</v>
      </c>
      <c r="C185" t="s">
        <v>13</v>
      </c>
      <c r="D185" t="s">
        <v>14</v>
      </c>
      <c r="E185" t="s">
        <v>15</v>
      </c>
      <c r="F185" t="s">
        <v>16</v>
      </c>
      <c r="G185">
        <v>5</v>
      </c>
      <c r="I185">
        <f>IF(tbl_main[[#This Row],[Debit]]&lt;&gt;"",-tbl_main[[#This Row],[Debit]],tbl_main[[#This Row],[Credit]])</f>
        <v>-5</v>
      </c>
      <c r="J185">
        <f>YEAR(tbl_main[[#This Row],[Date]])</f>
        <v>2021</v>
      </c>
      <c r="K185" t="str">
        <f>TEXT(tbl_main[[#This Row],[Date]],"mmm")</f>
        <v>Apr</v>
      </c>
    </row>
    <row r="186" spans="1:11" x14ac:dyDescent="0.25">
      <c r="A186" t="s">
        <v>4</v>
      </c>
      <c r="B186" s="1">
        <v>44312</v>
      </c>
      <c r="C186" t="s">
        <v>23</v>
      </c>
      <c r="D186" t="s">
        <v>24</v>
      </c>
      <c r="E186" t="s">
        <v>19</v>
      </c>
      <c r="F186" t="s">
        <v>16</v>
      </c>
      <c r="G186">
        <v>164.9</v>
      </c>
      <c r="I186">
        <f>IF(tbl_main[[#This Row],[Debit]]&lt;&gt;"",-tbl_main[[#This Row],[Debit]],tbl_main[[#This Row],[Credit]])</f>
        <v>-164.9</v>
      </c>
      <c r="J186">
        <f>YEAR(tbl_main[[#This Row],[Date]])</f>
        <v>2021</v>
      </c>
      <c r="K186" t="str">
        <f>TEXT(tbl_main[[#This Row],[Date]],"mmm")</f>
        <v>Apr</v>
      </c>
    </row>
    <row r="187" spans="1:11" x14ac:dyDescent="0.25">
      <c r="A187" t="s">
        <v>4</v>
      </c>
      <c r="B187" s="1">
        <v>44313</v>
      </c>
      <c r="C187" t="s">
        <v>52</v>
      </c>
      <c r="D187" t="s">
        <v>32</v>
      </c>
      <c r="E187" t="s">
        <v>30</v>
      </c>
      <c r="F187" t="s">
        <v>16</v>
      </c>
      <c r="G187">
        <v>127.9</v>
      </c>
      <c r="I187">
        <f>IF(tbl_main[[#This Row],[Debit]]&lt;&gt;"",-tbl_main[[#This Row],[Debit]],tbl_main[[#This Row],[Credit]])</f>
        <v>-127.9</v>
      </c>
      <c r="J187">
        <f>YEAR(tbl_main[[#This Row],[Date]])</f>
        <v>2021</v>
      </c>
      <c r="K187" t="str">
        <f>TEXT(tbl_main[[#This Row],[Date]],"mmm")</f>
        <v>Apr</v>
      </c>
    </row>
    <row r="188" spans="1:11" x14ac:dyDescent="0.25">
      <c r="A188" t="s">
        <v>4</v>
      </c>
      <c r="B188" s="1">
        <v>44313</v>
      </c>
      <c r="C188" t="s">
        <v>58</v>
      </c>
      <c r="D188" t="s">
        <v>21</v>
      </c>
      <c r="E188" t="s">
        <v>30</v>
      </c>
      <c r="F188" t="s">
        <v>16</v>
      </c>
      <c r="G188">
        <v>300</v>
      </c>
      <c r="I188">
        <f>IF(tbl_main[[#This Row],[Debit]]&lt;&gt;"",-tbl_main[[#This Row],[Debit]],tbl_main[[#This Row],[Credit]])</f>
        <v>-300</v>
      </c>
      <c r="J188">
        <f>YEAR(tbl_main[[#This Row],[Date]])</f>
        <v>2021</v>
      </c>
      <c r="K188" t="str">
        <f>TEXT(tbl_main[[#This Row],[Date]],"mmm")</f>
        <v>Apr</v>
      </c>
    </row>
    <row r="189" spans="1:11" x14ac:dyDescent="0.25">
      <c r="A189" t="s">
        <v>4</v>
      </c>
      <c r="B189" s="1">
        <v>44314</v>
      </c>
      <c r="C189" t="s">
        <v>31</v>
      </c>
      <c r="D189" t="s">
        <v>32</v>
      </c>
      <c r="E189" t="s">
        <v>30</v>
      </c>
      <c r="F189" t="s">
        <v>16</v>
      </c>
      <c r="G189">
        <v>148.1</v>
      </c>
      <c r="I189">
        <f>IF(tbl_main[[#This Row],[Debit]]&lt;&gt;"",-tbl_main[[#This Row],[Debit]],tbl_main[[#This Row],[Credit]])</f>
        <v>-148.1</v>
      </c>
      <c r="J189">
        <f>YEAR(tbl_main[[#This Row],[Date]])</f>
        <v>2021</v>
      </c>
      <c r="K189" t="str">
        <f>TEXT(tbl_main[[#This Row],[Date]],"mmm")</f>
        <v>Apr</v>
      </c>
    </row>
    <row r="190" spans="1:11" x14ac:dyDescent="0.25">
      <c r="A190" t="s">
        <v>4</v>
      </c>
      <c r="B190" s="1">
        <v>44314</v>
      </c>
      <c r="C190" t="s">
        <v>35</v>
      </c>
      <c r="D190" t="s">
        <v>36</v>
      </c>
      <c r="E190" t="s">
        <v>22</v>
      </c>
      <c r="F190" t="s">
        <v>16</v>
      </c>
      <c r="G190">
        <v>26.1</v>
      </c>
      <c r="I190">
        <f>IF(tbl_main[[#This Row],[Debit]]&lt;&gt;"",-tbl_main[[#This Row],[Debit]],tbl_main[[#This Row],[Credit]])</f>
        <v>-26.1</v>
      </c>
      <c r="J190">
        <f>YEAR(tbl_main[[#This Row],[Date]])</f>
        <v>2021</v>
      </c>
      <c r="K190" t="str">
        <f>TEXT(tbl_main[[#This Row],[Date]],"mmm")</f>
        <v>Apr</v>
      </c>
    </row>
    <row r="191" spans="1:11" x14ac:dyDescent="0.25">
      <c r="A191" t="s">
        <v>4</v>
      </c>
      <c r="B191" s="1">
        <v>44315</v>
      </c>
      <c r="C191" t="s">
        <v>57</v>
      </c>
      <c r="D191" t="s">
        <v>34</v>
      </c>
      <c r="E191" t="s">
        <v>15</v>
      </c>
      <c r="F191" t="s">
        <v>16</v>
      </c>
      <c r="G191">
        <v>15</v>
      </c>
      <c r="I191">
        <f>IF(tbl_main[[#This Row],[Debit]]&lt;&gt;"",-tbl_main[[#This Row],[Debit]],tbl_main[[#This Row],[Credit]])</f>
        <v>-15</v>
      </c>
      <c r="J191">
        <f>YEAR(tbl_main[[#This Row],[Date]])</f>
        <v>2021</v>
      </c>
      <c r="K191" t="str">
        <f>TEXT(tbl_main[[#This Row],[Date]],"mmm")</f>
        <v>Apr</v>
      </c>
    </row>
    <row r="192" spans="1:11" x14ac:dyDescent="0.25">
      <c r="A192" t="s">
        <v>4</v>
      </c>
      <c r="B192" s="1">
        <v>44315</v>
      </c>
      <c r="C192" t="s">
        <v>13</v>
      </c>
      <c r="D192" t="s">
        <v>14</v>
      </c>
      <c r="E192" t="s">
        <v>15</v>
      </c>
      <c r="F192" t="s">
        <v>16</v>
      </c>
      <c r="G192">
        <v>5</v>
      </c>
      <c r="I192">
        <f>IF(tbl_main[[#This Row],[Debit]]&lt;&gt;"",-tbl_main[[#This Row],[Debit]],tbl_main[[#This Row],[Credit]])</f>
        <v>-5</v>
      </c>
      <c r="J192">
        <f>YEAR(tbl_main[[#This Row],[Date]])</f>
        <v>2021</v>
      </c>
      <c r="K192" t="str">
        <f>TEXT(tbl_main[[#This Row],[Date]],"mmm")</f>
        <v>Apr</v>
      </c>
    </row>
    <row r="193" spans="1:11" x14ac:dyDescent="0.25">
      <c r="A193" t="s">
        <v>4</v>
      </c>
      <c r="B193" s="1">
        <v>44316</v>
      </c>
      <c r="C193" t="s">
        <v>13</v>
      </c>
      <c r="D193" t="s">
        <v>14</v>
      </c>
      <c r="E193" t="s">
        <v>15</v>
      </c>
      <c r="F193" t="s">
        <v>16</v>
      </c>
      <c r="G193">
        <v>5</v>
      </c>
      <c r="I193">
        <f>IF(tbl_main[[#This Row],[Debit]]&lt;&gt;"",-tbl_main[[#This Row],[Debit]],tbl_main[[#This Row],[Credit]])</f>
        <v>-5</v>
      </c>
      <c r="J193">
        <f>YEAR(tbl_main[[#This Row],[Date]])</f>
        <v>2021</v>
      </c>
      <c r="K193" t="str">
        <f>TEXT(tbl_main[[#This Row],[Date]],"mmm")</f>
        <v>Apr</v>
      </c>
    </row>
    <row r="194" spans="1:11" x14ac:dyDescent="0.25">
      <c r="A194" t="s">
        <v>4</v>
      </c>
      <c r="B194" s="1">
        <v>44318</v>
      </c>
      <c r="C194" t="s">
        <v>13</v>
      </c>
      <c r="D194" t="s">
        <v>14</v>
      </c>
      <c r="E194" t="s">
        <v>15</v>
      </c>
      <c r="F194" t="s">
        <v>16</v>
      </c>
      <c r="G194">
        <v>5</v>
      </c>
      <c r="I194">
        <f>IF(tbl_main[[#This Row],[Debit]]&lt;&gt;"",-tbl_main[[#This Row],[Debit]],tbl_main[[#This Row],[Credit]])</f>
        <v>-5</v>
      </c>
      <c r="J194">
        <f>YEAR(tbl_main[[#This Row],[Date]])</f>
        <v>2021</v>
      </c>
      <c r="K194" t="str">
        <f>TEXT(tbl_main[[#This Row],[Date]],"mmm")</f>
        <v>May</v>
      </c>
    </row>
    <row r="195" spans="1:11" x14ac:dyDescent="0.25">
      <c r="A195" t="s">
        <v>9</v>
      </c>
      <c r="B195" s="1">
        <v>44319</v>
      </c>
      <c r="C195" t="s">
        <v>10</v>
      </c>
      <c r="D195" t="s">
        <v>11</v>
      </c>
      <c r="E195" t="s">
        <v>11</v>
      </c>
      <c r="F195" t="s">
        <v>12</v>
      </c>
      <c r="H195">
        <v>4000</v>
      </c>
      <c r="I195">
        <f>IF(tbl_main[[#This Row],[Debit]]&lt;&gt;"",-tbl_main[[#This Row],[Debit]],tbl_main[[#This Row],[Credit]])</f>
        <v>4000</v>
      </c>
      <c r="J195">
        <f>YEAR(tbl_main[[#This Row],[Date]])</f>
        <v>2021</v>
      </c>
      <c r="K195" t="str">
        <f>TEXT(tbl_main[[#This Row],[Date]],"mmm")</f>
        <v>May</v>
      </c>
    </row>
    <row r="196" spans="1:11" x14ac:dyDescent="0.25">
      <c r="A196" t="s">
        <v>9</v>
      </c>
      <c r="B196" s="1">
        <v>44319</v>
      </c>
      <c r="C196" t="s">
        <v>17</v>
      </c>
      <c r="D196" t="s">
        <v>18</v>
      </c>
      <c r="E196" t="s">
        <v>19</v>
      </c>
      <c r="F196" t="s">
        <v>16</v>
      </c>
      <c r="G196">
        <v>900</v>
      </c>
      <c r="I196">
        <f>IF(tbl_main[[#This Row],[Debit]]&lt;&gt;"",-tbl_main[[#This Row],[Debit]],tbl_main[[#This Row],[Credit]])</f>
        <v>-900</v>
      </c>
      <c r="J196">
        <f>YEAR(tbl_main[[#This Row],[Date]])</f>
        <v>2021</v>
      </c>
      <c r="K196" t="str">
        <f>TEXT(tbl_main[[#This Row],[Date]],"mmm")</f>
        <v>May</v>
      </c>
    </row>
    <row r="197" spans="1:11" x14ac:dyDescent="0.25">
      <c r="A197" t="s">
        <v>9</v>
      </c>
      <c r="B197" s="1">
        <v>44319</v>
      </c>
      <c r="C197" t="s">
        <v>20</v>
      </c>
      <c r="D197" t="s">
        <v>21</v>
      </c>
      <c r="E197" t="s">
        <v>22</v>
      </c>
      <c r="F197" t="s">
        <v>16</v>
      </c>
      <c r="G197">
        <v>150</v>
      </c>
      <c r="I197">
        <f>IF(tbl_main[[#This Row],[Debit]]&lt;&gt;"",-tbl_main[[#This Row],[Debit]],tbl_main[[#This Row],[Credit]])</f>
        <v>-150</v>
      </c>
      <c r="J197">
        <f>YEAR(tbl_main[[#This Row],[Date]])</f>
        <v>2021</v>
      </c>
      <c r="K197" t="str">
        <f>TEXT(tbl_main[[#This Row],[Date]],"mmm")</f>
        <v>May</v>
      </c>
    </row>
    <row r="198" spans="1:11" x14ac:dyDescent="0.25">
      <c r="A198" t="s">
        <v>4</v>
      </c>
      <c r="B198" s="1">
        <v>44319</v>
      </c>
      <c r="C198" t="s">
        <v>13</v>
      </c>
      <c r="D198" t="s">
        <v>14</v>
      </c>
      <c r="E198" t="s">
        <v>15</v>
      </c>
      <c r="F198" t="s">
        <v>16</v>
      </c>
      <c r="G198">
        <v>5</v>
      </c>
      <c r="I198">
        <f>IF(tbl_main[[#This Row],[Debit]]&lt;&gt;"",-tbl_main[[#This Row],[Debit]],tbl_main[[#This Row],[Credit]])</f>
        <v>-5</v>
      </c>
      <c r="J198">
        <f>YEAR(tbl_main[[#This Row],[Date]])</f>
        <v>2021</v>
      </c>
      <c r="K198" t="str">
        <f>TEXT(tbl_main[[#This Row],[Date]],"mmm")</f>
        <v>May</v>
      </c>
    </row>
    <row r="199" spans="1:11" x14ac:dyDescent="0.25">
      <c r="A199" t="s">
        <v>4</v>
      </c>
      <c r="B199" s="1">
        <v>44320</v>
      </c>
      <c r="C199" t="s">
        <v>13</v>
      </c>
      <c r="D199" t="s">
        <v>14</v>
      </c>
      <c r="E199" t="s">
        <v>15</v>
      </c>
      <c r="F199" t="s">
        <v>16</v>
      </c>
      <c r="G199">
        <v>5</v>
      </c>
      <c r="I199">
        <f>IF(tbl_main[[#This Row],[Debit]]&lt;&gt;"",-tbl_main[[#This Row],[Debit]],tbl_main[[#This Row],[Credit]])</f>
        <v>-5</v>
      </c>
      <c r="J199">
        <f>YEAR(tbl_main[[#This Row],[Date]])</f>
        <v>2021</v>
      </c>
      <c r="K199" t="str">
        <f>TEXT(tbl_main[[#This Row],[Date]],"mmm")</f>
        <v>May</v>
      </c>
    </row>
    <row r="200" spans="1:11" x14ac:dyDescent="0.25">
      <c r="A200" t="s">
        <v>4</v>
      </c>
      <c r="B200" s="1">
        <v>44321</v>
      </c>
      <c r="C200" t="s">
        <v>13</v>
      </c>
      <c r="D200" t="s">
        <v>14</v>
      </c>
      <c r="E200" t="s">
        <v>15</v>
      </c>
      <c r="F200" t="s">
        <v>16</v>
      </c>
      <c r="G200">
        <v>5</v>
      </c>
      <c r="I200">
        <f>IF(tbl_main[[#This Row],[Debit]]&lt;&gt;"",-tbl_main[[#This Row],[Debit]],tbl_main[[#This Row],[Credit]])</f>
        <v>-5</v>
      </c>
      <c r="J200">
        <f>YEAR(tbl_main[[#This Row],[Date]])</f>
        <v>2021</v>
      </c>
      <c r="K200" t="str">
        <f>TEXT(tbl_main[[#This Row],[Date]],"mmm")</f>
        <v>May</v>
      </c>
    </row>
    <row r="201" spans="1:11" x14ac:dyDescent="0.25">
      <c r="A201" t="s">
        <v>4</v>
      </c>
      <c r="B201" s="1">
        <v>44322</v>
      </c>
      <c r="C201" t="s">
        <v>13</v>
      </c>
      <c r="D201" t="s">
        <v>14</v>
      </c>
      <c r="E201" t="s">
        <v>15</v>
      </c>
      <c r="F201" t="s">
        <v>16</v>
      </c>
      <c r="G201">
        <v>5</v>
      </c>
      <c r="I201">
        <f>IF(tbl_main[[#This Row],[Debit]]&lt;&gt;"",-tbl_main[[#This Row],[Debit]],tbl_main[[#This Row],[Credit]])</f>
        <v>-5</v>
      </c>
      <c r="J201">
        <f>YEAR(tbl_main[[#This Row],[Date]])</f>
        <v>2021</v>
      </c>
      <c r="K201" t="str">
        <f>TEXT(tbl_main[[#This Row],[Date]],"mmm")</f>
        <v>May</v>
      </c>
    </row>
    <row r="202" spans="1:11" x14ac:dyDescent="0.25">
      <c r="A202" t="s">
        <v>4</v>
      </c>
      <c r="B202" s="1">
        <v>44322</v>
      </c>
      <c r="C202" t="s">
        <v>23</v>
      </c>
      <c r="D202" t="s">
        <v>24</v>
      </c>
      <c r="E202" t="s">
        <v>19</v>
      </c>
      <c r="F202" t="s">
        <v>16</v>
      </c>
      <c r="G202">
        <v>170</v>
      </c>
      <c r="I202">
        <f>IF(tbl_main[[#This Row],[Debit]]&lt;&gt;"",-tbl_main[[#This Row],[Debit]],tbl_main[[#This Row],[Credit]])</f>
        <v>-170</v>
      </c>
      <c r="J202">
        <f>YEAR(tbl_main[[#This Row],[Date]])</f>
        <v>2021</v>
      </c>
      <c r="K202" t="str">
        <f>TEXT(tbl_main[[#This Row],[Date]],"mmm")</f>
        <v>May</v>
      </c>
    </row>
    <row r="203" spans="1:11" x14ac:dyDescent="0.25">
      <c r="A203" t="s">
        <v>9</v>
      </c>
      <c r="B203" s="1">
        <v>44325</v>
      </c>
      <c r="C203" t="s">
        <v>25</v>
      </c>
      <c r="D203" t="s">
        <v>26</v>
      </c>
      <c r="E203" t="s">
        <v>19</v>
      </c>
      <c r="F203" t="s">
        <v>16</v>
      </c>
      <c r="G203">
        <v>54.1</v>
      </c>
      <c r="I203">
        <f>IF(tbl_main[[#This Row],[Debit]]&lt;&gt;"",-tbl_main[[#This Row],[Debit]],tbl_main[[#This Row],[Credit]])</f>
        <v>-54.1</v>
      </c>
      <c r="J203">
        <f>YEAR(tbl_main[[#This Row],[Date]])</f>
        <v>2021</v>
      </c>
      <c r="K203" t="str">
        <f>TEXT(tbl_main[[#This Row],[Date]],"mmm")</f>
        <v>May</v>
      </c>
    </row>
    <row r="204" spans="1:11" x14ac:dyDescent="0.25">
      <c r="A204" t="s">
        <v>4</v>
      </c>
      <c r="B204" s="1">
        <v>44325</v>
      </c>
      <c r="C204" t="s">
        <v>13</v>
      </c>
      <c r="D204" t="s">
        <v>14</v>
      </c>
      <c r="E204" t="s">
        <v>15</v>
      </c>
      <c r="F204" t="s">
        <v>16</v>
      </c>
      <c r="G204">
        <v>5</v>
      </c>
      <c r="I204">
        <f>IF(tbl_main[[#This Row],[Debit]]&lt;&gt;"",-tbl_main[[#This Row],[Debit]],tbl_main[[#This Row],[Credit]])</f>
        <v>-5</v>
      </c>
      <c r="J204">
        <f>YEAR(tbl_main[[#This Row],[Date]])</f>
        <v>2021</v>
      </c>
      <c r="K204" t="str">
        <f>TEXT(tbl_main[[#This Row],[Date]],"mmm")</f>
        <v>May</v>
      </c>
    </row>
    <row r="205" spans="1:11" x14ac:dyDescent="0.25">
      <c r="A205" t="s">
        <v>4</v>
      </c>
      <c r="B205" s="1">
        <v>44326</v>
      </c>
      <c r="C205" t="s">
        <v>13</v>
      </c>
      <c r="D205" t="s">
        <v>14</v>
      </c>
      <c r="E205" t="s">
        <v>15</v>
      </c>
      <c r="F205" t="s">
        <v>16</v>
      </c>
      <c r="G205">
        <v>5</v>
      </c>
      <c r="I205">
        <f>IF(tbl_main[[#This Row],[Debit]]&lt;&gt;"",-tbl_main[[#This Row],[Debit]],tbl_main[[#This Row],[Credit]])</f>
        <v>-5</v>
      </c>
      <c r="J205">
        <f>YEAR(tbl_main[[#This Row],[Date]])</f>
        <v>2021</v>
      </c>
      <c r="K205" t="str">
        <f>TEXT(tbl_main[[#This Row],[Date]],"mmm")</f>
        <v>May</v>
      </c>
    </row>
    <row r="206" spans="1:11" x14ac:dyDescent="0.25">
      <c r="A206" t="s">
        <v>4</v>
      </c>
      <c r="B206" s="1">
        <v>44327</v>
      </c>
      <c r="C206" t="s">
        <v>27</v>
      </c>
      <c r="D206" t="s">
        <v>28</v>
      </c>
      <c r="E206" t="s">
        <v>22</v>
      </c>
      <c r="F206" t="s">
        <v>16</v>
      </c>
      <c r="G206">
        <v>81</v>
      </c>
      <c r="I206">
        <f>IF(tbl_main[[#This Row],[Debit]]&lt;&gt;"",-tbl_main[[#This Row],[Debit]],tbl_main[[#This Row],[Credit]])</f>
        <v>-81</v>
      </c>
      <c r="J206">
        <f>YEAR(tbl_main[[#This Row],[Date]])</f>
        <v>2021</v>
      </c>
      <c r="K206" t="str">
        <f>TEXT(tbl_main[[#This Row],[Date]],"mmm")</f>
        <v>May</v>
      </c>
    </row>
    <row r="207" spans="1:11" x14ac:dyDescent="0.25">
      <c r="A207" t="s">
        <v>4</v>
      </c>
      <c r="B207" s="1">
        <v>44327</v>
      </c>
      <c r="C207" t="s">
        <v>13</v>
      </c>
      <c r="D207" t="s">
        <v>14</v>
      </c>
      <c r="E207" t="s">
        <v>15</v>
      </c>
      <c r="F207" t="s">
        <v>16</v>
      </c>
      <c r="G207">
        <v>5</v>
      </c>
      <c r="I207">
        <f>IF(tbl_main[[#This Row],[Debit]]&lt;&gt;"",-tbl_main[[#This Row],[Debit]],tbl_main[[#This Row],[Credit]])</f>
        <v>-5</v>
      </c>
      <c r="J207">
        <f>YEAR(tbl_main[[#This Row],[Date]])</f>
        <v>2021</v>
      </c>
      <c r="K207" t="str">
        <f>TEXT(tbl_main[[#This Row],[Date]],"mmm")</f>
        <v>May</v>
      </c>
    </row>
    <row r="208" spans="1:11" x14ac:dyDescent="0.25">
      <c r="A208" t="s">
        <v>4</v>
      </c>
      <c r="B208" s="1">
        <v>44328</v>
      </c>
      <c r="C208" t="s">
        <v>13</v>
      </c>
      <c r="D208" t="s">
        <v>14</v>
      </c>
      <c r="E208" t="s">
        <v>15</v>
      </c>
      <c r="F208" t="s">
        <v>16</v>
      </c>
      <c r="G208">
        <v>5</v>
      </c>
      <c r="I208">
        <f>IF(tbl_main[[#This Row],[Debit]]&lt;&gt;"",-tbl_main[[#This Row],[Debit]],tbl_main[[#This Row],[Credit]])</f>
        <v>-5</v>
      </c>
      <c r="J208">
        <f>YEAR(tbl_main[[#This Row],[Date]])</f>
        <v>2021</v>
      </c>
      <c r="K208" t="str">
        <f>TEXT(tbl_main[[#This Row],[Date]],"mmm")</f>
        <v>May</v>
      </c>
    </row>
    <row r="209" spans="1:11" x14ac:dyDescent="0.25">
      <c r="A209" t="s">
        <v>4</v>
      </c>
      <c r="B209" s="1">
        <v>44329</v>
      </c>
      <c r="C209" t="s">
        <v>23</v>
      </c>
      <c r="D209" t="s">
        <v>24</v>
      </c>
      <c r="E209" t="s">
        <v>19</v>
      </c>
      <c r="F209" t="s">
        <v>16</v>
      </c>
      <c r="G209">
        <v>139.1</v>
      </c>
      <c r="I209">
        <f>IF(tbl_main[[#This Row],[Debit]]&lt;&gt;"",-tbl_main[[#This Row],[Debit]],tbl_main[[#This Row],[Credit]])</f>
        <v>-139.1</v>
      </c>
      <c r="J209">
        <f>YEAR(tbl_main[[#This Row],[Date]])</f>
        <v>2021</v>
      </c>
      <c r="K209" t="str">
        <f>TEXT(tbl_main[[#This Row],[Date]],"mmm")</f>
        <v>May</v>
      </c>
    </row>
    <row r="210" spans="1:11" x14ac:dyDescent="0.25">
      <c r="A210" t="s">
        <v>4</v>
      </c>
      <c r="B210" s="1">
        <v>44329</v>
      </c>
      <c r="C210" t="s">
        <v>13</v>
      </c>
      <c r="D210" t="s">
        <v>14</v>
      </c>
      <c r="E210" t="s">
        <v>15</v>
      </c>
      <c r="F210" t="s">
        <v>16</v>
      </c>
      <c r="G210">
        <v>5</v>
      </c>
      <c r="I210">
        <f>IF(tbl_main[[#This Row],[Debit]]&lt;&gt;"",-tbl_main[[#This Row],[Debit]],tbl_main[[#This Row],[Credit]])</f>
        <v>-5</v>
      </c>
      <c r="J210">
        <f>YEAR(tbl_main[[#This Row],[Date]])</f>
        <v>2021</v>
      </c>
      <c r="K210" t="str">
        <f>TEXT(tbl_main[[#This Row],[Date]],"mmm")</f>
        <v>May</v>
      </c>
    </row>
    <row r="211" spans="1:11" x14ac:dyDescent="0.25">
      <c r="A211" t="s">
        <v>4</v>
      </c>
      <c r="B211" s="1">
        <v>44330</v>
      </c>
      <c r="C211" t="s">
        <v>13</v>
      </c>
      <c r="D211" t="s">
        <v>14</v>
      </c>
      <c r="E211" t="s">
        <v>15</v>
      </c>
      <c r="F211" t="s">
        <v>16</v>
      </c>
      <c r="G211">
        <v>5</v>
      </c>
      <c r="I211">
        <f>IF(tbl_main[[#This Row],[Debit]]&lt;&gt;"",-tbl_main[[#This Row],[Debit]],tbl_main[[#This Row],[Credit]])</f>
        <v>-5</v>
      </c>
      <c r="J211">
        <f>YEAR(tbl_main[[#This Row],[Date]])</f>
        <v>2021</v>
      </c>
      <c r="K211" t="str">
        <f>TEXT(tbl_main[[#This Row],[Date]],"mmm")</f>
        <v>May</v>
      </c>
    </row>
    <row r="212" spans="1:11" x14ac:dyDescent="0.25">
      <c r="A212" t="s">
        <v>4</v>
      </c>
      <c r="B212" s="1">
        <v>44330</v>
      </c>
      <c r="C212" t="s">
        <v>29</v>
      </c>
      <c r="D212" t="s">
        <v>21</v>
      </c>
      <c r="E212" t="s">
        <v>30</v>
      </c>
      <c r="F212" t="s">
        <v>16</v>
      </c>
      <c r="G212">
        <v>43.9</v>
      </c>
      <c r="I212">
        <f>IF(tbl_main[[#This Row],[Debit]]&lt;&gt;"",-tbl_main[[#This Row],[Debit]],tbl_main[[#This Row],[Credit]])</f>
        <v>-43.9</v>
      </c>
      <c r="J212">
        <f>YEAR(tbl_main[[#This Row],[Date]])</f>
        <v>2021</v>
      </c>
      <c r="K212" t="str">
        <f>TEXT(tbl_main[[#This Row],[Date]],"mmm")</f>
        <v>May</v>
      </c>
    </row>
    <row r="213" spans="1:11" x14ac:dyDescent="0.25">
      <c r="A213" t="s">
        <v>4</v>
      </c>
      <c r="B213" s="1">
        <v>44330</v>
      </c>
      <c r="C213" t="s">
        <v>31</v>
      </c>
      <c r="D213" t="s">
        <v>32</v>
      </c>
      <c r="E213" t="s">
        <v>30</v>
      </c>
      <c r="F213" t="s">
        <v>16</v>
      </c>
      <c r="G213">
        <v>101.80000000000001</v>
      </c>
      <c r="I213">
        <f>IF(tbl_main[[#This Row],[Debit]]&lt;&gt;"",-tbl_main[[#This Row],[Debit]],tbl_main[[#This Row],[Credit]])</f>
        <v>-101.80000000000001</v>
      </c>
      <c r="J213">
        <f>YEAR(tbl_main[[#This Row],[Date]])</f>
        <v>2021</v>
      </c>
      <c r="K213" t="str">
        <f>TEXT(tbl_main[[#This Row],[Date]],"mmm")</f>
        <v>May</v>
      </c>
    </row>
    <row r="214" spans="1:11" x14ac:dyDescent="0.25">
      <c r="A214" t="s">
        <v>4</v>
      </c>
      <c r="B214" s="1">
        <v>44330</v>
      </c>
      <c r="C214" t="s">
        <v>33</v>
      </c>
      <c r="D214" t="s">
        <v>34</v>
      </c>
      <c r="E214" t="s">
        <v>15</v>
      </c>
      <c r="F214" t="s">
        <v>16</v>
      </c>
      <c r="G214">
        <v>55.9</v>
      </c>
      <c r="I214">
        <f>IF(tbl_main[[#This Row],[Debit]]&lt;&gt;"",-tbl_main[[#This Row],[Debit]],tbl_main[[#This Row],[Credit]])</f>
        <v>-55.9</v>
      </c>
      <c r="J214">
        <f>YEAR(tbl_main[[#This Row],[Date]])</f>
        <v>2021</v>
      </c>
      <c r="K214" t="str">
        <f>TEXT(tbl_main[[#This Row],[Date]],"mmm")</f>
        <v>May</v>
      </c>
    </row>
    <row r="215" spans="1:11" x14ac:dyDescent="0.25">
      <c r="A215" t="s">
        <v>4</v>
      </c>
      <c r="B215" s="1">
        <v>44331</v>
      </c>
      <c r="C215" t="s">
        <v>35</v>
      </c>
      <c r="D215" t="s">
        <v>36</v>
      </c>
      <c r="E215" t="s">
        <v>22</v>
      </c>
      <c r="F215" t="s">
        <v>16</v>
      </c>
      <c r="G215">
        <v>32</v>
      </c>
      <c r="I215">
        <f>IF(tbl_main[[#This Row],[Debit]]&lt;&gt;"",-tbl_main[[#This Row],[Debit]],tbl_main[[#This Row],[Credit]])</f>
        <v>-32</v>
      </c>
      <c r="J215">
        <f>YEAR(tbl_main[[#This Row],[Date]])</f>
        <v>2021</v>
      </c>
      <c r="K215" t="str">
        <f>TEXT(tbl_main[[#This Row],[Date]],"mmm")</f>
        <v>May</v>
      </c>
    </row>
    <row r="216" spans="1:11" x14ac:dyDescent="0.25">
      <c r="A216" t="s">
        <v>9</v>
      </c>
      <c r="B216" s="1">
        <v>44332</v>
      </c>
      <c r="C216" t="s">
        <v>37</v>
      </c>
      <c r="D216" t="s">
        <v>38</v>
      </c>
      <c r="E216" t="s">
        <v>30</v>
      </c>
      <c r="F216" t="s">
        <v>16</v>
      </c>
      <c r="G216">
        <v>30</v>
      </c>
      <c r="I216">
        <f>IF(tbl_main[[#This Row],[Debit]]&lt;&gt;"",-tbl_main[[#This Row],[Debit]],tbl_main[[#This Row],[Credit]])</f>
        <v>-30</v>
      </c>
      <c r="J216">
        <f>YEAR(tbl_main[[#This Row],[Date]])</f>
        <v>2021</v>
      </c>
      <c r="K216" t="str">
        <f>TEXT(tbl_main[[#This Row],[Date]],"mmm")</f>
        <v>May</v>
      </c>
    </row>
    <row r="217" spans="1:11" x14ac:dyDescent="0.25">
      <c r="A217" t="s">
        <v>4</v>
      </c>
      <c r="B217" s="1">
        <v>44332</v>
      </c>
      <c r="C217" t="s">
        <v>13</v>
      </c>
      <c r="D217" t="s">
        <v>14</v>
      </c>
      <c r="E217" t="s">
        <v>15</v>
      </c>
      <c r="F217" t="s">
        <v>16</v>
      </c>
      <c r="G217">
        <v>5</v>
      </c>
      <c r="I217">
        <f>IF(tbl_main[[#This Row],[Debit]]&lt;&gt;"",-tbl_main[[#This Row],[Debit]],tbl_main[[#This Row],[Credit]])</f>
        <v>-5</v>
      </c>
      <c r="J217">
        <f>YEAR(tbl_main[[#This Row],[Date]])</f>
        <v>2021</v>
      </c>
      <c r="K217" t="str">
        <f>TEXT(tbl_main[[#This Row],[Date]],"mmm")</f>
        <v>May</v>
      </c>
    </row>
    <row r="218" spans="1:11" x14ac:dyDescent="0.25">
      <c r="A218" t="s">
        <v>4</v>
      </c>
      <c r="B218" s="1">
        <v>44333</v>
      </c>
      <c r="C218" t="s">
        <v>13</v>
      </c>
      <c r="D218" t="s">
        <v>14</v>
      </c>
      <c r="E218" t="s">
        <v>15</v>
      </c>
      <c r="F218" t="s">
        <v>16</v>
      </c>
      <c r="G218">
        <v>5</v>
      </c>
      <c r="I218">
        <f>IF(tbl_main[[#This Row],[Debit]]&lt;&gt;"",-tbl_main[[#This Row],[Debit]],tbl_main[[#This Row],[Credit]])</f>
        <v>-5</v>
      </c>
      <c r="J218">
        <f>YEAR(tbl_main[[#This Row],[Date]])</f>
        <v>2021</v>
      </c>
      <c r="K218" t="str">
        <f>TEXT(tbl_main[[#This Row],[Date]],"mmm")</f>
        <v>May</v>
      </c>
    </row>
    <row r="219" spans="1:11" x14ac:dyDescent="0.25">
      <c r="A219" t="s">
        <v>9</v>
      </c>
      <c r="B219" s="1">
        <v>44333</v>
      </c>
      <c r="C219" t="s">
        <v>55</v>
      </c>
      <c r="D219" t="s">
        <v>40</v>
      </c>
      <c r="E219" t="s">
        <v>41</v>
      </c>
      <c r="F219" t="s">
        <v>16</v>
      </c>
      <c r="G219">
        <v>75</v>
      </c>
      <c r="I219">
        <f>IF(tbl_main[[#This Row],[Debit]]&lt;&gt;"",-tbl_main[[#This Row],[Debit]],tbl_main[[#This Row],[Credit]])</f>
        <v>-75</v>
      </c>
      <c r="J219">
        <f>YEAR(tbl_main[[#This Row],[Date]])</f>
        <v>2021</v>
      </c>
      <c r="K219" t="str">
        <f>TEXT(tbl_main[[#This Row],[Date]],"mmm")</f>
        <v>May</v>
      </c>
    </row>
    <row r="220" spans="1:11" x14ac:dyDescent="0.25">
      <c r="A220" t="s">
        <v>9</v>
      </c>
      <c r="B220" s="1">
        <v>44333</v>
      </c>
      <c r="C220" t="s">
        <v>42</v>
      </c>
      <c r="D220" t="s">
        <v>43</v>
      </c>
      <c r="E220" t="s">
        <v>19</v>
      </c>
      <c r="F220" t="s">
        <v>16</v>
      </c>
      <c r="G220">
        <v>40</v>
      </c>
      <c r="I220">
        <f>IF(tbl_main[[#This Row],[Debit]]&lt;&gt;"",-tbl_main[[#This Row],[Debit]],tbl_main[[#This Row],[Credit]])</f>
        <v>-40</v>
      </c>
      <c r="J220">
        <f>YEAR(tbl_main[[#This Row],[Date]])</f>
        <v>2021</v>
      </c>
      <c r="K220" t="str">
        <f>TEXT(tbl_main[[#This Row],[Date]],"mmm")</f>
        <v>May</v>
      </c>
    </row>
    <row r="221" spans="1:11" x14ac:dyDescent="0.25">
      <c r="A221" t="s">
        <v>4</v>
      </c>
      <c r="B221" s="1">
        <v>44334</v>
      </c>
      <c r="C221" t="s">
        <v>44</v>
      </c>
      <c r="D221" t="s">
        <v>45</v>
      </c>
      <c r="E221" t="s">
        <v>30</v>
      </c>
      <c r="F221" t="s">
        <v>16</v>
      </c>
      <c r="G221">
        <v>49</v>
      </c>
      <c r="I221">
        <f>IF(tbl_main[[#This Row],[Debit]]&lt;&gt;"",-tbl_main[[#This Row],[Debit]],tbl_main[[#This Row],[Credit]])</f>
        <v>-49</v>
      </c>
      <c r="J221">
        <f>YEAR(tbl_main[[#This Row],[Date]])</f>
        <v>2021</v>
      </c>
      <c r="K221" t="str">
        <f>TEXT(tbl_main[[#This Row],[Date]],"mmm")</f>
        <v>May</v>
      </c>
    </row>
    <row r="222" spans="1:11" x14ac:dyDescent="0.25">
      <c r="A222" t="s">
        <v>4</v>
      </c>
      <c r="B222" s="1">
        <v>44334</v>
      </c>
      <c r="C222" t="s">
        <v>46</v>
      </c>
      <c r="D222" t="s">
        <v>21</v>
      </c>
      <c r="E222" t="s">
        <v>30</v>
      </c>
      <c r="F222" t="s">
        <v>16</v>
      </c>
      <c r="G222">
        <v>35</v>
      </c>
      <c r="I222">
        <f>IF(tbl_main[[#This Row],[Debit]]&lt;&gt;"",-tbl_main[[#This Row],[Debit]],tbl_main[[#This Row],[Credit]])</f>
        <v>-35</v>
      </c>
      <c r="J222">
        <f>YEAR(tbl_main[[#This Row],[Date]])</f>
        <v>2021</v>
      </c>
      <c r="K222" t="str">
        <f>TEXT(tbl_main[[#This Row],[Date]],"mmm")</f>
        <v>May</v>
      </c>
    </row>
    <row r="223" spans="1:11" x14ac:dyDescent="0.25">
      <c r="A223" t="s">
        <v>4</v>
      </c>
      <c r="B223" s="1">
        <v>44334</v>
      </c>
      <c r="C223" t="s">
        <v>13</v>
      </c>
      <c r="D223" t="s">
        <v>14</v>
      </c>
      <c r="E223" t="s">
        <v>15</v>
      </c>
      <c r="F223" t="s">
        <v>16</v>
      </c>
      <c r="G223">
        <v>5</v>
      </c>
      <c r="I223">
        <f>IF(tbl_main[[#This Row],[Debit]]&lt;&gt;"",-tbl_main[[#This Row],[Debit]],tbl_main[[#This Row],[Credit]])</f>
        <v>-5</v>
      </c>
      <c r="J223">
        <f>YEAR(tbl_main[[#This Row],[Date]])</f>
        <v>2021</v>
      </c>
      <c r="K223" t="str">
        <f>TEXT(tbl_main[[#This Row],[Date]],"mmm")</f>
        <v>May</v>
      </c>
    </row>
    <row r="224" spans="1:11" x14ac:dyDescent="0.25">
      <c r="A224" t="s">
        <v>4</v>
      </c>
      <c r="B224" s="1">
        <v>44335</v>
      </c>
      <c r="C224" t="s">
        <v>13</v>
      </c>
      <c r="D224" t="s">
        <v>14</v>
      </c>
      <c r="E224" t="s">
        <v>15</v>
      </c>
      <c r="F224" t="s">
        <v>16</v>
      </c>
      <c r="G224">
        <v>5</v>
      </c>
      <c r="I224">
        <f>IF(tbl_main[[#This Row],[Debit]]&lt;&gt;"",-tbl_main[[#This Row],[Debit]],tbl_main[[#This Row],[Credit]])</f>
        <v>-5</v>
      </c>
      <c r="J224">
        <f>YEAR(tbl_main[[#This Row],[Date]])</f>
        <v>2021</v>
      </c>
      <c r="K224" t="str">
        <f>TEXT(tbl_main[[#This Row],[Date]],"mmm")</f>
        <v>May</v>
      </c>
    </row>
    <row r="225" spans="1:11" x14ac:dyDescent="0.25">
      <c r="A225" t="s">
        <v>4</v>
      </c>
      <c r="B225" s="1">
        <v>44336</v>
      </c>
      <c r="C225" t="s">
        <v>13</v>
      </c>
      <c r="D225" t="s">
        <v>14</v>
      </c>
      <c r="E225" t="s">
        <v>15</v>
      </c>
      <c r="F225" t="s">
        <v>16</v>
      </c>
      <c r="G225">
        <v>5</v>
      </c>
      <c r="I225">
        <f>IF(tbl_main[[#This Row],[Debit]]&lt;&gt;"",-tbl_main[[#This Row],[Debit]],tbl_main[[#This Row],[Credit]])</f>
        <v>-5</v>
      </c>
      <c r="J225">
        <f>YEAR(tbl_main[[#This Row],[Date]])</f>
        <v>2021</v>
      </c>
      <c r="K225" t="str">
        <f>TEXT(tbl_main[[#This Row],[Date]],"mmm")</f>
        <v>May</v>
      </c>
    </row>
    <row r="226" spans="1:11" x14ac:dyDescent="0.25">
      <c r="A226" t="s">
        <v>4</v>
      </c>
      <c r="B226" s="1">
        <v>44336</v>
      </c>
      <c r="C226" t="s">
        <v>23</v>
      </c>
      <c r="D226" t="s">
        <v>24</v>
      </c>
      <c r="E226" t="s">
        <v>19</v>
      </c>
      <c r="F226" t="s">
        <v>16</v>
      </c>
      <c r="G226">
        <v>174</v>
      </c>
      <c r="I226">
        <f>IF(tbl_main[[#This Row],[Debit]]&lt;&gt;"",-tbl_main[[#This Row],[Debit]],tbl_main[[#This Row],[Credit]])</f>
        <v>-174</v>
      </c>
      <c r="J226">
        <f>YEAR(tbl_main[[#This Row],[Date]])</f>
        <v>2021</v>
      </c>
      <c r="K226" t="str">
        <f>TEXT(tbl_main[[#This Row],[Date]],"mmm")</f>
        <v>May</v>
      </c>
    </row>
    <row r="227" spans="1:11" x14ac:dyDescent="0.25">
      <c r="A227" t="s">
        <v>4</v>
      </c>
      <c r="B227" s="1">
        <v>44337</v>
      </c>
      <c r="C227" t="s">
        <v>47</v>
      </c>
      <c r="D227" t="s">
        <v>34</v>
      </c>
      <c r="E227" t="s">
        <v>15</v>
      </c>
      <c r="F227" t="s">
        <v>16</v>
      </c>
      <c r="G227">
        <v>41.1</v>
      </c>
      <c r="I227">
        <f>IF(tbl_main[[#This Row],[Debit]]&lt;&gt;"",-tbl_main[[#This Row],[Debit]],tbl_main[[#This Row],[Credit]])</f>
        <v>-41.1</v>
      </c>
      <c r="J227">
        <f>YEAR(tbl_main[[#This Row],[Date]])</f>
        <v>2021</v>
      </c>
      <c r="K227" t="str">
        <f>TEXT(tbl_main[[#This Row],[Date]],"mmm")</f>
        <v>May</v>
      </c>
    </row>
    <row r="228" spans="1:11" x14ac:dyDescent="0.25">
      <c r="A228" t="s">
        <v>4</v>
      </c>
      <c r="B228" s="1">
        <v>44338</v>
      </c>
      <c r="C228" t="s">
        <v>48</v>
      </c>
      <c r="D228" t="s">
        <v>34</v>
      </c>
      <c r="E228" t="s">
        <v>15</v>
      </c>
      <c r="F228" t="s">
        <v>16</v>
      </c>
      <c r="G228">
        <v>16.2</v>
      </c>
      <c r="I228">
        <f>IF(tbl_main[[#This Row],[Debit]]&lt;&gt;"",-tbl_main[[#This Row],[Debit]],tbl_main[[#This Row],[Credit]])</f>
        <v>-16.2</v>
      </c>
      <c r="J228">
        <f>YEAR(tbl_main[[#This Row],[Date]])</f>
        <v>2021</v>
      </c>
      <c r="K228" t="str">
        <f>TEXT(tbl_main[[#This Row],[Date]],"mmm")</f>
        <v>May</v>
      </c>
    </row>
    <row r="229" spans="1:11" x14ac:dyDescent="0.25">
      <c r="A229" t="s">
        <v>9</v>
      </c>
      <c r="B229" s="1">
        <v>44339</v>
      </c>
      <c r="C229" t="s">
        <v>49</v>
      </c>
      <c r="D229" t="s">
        <v>50</v>
      </c>
      <c r="E229" t="s">
        <v>51</v>
      </c>
      <c r="F229" t="s">
        <v>16</v>
      </c>
      <c r="G229">
        <v>55</v>
      </c>
      <c r="I229">
        <f>IF(tbl_main[[#This Row],[Debit]]&lt;&gt;"",-tbl_main[[#This Row],[Debit]],tbl_main[[#This Row],[Credit]])</f>
        <v>-55</v>
      </c>
      <c r="J229">
        <f>YEAR(tbl_main[[#This Row],[Date]])</f>
        <v>2021</v>
      </c>
      <c r="K229" t="str">
        <f>TEXT(tbl_main[[#This Row],[Date]],"mmm")</f>
        <v>May</v>
      </c>
    </row>
    <row r="230" spans="1:11" x14ac:dyDescent="0.25">
      <c r="A230" t="s">
        <v>4</v>
      </c>
      <c r="B230" s="1">
        <v>44339</v>
      </c>
      <c r="C230" t="s">
        <v>27</v>
      </c>
      <c r="D230" t="s">
        <v>28</v>
      </c>
      <c r="E230" t="s">
        <v>22</v>
      </c>
      <c r="F230" t="s">
        <v>16</v>
      </c>
      <c r="G230">
        <v>67</v>
      </c>
      <c r="I230">
        <f>IF(tbl_main[[#This Row],[Debit]]&lt;&gt;"",-tbl_main[[#This Row],[Debit]],tbl_main[[#This Row],[Credit]])</f>
        <v>-67</v>
      </c>
      <c r="J230">
        <f>YEAR(tbl_main[[#This Row],[Date]])</f>
        <v>2021</v>
      </c>
      <c r="K230" t="str">
        <f>TEXT(tbl_main[[#This Row],[Date]],"mmm")</f>
        <v>May</v>
      </c>
    </row>
    <row r="231" spans="1:11" x14ac:dyDescent="0.25">
      <c r="A231" t="s">
        <v>4</v>
      </c>
      <c r="B231" s="1">
        <v>44339</v>
      </c>
      <c r="C231" t="s">
        <v>13</v>
      </c>
      <c r="D231" t="s">
        <v>14</v>
      </c>
      <c r="E231" t="s">
        <v>15</v>
      </c>
      <c r="F231" t="s">
        <v>16</v>
      </c>
      <c r="G231">
        <v>5</v>
      </c>
      <c r="I231">
        <f>IF(tbl_main[[#This Row],[Debit]]&lt;&gt;"",-tbl_main[[#This Row],[Debit]],tbl_main[[#This Row],[Credit]])</f>
        <v>-5</v>
      </c>
      <c r="J231">
        <f>YEAR(tbl_main[[#This Row],[Date]])</f>
        <v>2021</v>
      </c>
      <c r="K231" t="str">
        <f>TEXT(tbl_main[[#This Row],[Date]],"mmm")</f>
        <v>May</v>
      </c>
    </row>
    <row r="232" spans="1:11" x14ac:dyDescent="0.25">
      <c r="A232" t="s">
        <v>4</v>
      </c>
      <c r="B232" s="1">
        <v>44340</v>
      </c>
      <c r="C232" t="s">
        <v>13</v>
      </c>
      <c r="D232" t="s">
        <v>14</v>
      </c>
      <c r="E232" t="s">
        <v>15</v>
      </c>
      <c r="F232" t="s">
        <v>16</v>
      </c>
      <c r="G232">
        <v>5</v>
      </c>
      <c r="I232">
        <f>IF(tbl_main[[#This Row],[Debit]]&lt;&gt;"",-tbl_main[[#This Row],[Debit]],tbl_main[[#This Row],[Credit]])</f>
        <v>-5</v>
      </c>
      <c r="J232">
        <f>YEAR(tbl_main[[#This Row],[Date]])</f>
        <v>2021</v>
      </c>
      <c r="K232" t="str">
        <f>TEXT(tbl_main[[#This Row],[Date]],"mmm")</f>
        <v>May</v>
      </c>
    </row>
    <row r="233" spans="1:11" x14ac:dyDescent="0.25">
      <c r="A233" t="s">
        <v>4</v>
      </c>
      <c r="B233" s="1">
        <v>44341</v>
      </c>
      <c r="C233" t="s">
        <v>13</v>
      </c>
      <c r="D233" t="s">
        <v>14</v>
      </c>
      <c r="E233" t="s">
        <v>15</v>
      </c>
      <c r="F233" t="s">
        <v>16</v>
      </c>
      <c r="G233">
        <v>5</v>
      </c>
      <c r="I233">
        <f>IF(tbl_main[[#This Row],[Debit]]&lt;&gt;"",-tbl_main[[#This Row],[Debit]],tbl_main[[#This Row],[Credit]])</f>
        <v>-5</v>
      </c>
      <c r="J233">
        <f>YEAR(tbl_main[[#This Row],[Date]])</f>
        <v>2021</v>
      </c>
      <c r="K233" t="str">
        <f>TEXT(tbl_main[[#This Row],[Date]],"mmm")</f>
        <v>May</v>
      </c>
    </row>
    <row r="234" spans="1:11" x14ac:dyDescent="0.25">
      <c r="A234" t="s">
        <v>4</v>
      </c>
      <c r="B234" s="1">
        <v>44342</v>
      </c>
      <c r="C234" t="s">
        <v>13</v>
      </c>
      <c r="D234" t="s">
        <v>14</v>
      </c>
      <c r="E234" t="s">
        <v>15</v>
      </c>
      <c r="F234" t="s">
        <v>16</v>
      </c>
      <c r="G234">
        <v>5</v>
      </c>
      <c r="I234">
        <f>IF(tbl_main[[#This Row],[Debit]]&lt;&gt;"",-tbl_main[[#This Row],[Debit]],tbl_main[[#This Row],[Credit]])</f>
        <v>-5</v>
      </c>
      <c r="J234">
        <f>YEAR(tbl_main[[#This Row],[Date]])</f>
        <v>2021</v>
      </c>
      <c r="K234" t="str">
        <f>TEXT(tbl_main[[#This Row],[Date]],"mmm")</f>
        <v>May</v>
      </c>
    </row>
    <row r="235" spans="1:11" x14ac:dyDescent="0.25">
      <c r="A235" t="s">
        <v>4</v>
      </c>
      <c r="B235" s="1">
        <v>44343</v>
      </c>
      <c r="C235" t="s">
        <v>13</v>
      </c>
      <c r="D235" t="s">
        <v>14</v>
      </c>
      <c r="E235" t="s">
        <v>15</v>
      </c>
      <c r="F235" t="s">
        <v>16</v>
      </c>
      <c r="G235">
        <v>5</v>
      </c>
      <c r="I235">
        <f>IF(tbl_main[[#This Row],[Debit]]&lt;&gt;"",-tbl_main[[#This Row],[Debit]],tbl_main[[#This Row],[Credit]])</f>
        <v>-5</v>
      </c>
      <c r="J235">
        <f>YEAR(tbl_main[[#This Row],[Date]])</f>
        <v>2021</v>
      </c>
      <c r="K235" t="str">
        <f>TEXT(tbl_main[[#This Row],[Date]],"mmm")</f>
        <v>May</v>
      </c>
    </row>
    <row r="236" spans="1:11" x14ac:dyDescent="0.25">
      <c r="A236" t="s">
        <v>4</v>
      </c>
      <c r="B236" s="1">
        <v>44343</v>
      </c>
      <c r="C236" t="s">
        <v>23</v>
      </c>
      <c r="D236" t="s">
        <v>24</v>
      </c>
      <c r="E236" t="s">
        <v>19</v>
      </c>
      <c r="F236" t="s">
        <v>16</v>
      </c>
      <c r="G236">
        <v>165.8</v>
      </c>
      <c r="I236">
        <f>IF(tbl_main[[#This Row],[Debit]]&lt;&gt;"",-tbl_main[[#This Row],[Debit]],tbl_main[[#This Row],[Credit]])</f>
        <v>-165.8</v>
      </c>
      <c r="J236">
        <f>YEAR(tbl_main[[#This Row],[Date]])</f>
        <v>2021</v>
      </c>
      <c r="K236" t="str">
        <f>TEXT(tbl_main[[#This Row],[Date]],"mmm")</f>
        <v>May</v>
      </c>
    </row>
    <row r="237" spans="1:11" x14ac:dyDescent="0.25">
      <c r="A237" t="s">
        <v>4</v>
      </c>
      <c r="B237" s="1">
        <v>44344</v>
      </c>
      <c r="C237" t="s">
        <v>52</v>
      </c>
      <c r="D237" t="s">
        <v>32</v>
      </c>
      <c r="E237" t="s">
        <v>30</v>
      </c>
      <c r="F237" t="s">
        <v>16</v>
      </c>
      <c r="G237">
        <v>128.80000000000001</v>
      </c>
      <c r="I237">
        <f>IF(tbl_main[[#This Row],[Debit]]&lt;&gt;"",-tbl_main[[#This Row],[Debit]],tbl_main[[#This Row],[Credit]])</f>
        <v>-128.80000000000001</v>
      </c>
      <c r="J237">
        <f>YEAR(tbl_main[[#This Row],[Date]])</f>
        <v>2021</v>
      </c>
      <c r="K237" t="str">
        <f>TEXT(tbl_main[[#This Row],[Date]],"mmm")</f>
        <v>May</v>
      </c>
    </row>
    <row r="238" spans="1:11" x14ac:dyDescent="0.25">
      <c r="A238" t="s">
        <v>4</v>
      </c>
      <c r="B238" s="1">
        <v>44344</v>
      </c>
      <c r="C238" t="s">
        <v>59</v>
      </c>
      <c r="D238" t="s">
        <v>60</v>
      </c>
      <c r="E238" t="s">
        <v>30</v>
      </c>
      <c r="F238" t="s">
        <v>16</v>
      </c>
      <c r="G238">
        <v>235</v>
      </c>
      <c r="I238">
        <f>IF(tbl_main[[#This Row],[Debit]]&lt;&gt;"",-tbl_main[[#This Row],[Debit]],tbl_main[[#This Row],[Credit]])</f>
        <v>-235</v>
      </c>
      <c r="J238">
        <f>YEAR(tbl_main[[#This Row],[Date]])</f>
        <v>2021</v>
      </c>
      <c r="K238" t="str">
        <f>TEXT(tbl_main[[#This Row],[Date]],"mmm")</f>
        <v>May</v>
      </c>
    </row>
    <row r="239" spans="1:11" x14ac:dyDescent="0.25">
      <c r="A239" t="s">
        <v>4</v>
      </c>
      <c r="B239" s="1">
        <v>44345</v>
      </c>
      <c r="C239" t="s">
        <v>31</v>
      </c>
      <c r="D239" t="s">
        <v>32</v>
      </c>
      <c r="E239" t="s">
        <v>30</v>
      </c>
      <c r="F239" t="s">
        <v>16</v>
      </c>
      <c r="G239">
        <v>149.19999999999999</v>
      </c>
      <c r="I239">
        <f>IF(tbl_main[[#This Row],[Debit]]&lt;&gt;"",-tbl_main[[#This Row],[Debit]],tbl_main[[#This Row],[Credit]])</f>
        <v>-149.19999999999999</v>
      </c>
      <c r="J239">
        <f>YEAR(tbl_main[[#This Row],[Date]])</f>
        <v>2021</v>
      </c>
      <c r="K239" t="str">
        <f>TEXT(tbl_main[[#This Row],[Date]],"mmm")</f>
        <v>May</v>
      </c>
    </row>
    <row r="240" spans="1:11" x14ac:dyDescent="0.25">
      <c r="A240" t="s">
        <v>4</v>
      </c>
      <c r="B240" s="1">
        <v>44345</v>
      </c>
      <c r="C240" t="s">
        <v>35</v>
      </c>
      <c r="D240" t="s">
        <v>36</v>
      </c>
      <c r="E240" t="s">
        <v>22</v>
      </c>
      <c r="F240" t="s">
        <v>16</v>
      </c>
      <c r="G240">
        <v>27.200000000000003</v>
      </c>
      <c r="I240">
        <f>IF(tbl_main[[#This Row],[Debit]]&lt;&gt;"",-tbl_main[[#This Row],[Debit]],tbl_main[[#This Row],[Credit]])</f>
        <v>-27.200000000000003</v>
      </c>
      <c r="J240">
        <f>YEAR(tbl_main[[#This Row],[Date]])</f>
        <v>2021</v>
      </c>
      <c r="K240" t="str">
        <f>TEXT(tbl_main[[#This Row],[Date]],"mmm")</f>
        <v>May</v>
      </c>
    </row>
    <row r="241" spans="1:11" x14ac:dyDescent="0.25">
      <c r="A241" t="s">
        <v>4</v>
      </c>
      <c r="B241" s="1">
        <v>44347</v>
      </c>
      <c r="C241" t="s">
        <v>57</v>
      </c>
      <c r="D241" t="s">
        <v>34</v>
      </c>
      <c r="E241" t="s">
        <v>15</v>
      </c>
      <c r="F241" t="s">
        <v>16</v>
      </c>
      <c r="G241">
        <v>15</v>
      </c>
      <c r="I241">
        <f>IF(tbl_main[[#This Row],[Debit]]&lt;&gt;"",-tbl_main[[#This Row],[Debit]],tbl_main[[#This Row],[Credit]])</f>
        <v>-15</v>
      </c>
      <c r="J241">
        <f>YEAR(tbl_main[[#This Row],[Date]])</f>
        <v>2021</v>
      </c>
      <c r="K241" t="str">
        <f>TEXT(tbl_main[[#This Row],[Date]],"mmm")</f>
        <v>May</v>
      </c>
    </row>
    <row r="242" spans="1:11" x14ac:dyDescent="0.25">
      <c r="A242" t="s">
        <v>4</v>
      </c>
      <c r="B242" s="1">
        <v>44346</v>
      </c>
      <c r="C242" t="s">
        <v>13</v>
      </c>
      <c r="D242" t="s">
        <v>14</v>
      </c>
      <c r="E242" t="s">
        <v>15</v>
      </c>
      <c r="F242" t="s">
        <v>16</v>
      </c>
      <c r="G242">
        <v>5</v>
      </c>
      <c r="I242">
        <f>IF(tbl_main[[#This Row],[Debit]]&lt;&gt;"",-tbl_main[[#This Row],[Debit]],tbl_main[[#This Row],[Credit]])</f>
        <v>-5</v>
      </c>
      <c r="J242">
        <f>YEAR(tbl_main[[#This Row],[Date]])</f>
        <v>2021</v>
      </c>
      <c r="K242" t="str">
        <f>TEXT(tbl_main[[#This Row],[Date]],"mmm")</f>
        <v>May</v>
      </c>
    </row>
    <row r="243" spans="1:11" x14ac:dyDescent="0.25">
      <c r="A243" t="s">
        <v>4</v>
      </c>
      <c r="B243" s="1">
        <v>44347</v>
      </c>
      <c r="C243" t="s">
        <v>13</v>
      </c>
      <c r="D243" t="s">
        <v>14</v>
      </c>
      <c r="E243" t="s">
        <v>15</v>
      </c>
      <c r="F243" t="s">
        <v>16</v>
      </c>
      <c r="G243">
        <v>5</v>
      </c>
      <c r="I243">
        <f>IF(tbl_main[[#This Row],[Debit]]&lt;&gt;"",-tbl_main[[#This Row],[Debit]],tbl_main[[#This Row],[Credit]])</f>
        <v>-5</v>
      </c>
      <c r="J243">
        <f>YEAR(tbl_main[[#This Row],[Date]])</f>
        <v>2021</v>
      </c>
      <c r="K243" t="str">
        <f>TEXT(tbl_main[[#This Row],[Date]],"mmm")</f>
        <v>May</v>
      </c>
    </row>
    <row r="244" spans="1:11" x14ac:dyDescent="0.25">
      <c r="A244" t="s">
        <v>9</v>
      </c>
      <c r="B244" s="1">
        <v>44348</v>
      </c>
      <c r="C244" t="s">
        <v>10</v>
      </c>
      <c r="D244" t="s">
        <v>11</v>
      </c>
      <c r="E244" t="s">
        <v>11</v>
      </c>
      <c r="F244" t="s">
        <v>12</v>
      </c>
      <c r="H244">
        <v>4000</v>
      </c>
      <c r="I244">
        <f>IF(tbl_main[[#This Row],[Debit]]&lt;&gt;"",-tbl_main[[#This Row],[Debit]],tbl_main[[#This Row],[Credit]])</f>
        <v>4000</v>
      </c>
      <c r="J244">
        <f>YEAR(tbl_main[[#This Row],[Date]])</f>
        <v>2021</v>
      </c>
      <c r="K244" t="str">
        <f>TEXT(tbl_main[[#This Row],[Date]],"mmm")</f>
        <v>Jun</v>
      </c>
    </row>
    <row r="245" spans="1:11" x14ac:dyDescent="0.25">
      <c r="A245" t="s">
        <v>4</v>
      </c>
      <c r="B245" s="1">
        <v>44350</v>
      </c>
      <c r="C245" t="s">
        <v>13</v>
      </c>
      <c r="D245" t="s">
        <v>14</v>
      </c>
      <c r="E245" t="s">
        <v>15</v>
      </c>
      <c r="F245" t="s">
        <v>16</v>
      </c>
      <c r="G245">
        <v>5</v>
      </c>
      <c r="I245">
        <f>IF(tbl_main[[#This Row],[Debit]]&lt;&gt;"",-tbl_main[[#This Row],[Debit]],tbl_main[[#This Row],[Credit]])</f>
        <v>-5</v>
      </c>
      <c r="J245">
        <f>YEAR(tbl_main[[#This Row],[Date]])</f>
        <v>2021</v>
      </c>
      <c r="K245" t="str">
        <f>TEXT(tbl_main[[#This Row],[Date]],"mmm")</f>
        <v>Jun</v>
      </c>
    </row>
    <row r="246" spans="1:11" x14ac:dyDescent="0.25">
      <c r="A246" t="s">
        <v>9</v>
      </c>
      <c r="B246" s="1">
        <v>44350</v>
      </c>
      <c r="C246" t="s">
        <v>17</v>
      </c>
      <c r="D246" t="s">
        <v>18</v>
      </c>
      <c r="E246" t="s">
        <v>19</v>
      </c>
      <c r="F246" t="s">
        <v>16</v>
      </c>
      <c r="G246">
        <v>900</v>
      </c>
      <c r="I246">
        <f>IF(tbl_main[[#This Row],[Debit]]&lt;&gt;"",-tbl_main[[#This Row],[Debit]],tbl_main[[#This Row],[Credit]])</f>
        <v>-900</v>
      </c>
      <c r="J246">
        <f>YEAR(tbl_main[[#This Row],[Date]])</f>
        <v>2021</v>
      </c>
      <c r="K246" t="str">
        <f>TEXT(tbl_main[[#This Row],[Date]],"mmm")</f>
        <v>Jun</v>
      </c>
    </row>
    <row r="247" spans="1:11" x14ac:dyDescent="0.25">
      <c r="A247" t="s">
        <v>9</v>
      </c>
      <c r="B247" s="1">
        <v>44350</v>
      </c>
      <c r="C247" t="s">
        <v>20</v>
      </c>
      <c r="D247" t="s">
        <v>21</v>
      </c>
      <c r="E247" t="s">
        <v>22</v>
      </c>
      <c r="F247" t="s">
        <v>16</v>
      </c>
      <c r="G247">
        <v>150</v>
      </c>
      <c r="I247">
        <f>IF(tbl_main[[#This Row],[Debit]]&lt;&gt;"",-tbl_main[[#This Row],[Debit]],tbl_main[[#This Row],[Credit]])</f>
        <v>-150</v>
      </c>
      <c r="J247">
        <f>YEAR(tbl_main[[#This Row],[Date]])</f>
        <v>2021</v>
      </c>
      <c r="K247" t="str">
        <f>TEXT(tbl_main[[#This Row],[Date]],"mmm")</f>
        <v>Jun</v>
      </c>
    </row>
    <row r="248" spans="1:11" x14ac:dyDescent="0.25">
      <c r="A248" t="s">
        <v>4</v>
      </c>
      <c r="B248" s="1">
        <v>44350</v>
      </c>
      <c r="C248" t="s">
        <v>13</v>
      </c>
      <c r="D248" t="s">
        <v>14</v>
      </c>
      <c r="E248" t="s">
        <v>15</v>
      </c>
      <c r="F248" t="s">
        <v>16</v>
      </c>
      <c r="G248">
        <v>5</v>
      </c>
      <c r="I248">
        <f>IF(tbl_main[[#This Row],[Debit]]&lt;&gt;"",-tbl_main[[#This Row],[Debit]],tbl_main[[#This Row],[Credit]])</f>
        <v>-5</v>
      </c>
      <c r="J248">
        <f>YEAR(tbl_main[[#This Row],[Date]])</f>
        <v>2021</v>
      </c>
      <c r="K248" t="str">
        <f>TEXT(tbl_main[[#This Row],[Date]],"mmm")</f>
        <v>Jun</v>
      </c>
    </row>
    <row r="249" spans="1:11" x14ac:dyDescent="0.25">
      <c r="A249" t="s">
        <v>4</v>
      </c>
      <c r="B249" s="1">
        <v>44351</v>
      </c>
      <c r="C249" t="s">
        <v>13</v>
      </c>
      <c r="D249" t="s">
        <v>14</v>
      </c>
      <c r="E249" t="s">
        <v>15</v>
      </c>
      <c r="F249" t="s">
        <v>16</v>
      </c>
      <c r="G249">
        <v>5</v>
      </c>
      <c r="I249">
        <f>IF(tbl_main[[#This Row],[Debit]]&lt;&gt;"",-tbl_main[[#This Row],[Debit]],tbl_main[[#This Row],[Credit]])</f>
        <v>-5</v>
      </c>
      <c r="J249">
        <f>YEAR(tbl_main[[#This Row],[Date]])</f>
        <v>2021</v>
      </c>
      <c r="K249" t="str">
        <f>TEXT(tbl_main[[#This Row],[Date]],"mmm")</f>
        <v>Jun</v>
      </c>
    </row>
    <row r="250" spans="1:11" x14ac:dyDescent="0.25">
      <c r="A250" t="s">
        <v>4</v>
      </c>
      <c r="B250" s="1">
        <v>44352</v>
      </c>
      <c r="C250" t="s">
        <v>13</v>
      </c>
      <c r="D250" t="s">
        <v>14</v>
      </c>
      <c r="E250" t="s">
        <v>15</v>
      </c>
      <c r="F250" t="s">
        <v>16</v>
      </c>
      <c r="G250">
        <v>5</v>
      </c>
      <c r="I250">
        <f>IF(tbl_main[[#This Row],[Debit]]&lt;&gt;"",-tbl_main[[#This Row],[Debit]],tbl_main[[#This Row],[Credit]])</f>
        <v>-5</v>
      </c>
      <c r="J250">
        <f>YEAR(tbl_main[[#This Row],[Date]])</f>
        <v>2021</v>
      </c>
      <c r="K250" t="str">
        <f>TEXT(tbl_main[[#This Row],[Date]],"mmm")</f>
        <v>Jun</v>
      </c>
    </row>
    <row r="251" spans="1:11" x14ac:dyDescent="0.25">
      <c r="A251" t="s">
        <v>4</v>
      </c>
      <c r="B251" s="1">
        <v>44353</v>
      </c>
      <c r="C251" t="s">
        <v>13</v>
      </c>
      <c r="D251" t="s">
        <v>14</v>
      </c>
      <c r="E251" t="s">
        <v>15</v>
      </c>
      <c r="F251" t="s">
        <v>16</v>
      </c>
      <c r="G251">
        <v>5</v>
      </c>
      <c r="I251">
        <f>IF(tbl_main[[#This Row],[Debit]]&lt;&gt;"",-tbl_main[[#This Row],[Debit]],tbl_main[[#This Row],[Credit]])</f>
        <v>-5</v>
      </c>
      <c r="J251">
        <f>YEAR(tbl_main[[#This Row],[Date]])</f>
        <v>2021</v>
      </c>
      <c r="K251" t="str">
        <f>TEXT(tbl_main[[#This Row],[Date]],"mmm")</f>
        <v>Jun</v>
      </c>
    </row>
    <row r="252" spans="1:11" x14ac:dyDescent="0.25">
      <c r="A252" t="s">
        <v>4</v>
      </c>
      <c r="B252" s="1">
        <v>44353</v>
      </c>
      <c r="C252" t="s">
        <v>23</v>
      </c>
      <c r="D252" t="s">
        <v>24</v>
      </c>
      <c r="E252" t="s">
        <v>19</v>
      </c>
      <c r="F252" t="s">
        <v>16</v>
      </c>
      <c r="G252">
        <v>119</v>
      </c>
      <c r="I252">
        <f>IF(tbl_main[[#This Row],[Debit]]&lt;&gt;"",-tbl_main[[#This Row],[Debit]],tbl_main[[#This Row],[Credit]])</f>
        <v>-119</v>
      </c>
      <c r="J252">
        <f>YEAR(tbl_main[[#This Row],[Date]])</f>
        <v>2021</v>
      </c>
      <c r="K252" t="str">
        <f>TEXT(tbl_main[[#This Row],[Date]],"mmm")</f>
        <v>Jun</v>
      </c>
    </row>
    <row r="253" spans="1:11" x14ac:dyDescent="0.25">
      <c r="A253" t="s">
        <v>9</v>
      </c>
      <c r="B253" s="1">
        <v>44356</v>
      </c>
      <c r="C253" t="s">
        <v>25</v>
      </c>
      <c r="D253" t="s">
        <v>26</v>
      </c>
      <c r="E253" t="s">
        <v>19</v>
      </c>
      <c r="F253" t="s">
        <v>16</v>
      </c>
      <c r="G253">
        <v>55</v>
      </c>
      <c r="I253">
        <f>IF(tbl_main[[#This Row],[Debit]]&lt;&gt;"",-tbl_main[[#This Row],[Debit]],tbl_main[[#This Row],[Credit]])</f>
        <v>-55</v>
      </c>
      <c r="J253">
        <f>YEAR(tbl_main[[#This Row],[Date]])</f>
        <v>2021</v>
      </c>
      <c r="K253" t="str">
        <f>TEXT(tbl_main[[#This Row],[Date]],"mmm")</f>
        <v>Jun</v>
      </c>
    </row>
    <row r="254" spans="1:11" x14ac:dyDescent="0.25">
      <c r="A254" t="s">
        <v>4</v>
      </c>
      <c r="B254" s="1">
        <v>44356</v>
      </c>
      <c r="C254" t="s">
        <v>13</v>
      </c>
      <c r="D254" t="s">
        <v>14</v>
      </c>
      <c r="E254" t="s">
        <v>15</v>
      </c>
      <c r="F254" t="s">
        <v>16</v>
      </c>
      <c r="G254">
        <v>5</v>
      </c>
      <c r="I254">
        <f>IF(tbl_main[[#This Row],[Debit]]&lt;&gt;"",-tbl_main[[#This Row],[Debit]],tbl_main[[#This Row],[Credit]])</f>
        <v>-5</v>
      </c>
      <c r="J254">
        <f>YEAR(tbl_main[[#This Row],[Date]])</f>
        <v>2021</v>
      </c>
      <c r="K254" t="str">
        <f>TEXT(tbl_main[[#This Row],[Date]],"mmm")</f>
        <v>Jun</v>
      </c>
    </row>
    <row r="255" spans="1:11" x14ac:dyDescent="0.25">
      <c r="A255" t="s">
        <v>4</v>
      </c>
      <c r="B255" s="1">
        <v>44357</v>
      </c>
      <c r="C255" t="s">
        <v>13</v>
      </c>
      <c r="D255" t="s">
        <v>14</v>
      </c>
      <c r="E255" t="s">
        <v>15</v>
      </c>
      <c r="F255" t="s">
        <v>16</v>
      </c>
      <c r="G255">
        <v>5</v>
      </c>
      <c r="I255">
        <f>IF(tbl_main[[#This Row],[Debit]]&lt;&gt;"",-tbl_main[[#This Row],[Debit]],tbl_main[[#This Row],[Credit]])</f>
        <v>-5</v>
      </c>
      <c r="J255">
        <f>YEAR(tbl_main[[#This Row],[Date]])</f>
        <v>2021</v>
      </c>
      <c r="K255" t="str">
        <f>TEXT(tbl_main[[#This Row],[Date]],"mmm")</f>
        <v>Jun</v>
      </c>
    </row>
    <row r="256" spans="1:11" x14ac:dyDescent="0.25">
      <c r="A256" t="s">
        <v>4</v>
      </c>
      <c r="B256" s="1">
        <v>44358</v>
      </c>
      <c r="C256" t="s">
        <v>27</v>
      </c>
      <c r="D256" t="s">
        <v>28</v>
      </c>
      <c r="E256" t="s">
        <v>22</v>
      </c>
      <c r="F256" t="s">
        <v>16</v>
      </c>
      <c r="G256">
        <v>82.1</v>
      </c>
      <c r="I256">
        <f>IF(tbl_main[[#This Row],[Debit]]&lt;&gt;"",-tbl_main[[#This Row],[Debit]],tbl_main[[#This Row],[Credit]])</f>
        <v>-82.1</v>
      </c>
      <c r="J256">
        <f>YEAR(tbl_main[[#This Row],[Date]])</f>
        <v>2021</v>
      </c>
      <c r="K256" t="str">
        <f>TEXT(tbl_main[[#This Row],[Date]],"mmm")</f>
        <v>Jun</v>
      </c>
    </row>
    <row r="257" spans="1:11" x14ac:dyDescent="0.25">
      <c r="A257" t="s">
        <v>4</v>
      </c>
      <c r="B257" s="1">
        <v>44358</v>
      </c>
      <c r="C257" t="s">
        <v>13</v>
      </c>
      <c r="D257" t="s">
        <v>14</v>
      </c>
      <c r="E257" t="s">
        <v>15</v>
      </c>
      <c r="F257" t="s">
        <v>16</v>
      </c>
      <c r="G257">
        <v>5</v>
      </c>
      <c r="I257">
        <f>IF(tbl_main[[#This Row],[Debit]]&lt;&gt;"",-tbl_main[[#This Row],[Debit]],tbl_main[[#This Row],[Credit]])</f>
        <v>-5</v>
      </c>
      <c r="J257">
        <f>YEAR(tbl_main[[#This Row],[Date]])</f>
        <v>2021</v>
      </c>
      <c r="K257" t="str">
        <f>TEXT(tbl_main[[#This Row],[Date]],"mmm")</f>
        <v>Jun</v>
      </c>
    </row>
    <row r="258" spans="1:11" x14ac:dyDescent="0.25">
      <c r="A258" t="s">
        <v>4</v>
      </c>
      <c r="B258" s="1">
        <v>44359</v>
      </c>
      <c r="C258" t="s">
        <v>13</v>
      </c>
      <c r="D258" t="s">
        <v>14</v>
      </c>
      <c r="E258" t="s">
        <v>15</v>
      </c>
      <c r="F258" t="s">
        <v>16</v>
      </c>
      <c r="G258">
        <v>5</v>
      </c>
      <c r="I258">
        <f>IF(tbl_main[[#This Row],[Debit]]&lt;&gt;"",-tbl_main[[#This Row],[Debit]],tbl_main[[#This Row],[Credit]])</f>
        <v>-5</v>
      </c>
      <c r="J258">
        <f>YEAR(tbl_main[[#This Row],[Date]])</f>
        <v>2021</v>
      </c>
      <c r="K258" t="str">
        <f>TEXT(tbl_main[[#This Row],[Date]],"mmm")</f>
        <v>Jun</v>
      </c>
    </row>
    <row r="259" spans="1:11" x14ac:dyDescent="0.25">
      <c r="A259" t="s">
        <v>4</v>
      </c>
      <c r="B259" s="1">
        <v>44360</v>
      </c>
      <c r="C259" t="s">
        <v>23</v>
      </c>
      <c r="D259" t="s">
        <v>24</v>
      </c>
      <c r="E259" t="s">
        <v>19</v>
      </c>
      <c r="F259" t="s">
        <v>16</v>
      </c>
      <c r="G259">
        <v>140.19999999999999</v>
      </c>
      <c r="I259">
        <f>IF(tbl_main[[#This Row],[Debit]]&lt;&gt;"",-tbl_main[[#This Row],[Debit]],tbl_main[[#This Row],[Credit]])</f>
        <v>-140.19999999999999</v>
      </c>
      <c r="J259">
        <f>YEAR(tbl_main[[#This Row],[Date]])</f>
        <v>2021</v>
      </c>
      <c r="K259" t="str">
        <f>TEXT(tbl_main[[#This Row],[Date]],"mmm")</f>
        <v>Jun</v>
      </c>
    </row>
    <row r="260" spans="1:11" x14ac:dyDescent="0.25">
      <c r="A260" t="s">
        <v>4</v>
      </c>
      <c r="B260" s="1">
        <v>44360</v>
      </c>
      <c r="C260" t="s">
        <v>13</v>
      </c>
      <c r="D260" t="s">
        <v>14</v>
      </c>
      <c r="E260" t="s">
        <v>15</v>
      </c>
      <c r="F260" t="s">
        <v>16</v>
      </c>
      <c r="G260">
        <v>5</v>
      </c>
      <c r="I260">
        <f>IF(tbl_main[[#This Row],[Debit]]&lt;&gt;"",-tbl_main[[#This Row],[Debit]],tbl_main[[#This Row],[Credit]])</f>
        <v>-5</v>
      </c>
      <c r="J260">
        <f>YEAR(tbl_main[[#This Row],[Date]])</f>
        <v>2021</v>
      </c>
      <c r="K260" t="str">
        <f>TEXT(tbl_main[[#This Row],[Date]],"mmm")</f>
        <v>Jun</v>
      </c>
    </row>
    <row r="261" spans="1:11" x14ac:dyDescent="0.25">
      <c r="A261" t="s">
        <v>4</v>
      </c>
      <c r="B261" s="1">
        <v>44361</v>
      </c>
      <c r="C261" t="s">
        <v>13</v>
      </c>
      <c r="D261" t="s">
        <v>14</v>
      </c>
      <c r="E261" t="s">
        <v>15</v>
      </c>
      <c r="F261" t="s">
        <v>16</v>
      </c>
      <c r="G261">
        <v>5</v>
      </c>
      <c r="I261">
        <f>IF(tbl_main[[#This Row],[Debit]]&lt;&gt;"",-tbl_main[[#This Row],[Debit]],tbl_main[[#This Row],[Credit]])</f>
        <v>-5</v>
      </c>
      <c r="J261">
        <f>YEAR(tbl_main[[#This Row],[Date]])</f>
        <v>2021</v>
      </c>
      <c r="K261" t="str">
        <f>TEXT(tbl_main[[#This Row],[Date]],"mmm")</f>
        <v>Jun</v>
      </c>
    </row>
    <row r="262" spans="1:11" x14ac:dyDescent="0.25">
      <c r="A262" t="s">
        <v>4</v>
      </c>
      <c r="B262" s="1">
        <v>44361</v>
      </c>
      <c r="C262" t="s">
        <v>29</v>
      </c>
      <c r="D262" t="s">
        <v>21</v>
      </c>
      <c r="E262" t="s">
        <v>30</v>
      </c>
      <c r="F262" t="s">
        <v>16</v>
      </c>
      <c r="G262">
        <v>44.9</v>
      </c>
      <c r="I262">
        <f>IF(tbl_main[[#This Row],[Debit]]&lt;&gt;"",-tbl_main[[#This Row],[Debit]],tbl_main[[#This Row],[Credit]])</f>
        <v>-44.9</v>
      </c>
      <c r="J262">
        <f>YEAR(tbl_main[[#This Row],[Date]])</f>
        <v>2021</v>
      </c>
      <c r="K262" t="str">
        <f>TEXT(tbl_main[[#This Row],[Date]],"mmm")</f>
        <v>Jun</v>
      </c>
    </row>
    <row r="263" spans="1:11" x14ac:dyDescent="0.25">
      <c r="A263" t="s">
        <v>4</v>
      </c>
      <c r="B263" s="1">
        <v>44361</v>
      </c>
      <c r="C263" t="s">
        <v>31</v>
      </c>
      <c r="D263" t="s">
        <v>32</v>
      </c>
      <c r="E263" t="s">
        <v>30</v>
      </c>
      <c r="F263" t="s">
        <v>16</v>
      </c>
      <c r="G263">
        <v>102.9</v>
      </c>
      <c r="I263">
        <f>IF(tbl_main[[#This Row],[Debit]]&lt;&gt;"",-tbl_main[[#This Row],[Debit]],tbl_main[[#This Row],[Credit]])</f>
        <v>-102.9</v>
      </c>
      <c r="J263">
        <f>YEAR(tbl_main[[#This Row],[Date]])</f>
        <v>2021</v>
      </c>
      <c r="K263" t="str">
        <f>TEXT(tbl_main[[#This Row],[Date]],"mmm")</f>
        <v>Jun</v>
      </c>
    </row>
    <row r="264" spans="1:11" x14ac:dyDescent="0.25">
      <c r="A264" t="s">
        <v>4</v>
      </c>
      <c r="B264" s="1">
        <v>44361</v>
      </c>
      <c r="C264" t="s">
        <v>33</v>
      </c>
      <c r="D264" t="s">
        <v>34</v>
      </c>
      <c r="E264" t="s">
        <v>15</v>
      </c>
      <c r="F264" t="s">
        <v>16</v>
      </c>
      <c r="G264">
        <v>56.9</v>
      </c>
      <c r="I264">
        <f>IF(tbl_main[[#This Row],[Debit]]&lt;&gt;"",-tbl_main[[#This Row],[Debit]],tbl_main[[#This Row],[Credit]])</f>
        <v>-56.9</v>
      </c>
      <c r="J264">
        <f>YEAR(tbl_main[[#This Row],[Date]])</f>
        <v>2021</v>
      </c>
      <c r="K264" t="str">
        <f>TEXT(tbl_main[[#This Row],[Date]],"mmm")</f>
        <v>Jun</v>
      </c>
    </row>
    <row r="265" spans="1:11" x14ac:dyDescent="0.25">
      <c r="A265" t="s">
        <v>4</v>
      </c>
      <c r="B265" s="1">
        <v>44362</v>
      </c>
      <c r="C265" t="s">
        <v>35</v>
      </c>
      <c r="D265" t="s">
        <v>36</v>
      </c>
      <c r="E265" t="s">
        <v>22</v>
      </c>
      <c r="F265" t="s">
        <v>16</v>
      </c>
      <c r="G265">
        <v>33.1</v>
      </c>
      <c r="I265">
        <f>IF(tbl_main[[#This Row],[Debit]]&lt;&gt;"",-tbl_main[[#This Row],[Debit]],tbl_main[[#This Row],[Credit]])</f>
        <v>-33.1</v>
      </c>
      <c r="J265">
        <f>YEAR(tbl_main[[#This Row],[Date]])</f>
        <v>2021</v>
      </c>
      <c r="K265" t="str">
        <f>TEXT(tbl_main[[#This Row],[Date]],"mmm")</f>
        <v>Jun</v>
      </c>
    </row>
    <row r="266" spans="1:11" x14ac:dyDescent="0.25">
      <c r="A266" t="s">
        <v>9</v>
      </c>
      <c r="B266" s="1">
        <v>44363</v>
      </c>
      <c r="C266" t="s">
        <v>37</v>
      </c>
      <c r="D266" t="s">
        <v>38</v>
      </c>
      <c r="E266" t="s">
        <v>30</v>
      </c>
      <c r="F266" t="s">
        <v>16</v>
      </c>
      <c r="G266">
        <v>30</v>
      </c>
      <c r="I266">
        <f>IF(tbl_main[[#This Row],[Debit]]&lt;&gt;"",-tbl_main[[#This Row],[Debit]],tbl_main[[#This Row],[Credit]])</f>
        <v>-30</v>
      </c>
      <c r="J266">
        <f>YEAR(tbl_main[[#This Row],[Date]])</f>
        <v>2021</v>
      </c>
      <c r="K266" t="str">
        <f>TEXT(tbl_main[[#This Row],[Date]],"mmm")</f>
        <v>Jun</v>
      </c>
    </row>
    <row r="267" spans="1:11" x14ac:dyDescent="0.25">
      <c r="A267" t="s">
        <v>4</v>
      </c>
      <c r="B267" s="1">
        <v>44363</v>
      </c>
      <c r="C267" t="s">
        <v>13</v>
      </c>
      <c r="D267" t="s">
        <v>14</v>
      </c>
      <c r="E267" t="s">
        <v>15</v>
      </c>
      <c r="F267" t="s">
        <v>16</v>
      </c>
      <c r="G267">
        <v>5</v>
      </c>
      <c r="I267">
        <f>IF(tbl_main[[#This Row],[Debit]]&lt;&gt;"",-tbl_main[[#This Row],[Debit]],tbl_main[[#This Row],[Credit]])</f>
        <v>-5</v>
      </c>
      <c r="J267">
        <f>YEAR(tbl_main[[#This Row],[Date]])</f>
        <v>2021</v>
      </c>
      <c r="K267" t="str">
        <f>TEXT(tbl_main[[#This Row],[Date]],"mmm")</f>
        <v>Jun</v>
      </c>
    </row>
    <row r="268" spans="1:11" x14ac:dyDescent="0.25">
      <c r="A268" t="s">
        <v>4</v>
      </c>
      <c r="B268" s="1">
        <v>44364</v>
      </c>
      <c r="C268" t="s">
        <v>13</v>
      </c>
      <c r="D268" t="s">
        <v>14</v>
      </c>
      <c r="E268" t="s">
        <v>15</v>
      </c>
      <c r="F268" t="s">
        <v>16</v>
      </c>
      <c r="G268">
        <v>5</v>
      </c>
      <c r="I268">
        <f>IF(tbl_main[[#This Row],[Debit]]&lt;&gt;"",-tbl_main[[#This Row],[Debit]],tbl_main[[#This Row],[Credit]])</f>
        <v>-5</v>
      </c>
      <c r="J268">
        <f>YEAR(tbl_main[[#This Row],[Date]])</f>
        <v>2021</v>
      </c>
      <c r="K268" t="str">
        <f>TEXT(tbl_main[[#This Row],[Date]],"mmm")</f>
        <v>Jun</v>
      </c>
    </row>
    <row r="269" spans="1:11" x14ac:dyDescent="0.25">
      <c r="A269" t="s">
        <v>9</v>
      </c>
      <c r="B269" s="1">
        <v>44364</v>
      </c>
      <c r="C269" t="s">
        <v>42</v>
      </c>
      <c r="D269" t="s">
        <v>43</v>
      </c>
      <c r="E269" t="s">
        <v>19</v>
      </c>
      <c r="F269" t="s">
        <v>16</v>
      </c>
      <c r="G269">
        <v>40</v>
      </c>
      <c r="I269">
        <f>IF(tbl_main[[#This Row],[Debit]]&lt;&gt;"",-tbl_main[[#This Row],[Debit]],tbl_main[[#This Row],[Credit]])</f>
        <v>-40</v>
      </c>
      <c r="J269">
        <f>YEAR(tbl_main[[#This Row],[Date]])</f>
        <v>2021</v>
      </c>
      <c r="K269" t="str">
        <f>TEXT(tbl_main[[#This Row],[Date]],"mmm")</f>
        <v>Jun</v>
      </c>
    </row>
    <row r="270" spans="1:11" x14ac:dyDescent="0.25">
      <c r="A270" t="s">
        <v>4</v>
      </c>
      <c r="B270" s="1">
        <v>44365</v>
      </c>
      <c r="C270" t="s">
        <v>44</v>
      </c>
      <c r="D270" t="s">
        <v>45</v>
      </c>
      <c r="E270" t="s">
        <v>30</v>
      </c>
      <c r="F270" t="s">
        <v>16</v>
      </c>
      <c r="G270">
        <v>50.1</v>
      </c>
      <c r="I270">
        <f>IF(tbl_main[[#This Row],[Debit]]&lt;&gt;"",-tbl_main[[#This Row],[Debit]],tbl_main[[#This Row],[Credit]])</f>
        <v>-50.1</v>
      </c>
      <c r="J270">
        <f>YEAR(tbl_main[[#This Row],[Date]])</f>
        <v>2021</v>
      </c>
      <c r="K270" t="str">
        <f>TEXT(tbl_main[[#This Row],[Date]],"mmm")</f>
        <v>Jun</v>
      </c>
    </row>
    <row r="271" spans="1:11" x14ac:dyDescent="0.25">
      <c r="A271" t="s">
        <v>4</v>
      </c>
      <c r="B271" s="1">
        <v>44365</v>
      </c>
      <c r="C271" t="s">
        <v>46</v>
      </c>
      <c r="D271" t="s">
        <v>21</v>
      </c>
      <c r="E271" t="s">
        <v>30</v>
      </c>
      <c r="F271" t="s">
        <v>16</v>
      </c>
      <c r="G271">
        <v>35</v>
      </c>
      <c r="I271">
        <f>IF(tbl_main[[#This Row],[Debit]]&lt;&gt;"",-tbl_main[[#This Row],[Debit]],tbl_main[[#This Row],[Credit]])</f>
        <v>-35</v>
      </c>
      <c r="J271">
        <f>YEAR(tbl_main[[#This Row],[Date]])</f>
        <v>2021</v>
      </c>
      <c r="K271" t="str">
        <f>TEXT(tbl_main[[#This Row],[Date]],"mmm")</f>
        <v>Jun</v>
      </c>
    </row>
    <row r="272" spans="1:11" x14ac:dyDescent="0.25">
      <c r="A272" t="s">
        <v>4</v>
      </c>
      <c r="B272" s="1">
        <v>44365</v>
      </c>
      <c r="C272" t="s">
        <v>13</v>
      </c>
      <c r="D272" t="s">
        <v>14</v>
      </c>
      <c r="E272" t="s">
        <v>15</v>
      </c>
      <c r="F272" t="s">
        <v>16</v>
      </c>
      <c r="G272">
        <v>5</v>
      </c>
      <c r="I272">
        <f>IF(tbl_main[[#This Row],[Debit]]&lt;&gt;"",-tbl_main[[#This Row],[Debit]],tbl_main[[#This Row],[Credit]])</f>
        <v>-5</v>
      </c>
      <c r="J272">
        <f>YEAR(tbl_main[[#This Row],[Date]])</f>
        <v>2021</v>
      </c>
      <c r="K272" t="str">
        <f>TEXT(tbl_main[[#This Row],[Date]],"mmm")</f>
        <v>Jun</v>
      </c>
    </row>
    <row r="273" spans="1:11" x14ac:dyDescent="0.25">
      <c r="A273" t="s">
        <v>4</v>
      </c>
      <c r="B273" s="1">
        <v>44366</v>
      </c>
      <c r="C273" t="s">
        <v>13</v>
      </c>
      <c r="D273" t="s">
        <v>14</v>
      </c>
      <c r="E273" t="s">
        <v>15</v>
      </c>
      <c r="F273" t="s">
        <v>16</v>
      </c>
      <c r="G273">
        <v>5</v>
      </c>
      <c r="I273">
        <f>IF(tbl_main[[#This Row],[Debit]]&lt;&gt;"",-tbl_main[[#This Row],[Debit]],tbl_main[[#This Row],[Credit]])</f>
        <v>-5</v>
      </c>
      <c r="J273">
        <f>YEAR(tbl_main[[#This Row],[Date]])</f>
        <v>2021</v>
      </c>
      <c r="K273" t="str">
        <f>TEXT(tbl_main[[#This Row],[Date]],"mmm")</f>
        <v>Jun</v>
      </c>
    </row>
    <row r="274" spans="1:11" x14ac:dyDescent="0.25">
      <c r="A274" t="s">
        <v>4</v>
      </c>
      <c r="B274" s="1">
        <v>44367</v>
      </c>
      <c r="C274" t="s">
        <v>13</v>
      </c>
      <c r="D274" t="s">
        <v>14</v>
      </c>
      <c r="E274" t="s">
        <v>15</v>
      </c>
      <c r="F274" t="s">
        <v>16</v>
      </c>
      <c r="G274">
        <v>5</v>
      </c>
      <c r="I274">
        <f>IF(tbl_main[[#This Row],[Debit]]&lt;&gt;"",-tbl_main[[#This Row],[Debit]],tbl_main[[#This Row],[Credit]])</f>
        <v>-5</v>
      </c>
      <c r="J274">
        <f>YEAR(tbl_main[[#This Row],[Date]])</f>
        <v>2021</v>
      </c>
      <c r="K274" t="str">
        <f>TEXT(tbl_main[[#This Row],[Date]],"mmm")</f>
        <v>Jun</v>
      </c>
    </row>
    <row r="275" spans="1:11" x14ac:dyDescent="0.25">
      <c r="A275" t="s">
        <v>4</v>
      </c>
      <c r="B275" s="1">
        <v>44367</v>
      </c>
      <c r="C275" t="s">
        <v>23</v>
      </c>
      <c r="D275" t="s">
        <v>24</v>
      </c>
      <c r="E275" t="s">
        <v>19</v>
      </c>
      <c r="F275" t="s">
        <v>16</v>
      </c>
      <c r="G275">
        <v>234</v>
      </c>
      <c r="I275">
        <f>IF(tbl_main[[#This Row],[Debit]]&lt;&gt;"",-tbl_main[[#This Row],[Debit]],tbl_main[[#This Row],[Credit]])</f>
        <v>-234</v>
      </c>
      <c r="J275">
        <f>YEAR(tbl_main[[#This Row],[Date]])</f>
        <v>2021</v>
      </c>
      <c r="K275" t="str">
        <f>TEXT(tbl_main[[#This Row],[Date]],"mmm")</f>
        <v>Jun</v>
      </c>
    </row>
    <row r="276" spans="1:11" x14ac:dyDescent="0.25">
      <c r="A276" t="s">
        <v>4</v>
      </c>
      <c r="B276" s="1">
        <v>44368</v>
      </c>
      <c r="C276" t="s">
        <v>47</v>
      </c>
      <c r="D276" t="s">
        <v>34</v>
      </c>
      <c r="E276" t="s">
        <v>15</v>
      </c>
      <c r="F276" t="s">
        <v>16</v>
      </c>
      <c r="G276">
        <v>42.1</v>
      </c>
      <c r="I276">
        <f>IF(tbl_main[[#This Row],[Debit]]&lt;&gt;"",-tbl_main[[#This Row],[Debit]],tbl_main[[#This Row],[Credit]])</f>
        <v>-42.1</v>
      </c>
      <c r="J276">
        <f>YEAR(tbl_main[[#This Row],[Date]])</f>
        <v>2021</v>
      </c>
      <c r="K276" t="str">
        <f>TEXT(tbl_main[[#This Row],[Date]],"mmm")</f>
        <v>Jun</v>
      </c>
    </row>
    <row r="277" spans="1:11" x14ac:dyDescent="0.25">
      <c r="A277" t="s">
        <v>4</v>
      </c>
      <c r="B277" s="1">
        <v>44369</v>
      </c>
      <c r="C277" t="s">
        <v>48</v>
      </c>
      <c r="D277" t="s">
        <v>34</v>
      </c>
      <c r="E277" t="s">
        <v>15</v>
      </c>
      <c r="F277" t="s">
        <v>16</v>
      </c>
      <c r="G277">
        <v>17.099999999999998</v>
      </c>
      <c r="I277">
        <f>IF(tbl_main[[#This Row],[Debit]]&lt;&gt;"",-tbl_main[[#This Row],[Debit]],tbl_main[[#This Row],[Credit]])</f>
        <v>-17.099999999999998</v>
      </c>
      <c r="J277">
        <f>YEAR(tbl_main[[#This Row],[Date]])</f>
        <v>2021</v>
      </c>
      <c r="K277" t="str">
        <f>TEXT(tbl_main[[#This Row],[Date]],"mmm")</f>
        <v>Jun</v>
      </c>
    </row>
    <row r="278" spans="1:11" x14ac:dyDescent="0.25">
      <c r="A278" t="s">
        <v>9</v>
      </c>
      <c r="B278" s="1">
        <v>44370</v>
      </c>
      <c r="C278" t="s">
        <v>49</v>
      </c>
      <c r="D278" t="s">
        <v>50</v>
      </c>
      <c r="E278" t="s">
        <v>51</v>
      </c>
      <c r="F278" t="s">
        <v>16</v>
      </c>
      <c r="G278">
        <v>55</v>
      </c>
      <c r="I278">
        <f>IF(tbl_main[[#This Row],[Debit]]&lt;&gt;"",-tbl_main[[#This Row],[Debit]],tbl_main[[#This Row],[Credit]])</f>
        <v>-55</v>
      </c>
      <c r="J278">
        <f>YEAR(tbl_main[[#This Row],[Date]])</f>
        <v>2021</v>
      </c>
      <c r="K278" t="str">
        <f>TEXT(tbl_main[[#This Row],[Date]],"mmm")</f>
        <v>Jun</v>
      </c>
    </row>
    <row r="279" spans="1:11" x14ac:dyDescent="0.25">
      <c r="A279" t="s">
        <v>4</v>
      </c>
      <c r="B279" s="1">
        <v>44370</v>
      </c>
      <c r="C279" t="s">
        <v>27</v>
      </c>
      <c r="D279" t="s">
        <v>28</v>
      </c>
      <c r="E279" t="s">
        <v>22</v>
      </c>
      <c r="F279" t="s">
        <v>16</v>
      </c>
      <c r="G279">
        <v>67.900000000000006</v>
      </c>
      <c r="I279">
        <f>IF(tbl_main[[#This Row],[Debit]]&lt;&gt;"",-tbl_main[[#This Row],[Debit]],tbl_main[[#This Row],[Credit]])</f>
        <v>-67.900000000000006</v>
      </c>
      <c r="J279">
        <f>YEAR(tbl_main[[#This Row],[Date]])</f>
        <v>2021</v>
      </c>
      <c r="K279" t="str">
        <f>TEXT(tbl_main[[#This Row],[Date]],"mmm")</f>
        <v>Jun</v>
      </c>
    </row>
    <row r="280" spans="1:11" x14ac:dyDescent="0.25">
      <c r="A280" t="s">
        <v>4</v>
      </c>
      <c r="B280" s="1">
        <v>44370</v>
      </c>
      <c r="C280" t="s">
        <v>13</v>
      </c>
      <c r="D280" t="s">
        <v>14</v>
      </c>
      <c r="E280" t="s">
        <v>15</v>
      </c>
      <c r="F280" t="s">
        <v>16</v>
      </c>
      <c r="G280">
        <v>5</v>
      </c>
      <c r="I280">
        <f>IF(tbl_main[[#This Row],[Debit]]&lt;&gt;"",-tbl_main[[#This Row],[Debit]],tbl_main[[#This Row],[Credit]])</f>
        <v>-5</v>
      </c>
      <c r="J280">
        <f>YEAR(tbl_main[[#This Row],[Date]])</f>
        <v>2021</v>
      </c>
      <c r="K280" t="str">
        <f>TEXT(tbl_main[[#This Row],[Date]],"mmm")</f>
        <v>Jun</v>
      </c>
    </row>
    <row r="281" spans="1:11" x14ac:dyDescent="0.25">
      <c r="A281" t="s">
        <v>4</v>
      </c>
      <c r="B281" s="1">
        <v>44371</v>
      </c>
      <c r="C281" t="s">
        <v>13</v>
      </c>
      <c r="D281" t="s">
        <v>14</v>
      </c>
      <c r="E281" t="s">
        <v>15</v>
      </c>
      <c r="F281" t="s">
        <v>16</v>
      </c>
      <c r="G281">
        <v>5</v>
      </c>
      <c r="I281">
        <f>IF(tbl_main[[#This Row],[Debit]]&lt;&gt;"",-tbl_main[[#This Row],[Debit]],tbl_main[[#This Row],[Credit]])</f>
        <v>-5</v>
      </c>
      <c r="J281">
        <f>YEAR(tbl_main[[#This Row],[Date]])</f>
        <v>2021</v>
      </c>
      <c r="K281" t="str">
        <f>TEXT(tbl_main[[#This Row],[Date]],"mmm")</f>
        <v>Jun</v>
      </c>
    </row>
    <row r="282" spans="1:11" x14ac:dyDescent="0.25">
      <c r="A282" t="s">
        <v>4</v>
      </c>
      <c r="B282" s="1">
        <v>44372</v>
      </c>
      <c r="C282" t="s">
        <v>13</v>
      </c>
      <c r="D282" t="s">
        <v>14</v>
      </c>
      <c r="E282" t="s">
        <v>15</v>
      </c>
      <c r="F282" t="s">
        <v>16</v>
      </c>
      <c r="G282">
        <v>5</v>
      </c>
      <c r="I282">
        <f>IF(tbl_main[[#This Row],[Debit]]&lt;&gt;"",-tbl_main[[#This Row],[Debit]],tbl_main[[#This Row],[Credit]])</f>
        <v>-5</v>
      </c>
      <c r="J282">
        <f>YEAR(tbl_main[[#This Row],[Date]])</f>
        <v>2021</v>
      </c>
      <c r="K282" t="str">
        <f>TEXT(tbl_main[[#This Row],[Date]],"mmm")</f>
        <v>Jun</v>
      </c>
    </row>
    <row r="283" spans="1:11" x14ac:dyDescent="0.25">
      <c r="A283" t="s">
        <v>4</v>
      </c>
      <c r="B283" s="1">
        <v>44373</v>
      </c>
      <c r="C283" t="s">
        <v>13</v>
      </c>
      <c r="D283" t="s">
        <v>14</v>
      </c>
      <c r="E283" t="s">
        <v>15</v>
      </c>
      <c r="F283" t="s">
        <v>16</v>
      </c>
      <c r="G283">
        <v>5</v>
      </c>
      <c r="I283">
        <f>IF(tbl_main[[#This Row],[Debit]]&lt;&gt;"",-tbl_main[[#This Row],[Debit]],tbl_main[[#This Row],[Credit]])</f>
        <v>-5</v>
      </c>
      <c r="J283">
        <f>YEAR(tbl_main[[#This Row],[Date]])</f>
        <v>2021</v>
      </c>
      <c r="K283" t="str">
        <f>TEXT(tbl_main[[#This Row],[Date]],"mmm")</f>
        <v>Jun</v>
      </c>
    </row>
    <row r="284" spans="1:11" x14ac:dyDescent="0.25">
      <c r="A284" t="s">
        <v>4</v>
      </c>
      <c r="B284" s="1">
        <v>44374</v>
      </c>
      <c r="C284" t="s">
        <v>13</v>
      </c>
      <c r="D284" t="s">
        <v>14</v>
      </c>
      <c r="E284" t="s">
        <v>15</v>
      </c>
      <c r="F284" t="s">
        <v>16</v>
      </c>
      <c r="G284">
        <v>5</v>
      </c>
      <c r="I284">
        <f>IF(tbl_main[[#This Row],[Debit]]&lt;&gt;"",-tbl_main[[#This Row],[Debit]],tbl_main[[#This Row],[Credit]])</f>
        <v>-5</v>
      </c>
      <c r="J284">
        <f>YEAR(tbl_main[[#This Row],[Date]])</f>
        <v>2021</v>
      </c>
      <c r="K284" t="str">
        <f>TEXT(tbl_main[[#This Row],[Date]],"mmm")</f>
        <v>Jun</v>
      </c>
    </row>
    <row r="285" spans="1:11" x14ac:dyDescent="0.25">
      <c r="A285" t="s">
        <v>4</v>
      </c>
      <c r="B285" s="1">
        <v>44374</v>
      </c>
      <c r="C285" t="s">
        <v>23</v>
      </c>
      <c r="D285" t="s">
        <v>24</v>
      </c>
      <c r="E285" t="s">
        <v>19</v>
      </c>
      <c r="F285" t="s">
        <v>16</v>
      </c>
      <c r="G285">
        <v>166.9</v>
      </c>
      <c r="I285">
        <f>IF(tbl_main[[#This Row],[Debit]]&lt;&gt;"",-tbl_main[[#This Row],[Debit]],tbl_main[[#This Row],[Credit]])</f>
        <v>-166.9</v>
      </c>
      <c r="J285">
        <f>YEAR(tbl_main[[#This Row],[Date]])</f>
        <v>2021</v>
      </c>
      <c r="K285" t="str">
        <f>TEXT(tbl_main[[#This Row],[Date]],"mmm")</f>
        <v>Jun</v>
      </c>
    </row>
    <row r="286" spans="1:11" x14ac:dyDescent="0.25">
      <c r="A286" t="s">
        <v>4</v>
      </c>
      <c r="B286" s="1">
        <v>44375</v>
      </c>
      <c r="C286" t="s">
        <v>52</v>
      </c>
      <c r="D286" t="s">
        <v>32</v>
      </c>
      <c r="E286" t="s">
        <v>30</v>
      </c>
      <c r="F286" t="s">
        <v>16</v>
      </c>
      <c r="G286">
        <v>129.9</v>
      </c>
      <c r="I286">
        <f>IF(tbl_main[[#This Row],[Debit]]&lt;&gt;"",-tbl_main[[#This Row],[Debit]],tbl_main[[#This Row],[Credit]])</f>
        <v>-129.9</v>
      </c>
      <c r="J286">
        <f>YEAR(tbl_main[[#This Row],[Date]])</f>
        <v>2021</v>
      </c>
      <c r="K286" t="str">
        <f>TEXT(tbl_main[[#This Row],[Date]],"mmm")</f>
        <v>Jun</v>
      </c>
    </row>
    <row r="287" spans="1:11" x14ac:dyDescent="0.25">
      <c r="A287" t="s">
        <v>4</v>
      </c>
      <c r="B287" s="1">
        <v>44375</v>
      </c>
      <c r="C287" t="s">
        <v>53</v>
      </c>
      <c r="D287" t="s">
        <v>21</v>
      </c>
      <c r="E287" t="s">
        <v>30</v>
      </c>
      <c r="F287" t="s">
        <v>16</v>
      </c>
      <c r="G287">
        <v>180.29999999999998</v>
      </c>
      <c r="I287">
        <f>IF(tbl_main[[#This Row],[Debit]]&lt;&gt;"",-tbl_main[[#This Row],[Debit]],tbl_main[[#This Row],[Credit]])</f>
        <v>-180.29999999999998</v>
      </c>
      <c r="J287">
        <f>YEAR(tbl_main[[#This Row],[Date]])</f>
        <v>2021</v>
      </c>
      <c r="K287" t="str">
        <f>TEXT(tbl_main[[#This Row],[Date]],"mmm")</f>
        <v>Jun</v>
      </c>
    </row>
    <row r="288" spans="1:11" x14ac:dyDescent="0.25">
      <c r="A288" t="s">
        <v>4</v>
      </c>
      <c r="B288" s="1">
        <v>44376</v>
      </c>
      <c r="C288" t="s">
        <v>31</v>
      </c>
      <c r="D288" t="s">
        <v>32</v>
      </c>
      <c r="E288" t="s">
        <v>30</v>
      </c>
      <c r="F288" t="s">
        <v>16</v>
      </c>
      <c r="G288">
        <v>150.1</v>
      </c>
      <c r="I288">
        <f>IF(tbl_main[[#This Row],[Debit]]&lt;&gt;"",-tbl_main[[#This Row],[Debit]],tbl_main[[#This Row],[Credit]])</f>
        <v>-150.1</v>
      </c>
      <c r="J288">
        <f>YEAR(tbl_main[[#This Row],[Date]])</f>
        <v>2021</v>
      </c>
      <c r="K288" t="str">
        <f>TEXT(tbl_main[[#This Row],[Date]],"mmm")</f>
        <v>Jun</v>
      </c>
    </row>
    <row r="289" spans="1:11" x14ac:dyDescent="0.25">
      <c r="A289" t="s">
        <v>4</v>
      </c>
      <c r="B289" s="1">
        <v>44376</v>
      </c>
      <c r="C289" t="s">
        <v>35</v>
      </c>
      <c r="D289" t="s">
        <v>36</v>
      </c>
      <c r="E289" t="s">
        <v>22</v>
      </c>
      <c r="F289" t="s">
        <v>16</v>
      </c>
      <c r="G289">
        <v>28.200000000000003</v>
      </c>
      <c r="I289">
        <f>IF(tbl_main[[#This Row],[Debit]]&lt;&gt;"",-tbl_main[[#This Row],[Debit]],tbl_main[[#This Row],[Credit]])</f>
        <v>-28.200000000000003</v>
      </c>
      <c r="J289">
        <f>YEAR(tbl_main[[#This Row],[Date]])</f>
        <v>2021</v>
      </c>
      <c r="K289" t="str">
        <f>TEXT(tbl_main[[#This Row],[Date]],"mmm")</f>
        <v>Jun</v>
      </c>
    </row>
    <row r="290" spans="1:11" x14ac:dyDescent="0.25">
      <c r="A290" t="s">
        <v>4</v>
      </c>
      <c r="B290" s="1">
        <v>44376</v>
      </c>
      <c r="C290" t="s">
        <v>57</v>
      </c>
      <c r="D290" t="s">
        <v>34</v>
      </c>
      <c r="E290" t="s">
        <v>15</v>
      </c>
      <c r="F290" t="s">
        <v>16</v>
      </c>
      <c r="G290">
        <v>15</v>
      </c>
      <c r="I290">
        <f>IF(tbl_main[[#This Row],[Debit]]&lt;&gt;"",-tbl_main[[#This Row],[Debit]],tbl_main[[#This Row],[Credit]])</f>
        <v>-15</v>
      </c>
      <c r="J290">
        <f>YEAR(tbl_main[[#This Row],[Date]])</f>
        <v>2021</v>
      </c>
      <c r="K290" t="str">
        <f>TEXT(tbl_main[[#This Row],[Date]],"mmm")</f>
        <v>Jun</v>
      </c>
    </row>
    <row r="291" spans="1:11" x14ac:dyDescent="0.25">
      <c r="A291" t="s">
        <v>4</v>
      </c>
      <c r="B291" s="1">
        <v>44377</v>
      </c>
      <c r="C291" t="s">
        <v>13</v>
      </c>
      <c r="D291" t="s">
        <v>14</v>
      </c>
      <c r="E291" t="s">
        <v>15</v>
      </c>
      <c r="F291" t="s">
        <v>16</v>
      </c>
      <c r="G291">
        <v>5</v>
      </c>
      <c r="I291">
        <f>IF(tbl_main[[#This Row],[Debit]]&lt;&gt;"",-tbl_main[[#This Row],[Debit]],tbl_main[[#This Row],[Credit]])</f>
        <v>-5</v>
      </c>
      <c r="J291">
        <f>YEAR(tbl_main[[#This Row],[Date]])</f>
        <v>2021</v>
      </c>
      <c r="K291" t="str">
        <f>TEXT(tbl_main[[#This Row],[Date]],"mmm")</f>
        <v>Jun</v>
      </c>
    </row>
    <row r="292" spans="1:11" x14ac:dyDescent="0.25">
      <c r="A292" t="s">
        <v>4</v>
      </c>
      <c r="B292" s="1">
        <v>44378</v>
      </c>
      <c r="C292" t="s">
        <v>13</v>
      </c>
      <c r="D292" t="s">
        <v>14</v>
      </c>
      <c r="E292" t="s">
        <v>15</v>
      </c>
      <c r="F292" t="s">
        <v>16</v>
      </c>
      <c r="G292">
        <v>5</v>
      </c>
      <c r="I292">
        <f>IF(tbl_main[[#This Row],[Debit]]&lt;&gt;"",-tbl_main[[#This Row],[Debit]],tbl_main[[#This Row],[Credit]])</f>
        <v>-5</v>
      </c>
      <c r="J292">
        <f>YEAR(tbl_main[[#This Row],[Date]])</f>
        <v>2021</v>
      </c>
      <c r="K292" t="str">
        <f>TEXT(tbl_main[[#This Row],[Date]],"mmm")</f>
        <v>Jul</v>
      </c>
    </row>
    <row r="293" spans="1:11" x14ac:dyDescent="0.25">
      <c r="A293" t="s">
        <v>9</v>
      </c>
      <c r="B293" s="1">
        <v>44379</v>
      </c>
      <c r="C293" t="s">
        <v>10</v>
      </c>
      <c r="D293" t="s">
        <v>11</v>
      </c>
      <c r="E293" t="s">
        <v>11</v>
      </c>
      <c r="F293" t="s">
        <v>12</v>
      </c>
      <c r="H293">
        <v>4000</v>
      </c>
      <c r="I293">
        <f>IF(tbl_main[[#This Row],[Debit]]&lt;&gt;"",-tbl_main[[#This Row],[Debit]],tbl_main[[#This Row],[Credit]])</f>
        <v>4000</v>
      </c>
      <c r="J293">
        <f>YEAR(tbl_main[[#This Row],[Date]])</f>
        <v>2021</v>
      </c>
      <c r="K293" t="str">
        <f>TEXT(tbl_main[[#This Row],[Date]],"mmm")</f>
        <v>Jul</v>
      </c>
    </row>
    <row r="294" spans="1:11" x14ac:dyDescent="0.25">
      <c r="A294" t="s">
        <v>4</v>
      </c>
      <c r="B294" s="1">
        <v>44380</v>
      </c>
      <c r="C294" t="s">
        <v>13</v>
      </c>
      <c r="D294" t="s">
        <v>14</v>
      </c>
      <c r="E294" t="s">
        <v>15</v>
      </c>
      <c r="F294" t="s">
        <v>16</v>
      </c>
      <c r="G294">
        <v>5</v>
      </c>
      <c r="I294">
        <f>IF(tbl_main[[#This Row],[Debit]]&lt;&gt;"",-tbl_main[[#This Row],[Debit]],tbl_main[[#This Row],[Credit]])</f>
        <v>-5</v>
      </c>
      <c r="J294">
        <f>YEAR(tbl_main[[#This Row],[Date]])</f>
        <v>2021</v>
      </c>
      <c r="K294" t="str">
        <f>TEXT(tbl_main[[#This Row],[Date]],"mmm")</f>
        <v>Jul</v>
      </c>
    </row>
    <row r="295" spans="1:11" x14ac:dyDescent="0.25">
      <c r="A295" t="s">
        <v>9</v>
      </c>
      <c r="B295" s="1">
        <v>44382</v>
      </c>
      <c r="C295" t="s">
        <v>17</v>
      </c>
      <c r="D295" t="s">
        <v>18</v>
      </c>
      <c r="E295" t="s">
        <v>19</v>
      </c>
      <c r="F295" t="s">
        <v>16</v>
      </c>
      <c r="G295">
        <v>900</v>
      </c>
      <c r="I295">
        <f>IF(tbl_main[[#This Row],[Debit]]&lt;&gt;"",-tbl_main[[#This Row],[Debit]],tbl_main[[#This Row],[Credit]])</f>
        <v>-900</v>
      </c>
      <c r="J295">
        <f>YEAR(tbl_main[[#This Row],[Date]])</f>
        <v>2021</v>
      </c>
      <c r="K295" t="str">
        <f>TEXT(tbl_main[[#This Row],[Date]],"mmm")</f>
        <v>Jul</v>
      </c>
    </row>
    <row r="296" spans="1:11" x14ac:dyDescent="0.25">
      <c r="A296" t="s">
        <v>9</v>
      </c>
      <c r="B296" s="1">
        <v>44382</v>
      </c>
      <c r="C296" t="s">
        <v>20</v>
      </c>
      <c r="D296" t="s">
        <v>21</v>
      </c>
      <c r="E296" t="s">
        <v>22</v>
      </c>
      <c r="F296" t="s">
        <v>16</v>
      </c>
      <c r="G296">
        <v>150</v>
      </c>
      <c r="I296">
        <f>IF(tbl_main[[#This Row],[Debit]]&lt;&gt;"",-tbl_main[[#This Row],[Debit]],tbl_main[[#This Row],[Credit]])</f>
        <v>-150</v>
      </c>
      <c r="J296">
        <f>YEAR(tbl_main[[#This Row],[Date]])</f>
        <v>2021</v>
      </c>
      <c r="K296" t="str">
        <f>TEXT(tbl_main[[#This Row],[Date]],"mmm")</f>
        <v>Jul</v>
      </c>
    </row>
    <row r="297" spans="1:11" x14ac:dyDescent="0.25">
      <c r="A297" t="s">
        <v>4</v>
      </c>
      <c r="B297" s="1">
        <v>44382</v>
      </c>
      <c r="C297" t="s">
        <v>61</v>
      </c>
      <c r="D297" t="s">
        <v>34</v>
      </c>
      <c r="E297" t="s">
        <v>15</v>
      </c>
      <c r="F297" t="s">
        <v>16</v>
      </c>
      <c r="G297">
        <v>15</v>
      </c>
      <c r="I297">
        <f>IF(tbl_main[[#This Row],[Debit]]&lt;&gt;"",-tbl_main[[#This Row],[Debit]],tbl_main[[#This Row],[Credit]])</f>
        <v>-15</v>
      </c>
      <c r="J297">
        <f>YEAR(tbl_main[[#This Row],[Date]])</f>
        <v>2021</v>
      </c>
      <c r="K297" t="str">
        <f>TEXT(tbl_main[[#This Row],[Date]],"mmm")</f>
        <v>Jul</v>
      </c>
    </row>
    <row r="298" spans="1:11" x14ac:dyDescent="0.25">
      <c r="A298" t="s">
        <v>4</v>
      </c>
      <c r="B298" s="1">
        <v>44382</v>
      </c>
      <c r="C298" t="s">
        <v>13</v>
      </c>
      <c r="D298" t="s">
        <v>14</v>
      </c>
      <c r="E298" t="s">
        <v>15</v>
      </c>
      <c r="F298" t="s">
        <v>16</v>
      </c>
      <c r="G298">
        <v>5</v>
      </c>
      <c r="I298">
        <f>IF(tbl_main[[#This Row],[Debit]]&lt;&gt;"",-tbl_main[[#This Row],[Debit]],tbl_main[[#This Row],[Credit]])</f>
        <v>-5</v>
      </c>
      <c r="J298">
        <f>YEAR(tbl_main[[#This Row],[Date]])</f>
        <v>2021</v>
      </c>
      <c r="K298" t="str">
        <f>TEXT(tbl_main[[#This Row],[Date]],"mmm")</f>
        <v>Jul</v>
      </c>
    </row>
    <row r="299" spans="1:11" x14ac:dyDescent="0.25">
      <c r="A299" t="s">
        <v>4</v>
      </c>
      <c r="B299" s="1">
        <v>44383</v>
      </c>
      <c r="C299" t="s">
        <v>13</v>
      </c>
      <c r="D299" t="s">
        <v>14</v>
      </c>
      <c r="E299" t="s">
        <v>15</v>
      </c>
      <c r="F299" t="s">
        <v>16</v>
      </c>
      <c r="G299">
        <v>5</v>
      </c>
      <c r="I299">
        <f>IF(tbl_main[[#This Row],[Debit]]&lt;&gt;"",-tbl_main[[#This Row],[Debit]],tbl_main[[#This Row],[Credit]])</f>
        <v>-5</v>
      </c>
      <c r="J299">
        <f>YEAR(tbl_main[[#This Row],[Date]])</f>
        <v>2021</v>
      </c>
      <c r="K299" t="str">
        <f>TEXT(tbl_main[[#This Row],[Date]],"mmm")</f>
        <v>Jul</v>
      </c>
    </row>
    <row r="300" spans="1:11" x14ac:dyDescent="0.25">
      <c r="A300" t="s">
        <v>4</v>
      </c>
      <c r="B300" s="1">
        <v>44384</v>
      </c>
      <c r="C300" t="s">
        <v>13</v>
      </c>
      <c r="D300" t="s">
        <v>14</v>
      </c>
      <c r="E300" t="s">
        <v>15</v>
      </c>
      <c r="F300" t="s">
        <v>16</v>
      </c>
      <c r="G300">
        <v>5</v>
      </c>
      <c r="I300">
        <f>IF(tbl_main[[#This Row],[Debit]]&lt;&gt;"",-tbl_main[[#This Row],[Debit]],tbl_main[[#This Row],[Credit]])</f>
        <v>-5</v>
      </c>
      <c r="J300">
        <f>YEAR(tbl_main[[#This Row],[Date]])</f>
        <v>2021</v>
      </c>
      <c r="K300" t="str">
        <f>TEXT(tbl_main[[#This Row],[Date]],"mmm")</f>
        <v>Jul</v>
      </c>
    </row>
    <row r="301" spans="1:11" x14ac:dyDescent="0.25">
      <c r="A301" t="s">
        <v>4</v>
      </c>
      <c r="B301" s="1">
        <v>44384</v>
      </c>
      <c r="C301" t="s">
        <v>23</v>
      </c>
      <c r="D301" t="s">
        <v>24</v>
      </c>
      <c r="E301" t="s">
        <v>19</v>
      </c>
      <c r="F301" t="s">
        <v>16</v>
      </c>
      <c r="G301">
        <v>180</v>
      </c>
      <c r="I301">
        <f>IF(tbl_main[[#This Row],[Debit]]&lt;&gt;"",-tbl_main[[#This Row],[Debit]],tbl_main[[#This Row],[Credit]])</f>
        <v>-180</v>
      </c>
      <c r="J301">
        <f>YEAR(tbl_main[[#This Row],[Date]])</f>
        <v>2021</v>
      </c>
      <c r="K301" t="str">
        <f>TEXT(tbl_main[[#This Row],[Date]],"mmm")</f>
        <v>Jul</v>
      </c>
    </row>
    <row r="302" spans="1:11" x14ac:dyDescent="0.25">
      <c r="A302" t="s">
        <v>9</v>
      </c>
      <c r="B302" s="1">
        <v>44387</v>
      </c>
      <c r="C302" t="s">
        <v>25</v>
      </c>
      <c r="D302" t="s">
        <v>26</v>
      </c>
      <c r="E302" t="s">
        <v>19</v>
      </c>
      <c r="F302" t="s">
        <v>16</v>
      </c>
      <c r="G302">
        <v>56.1</v>
      </c>
      <c r="I302">
        <f>IF(tbl_main[[#This Row],[Debit]]&lt;&gt;"",-tbl_main[[#This Row],[Debit]],tbl_main[[#This Row],[Credit]])</f>
        <v>-56.1</v>
      </c>
      <c r="J302">
        <f>YEAR(tbl_main[[#This Row],[Date]])</f>
        <v>2021</v>
      </c>
      <c r="K302" t="str">
        <f>TEXT(tbl_main[[#This Row],[Date]],"mmm")</f>
        <v>Jul</v>
      </c>
    </row>
    <row r="303" spans="1:11" x14ac:dyDescent="0.25">
      <c r="A303" t="s">
        <v>4</v>
      </c>
      <c r="B303" s="1">
        <v>44387</v>
      </c>
      <c r="C303" t="s">
        <v>13</v>
      </c>
      <c r="D303" t="s">
        <v>14</v>
      </c>
      <c r="E303" t="s">
        <v>15</v>
      </c>
      <c r="F303" t="s">
        <v>16</v>
      </c>
      <c r="G303">
        <v>5</v>
      </c>
      <c r="I303">
        <f>IF(tbl_main[[#This Row],[Debit]]&lt;&gt;"",-tbl_main[[#This Row],[Debit]],tbl_main[[#This Row],[Credit]])</f>
        <v>-5</v>
      </c>
      <c r="J303">
        <f>YEAR(tbl_main[[#This Row],[Date]])</f>
        <v>2021</v>
      </c>
      <c r="K303" t="str">
        <f>TEXT(tbl_main[[#This Row],[Date]],"mmm")</f>
        <v>Jul</v>
      </c>
    </row>
    <row r="304" spans="1:11" x14ac:dyDescent="0.25">
      <c r="A304" t="s">
        <v>4</v>
      </c>
      <c r="B304" s="1">
        <v>44388</v>
      </c>
      <c r="C304" t="s">
        <v>13</v>
      </c>
      <c r="D304" t="s">
        <v>14</v>
      </c>
      <c r="E304" t="s">
        <v>15</v>
      </c>
      <c r="F304" t="s">
        <v>16</v>
      </c>
      <c r="G304">
        <v>5</v>
      </c>
      <c r="I304">
        <f>IF(tbl_main[[#This Row],[Debit]]&lt;&gt;"",-tbl_main[[#This Row],[Debit]],tbl_main[[#This Row],[Credit]])</f>
        <v>-5</v>
      </c>
      <c r="J304">
        <f>YEAR(tbl_main[[#This Row],[Date]])</f>
        <v>2021</v>
      </c>
      <c r="K304" t="str">
        <f>TEXT(tbl_main[[#This Row],[Date]],"mmm")</f>
        <v>Jul</v>
      </c>
    </row>
    <row r="305" spans="1:11" x14ac:dyDescent="0.25">
      <c r="A305" t="s">
        <v>4</v>
      </c>
      <c r="B305" s="1">
        <v>44389</v>
      </c>
      <c r="C305" t="s">
        <v>27</v>
      </c>
      <c r="D305" t="s">
        <v>28</v>
      </c>
      <c r="E305" t="s">
        <v>22</v>
      </c>
      <c r="F305" t="s">
        <v>16</v>
      </c>
      <c r="G305">
        <v>83.1</v>
      </c>
      <c r="I305">
        <f>IF(tbl_main[[#This Row],[Debit]]&lt;&gt;"",-tbl_main[[#This Row],[Debit]],tbl_main[[#This Row],[Credit]])</f>
        <v>-83.1</v>
      </c>
      <c r="J305">
        <f>YEAR(tbl_main[[#This Row],[Date]])</f>
        <v>2021</v>
      </c>
      <c r="K305" t="str">
        <f>TEXT(tbl_main[[#This Row],[Date]],"mmm")</f>
        <v>Jul</v>
      </c>
    </row>
    <row r="306" spans="1:11" x14ac:dyDescent="0.25">
      <c r="A306" t="s">
        <v>4</v>
      </c>
      <c r="B306" s="1">
        <v>44389</v>
      </c>
      <c r="C306" t="s">
        <v>13</v>
      </c>
      <c r="D306" t="s">
        <v>14</v>
      </c>
      <c r="E306" t="s">
        <v>15</v>
      </c>
      <c r="F306" t="s">
        <v>16</v>
      </c>
      <c r="G306">
        <v>5</v>
      </c>
      <c r="I306">
        <f>IF(tbl_main[[#This Row],[Debit]]&lt;&gt;"",-tbl_main[[#This Row],[Debit]],tbl_main[[#This Row],[Credit]])</f>
        <v>-5</v>
      </c>
      <c r="J306">
        <f>YEAR(tbl_main[[#This Row],[Date]])</f>
        <v>2021</v>
      </c>
      <c r="K306" t="str">
        <f>TEXT(tbl_main[[#This Row],[Date]],"mmm")</f>
        <v>Jul</v>
      </c>
    </row>
    <row r="307" spans="1:11" x14ac:dyDescent="0.25">
      <c r="A307" t="s">
        <v>4</v>
      </c>
      <c r="B307" s="1">
        <v>44390</v>
      </c>
      <c r="C307" t="s">
        <v>13</v>
      </c>
      <c r="D307" t="s">
        <v>14</v>
      </c>
      <c r="E307" t="s">
        <v>15</v>
      </c>
      <c r="F307" t="s">
        <v>16</v>
      </c>
      <c r="G307">
        <v>5</v>
      </c>
      <c r="I307">
        <f>IF(tbl_main[[#This Row],[Debit]]&lt;&gt;"",-tbl_main[[#This Row],[Debit]],tbl_main[[#This Row],[Credit]])</f>
        <v>-5</v>
      </c>
      <c r="J307">
        <f>YEAR(tbl_main[[#This Row],[Date]])</f>
        <v>2021</v>
      </c>
      <c r="K307" t="str">
        <f>TEXT(tbl_main[[#This Row],[Date]],"mmm")</f>
        <v>Jul</v>
      </c>
    </row>
    <row r="308" spans="1:11" x14ac:dyDescent="0.25">
      <c r="A308" t="s">
        <v>4</v>
      </c>
      <c r="B308" s="1">
        <v>44391</v>
      </c>
      <c r="C308" t="s">
        <v>23</v>
      </c>
      <c r="D308" t="s">
        <v>24</v>
      </c>
      <c r="E308" t="s">
        <v>19</v>
      </c>
      <c r="F308" t="s">
        <v>16</v>
      </c>
      <c r="G308">
        <v>141.1</v>
      </c>
      <c r="I308">
        <f>IF(tbl_main[[#This Row],[Debit]]&lt;&gt;"",-tbl_main[[#This Row],[Debit]],tbl_main[[#This Row],[Credit]])</f>
        <v>-141.1</v>
      </c>
      <c r="J308">
        <f>YEAR(tbl_main[[#This Row],[Date]])</f>
        <v>2021</v>
      </c>
      <c r="K308" t="str">
        <f>TEXT(tbl_main[[#This Row],[Date]],"mmm")</f>
        <v>Jul</v>
      </c>
    </row>
    <row r="309" spans="1:11" x14ac:dyDescent="0.25">
      <c r="A309" t="s">
        <v>4</v>
      </c>
      <c r="B309" s="1">
        <v>44391</v>
      </c>
      <c r="C309" t="s">
        <v>13</v>
      </c>
      <c r="D309" t="s">
        <v>14</v>
      </c>
      <c r="E309" t="s">
        <v>15</v>
      </c>
      <c r="F309" t="s">
        <v>16</v>
      </c>
      <c r="G309">
        <v>5</v>
      </c>
      <c r="I309">
        <f>IF(tbl_main[[#This Row],[Debit]]&lt;&gt;"",-tbl_main[[#This Row],[Debit]],tbl_main[[#This Row],[Credit]])</f>
        <v>-5</v>
      </c>
      <c r="J309">
        <f>YEAR(tbl_main[[#This Row],[Date]])</f>
        <v>2021</v>
      </c>
      <c r="K309" t="str">
        <f>TEXT(tbl_main[[#This Row],[Date]],"mmm")</f>
        <v>Jul</v>
      </c>
    </row>
    <row r="310" spans="1:11" x14ac:dyDescent="0.25">
      <c r="A310" t="s">
        <v>4</v>
      </c>
      <c r="B310" s="1">
        <v>44392</v>
      </c>
      <c r="C310" t="s">
        <v>13</v>
      </c>
      <c r="D310" t="s">
        <v>14</v>
      </c>
      <c r="E310" t="s">
        <v>15</v>
      </c>
      <c r="F310" t="s">
        <v>16</v>
      </c>
      <c r="G310">
        <v>5</v>
      </c>
      <c r="I310">
        <f>IF(tbl_main[[#This Row],[Debit]]&lt;&gt;"",-tbl_main[[#This Row],[Debit]],tbl_main[[#This Row],[Credit]])</f>
        <v>-5</v>
      </c>
      <c r="J310">
        <f>YEAR(tbl_main[[#This Row],[Date]])</f>
        <v>2021</v>
      </c>
      <c r="K310" t="str">
        <f>TEXT(tbl_main[[#This Row],[Date]],"mmm")</f>
        <v>Jul</v>
      </c>
    </row>
    <row r="311" spans="1:11" x14ac:dyDescent="0.25">
      <c r="A311" t="s">
        <v>4</v>
      </c>
      <c r="B311" s="1">
        <v>44392</v>
      </c>
      <c r="C311" t="s">
        <v>29</v>
      </c>
      <c r="D311" t="s">
        <v>21</v>
      </c>
      <c r="E311" t="s">
        <v>30</v>
      </c>
      <c r="F311" t="s">
        <v>16</v>
      </c>
      <c r="G311">
        <v>45.8</v>
      </c>
      <c r="I311">
        <f>IF(tbl_main[[#This Row],[Debit]]&lt;&gt;"",-tbl_main[[#This Row],[Debit]],tbl_main[[#This Row],[Credit]])</f>
        <v>-45.8</v>
      </c>
      <c r="J311">
        <f>YEAR(tbl_main[[#This Row],[Date]])</f>
        <v>2021</v>
      </c>
      <c r="K311" t="str">
        <f>TEXT(tbl_main[[#This Row],[Date]],"mmm")</f>
        <v>Jul</v>
      </c>
    </row>
    <row r="312" spans="1:11" x14ac:dyDescent="0.25">
      <c r="A312" t="s">
        <v>4</v>
      </c>
      <c r="B312" s="1">
        <v>44392</v>
      </c>
      <c r="C312" t="s">
        <v>31</v>
      </c>
      <c r="D312" t="s">
        <v>32</v>
      </c>
      <c r="E312" t="s">
        <v>30</v>
      </c>
      <c r="F312" t="s">
        <v>16</v>
      </c>
      <c r="G312">
        <v>103.80000000000001</v>
      </c>
      <c r="I312">
        <f>IF(tbl_main[[#This Row],[Debit]]&lt;&gt;"",-tbl_main[[#This Row],[Debit]],tbl_main[[#This Row],[Credit]])</f>
        <v>-103.80000000000001</v>
      </c>
      <c r="J312">
        <f>YEAR(tbl_main[[#This Row],[Date]])</f>
        <v>2021</v>
      </c>
      <c r="K312" t="str">
        <f>TEXT(tbl_main[[#This Row],[Date]],"mmm")</f>
        <v>Jul</v>
      </c>
    </row>
    <row r="313" spans="1:11" x14ac:dyDescent="0.25">
      <c r="A313" t="s">
        <v>4</v>
      </c>
      <c r="B313" s="1">
        <v>44392</v>
      </c>
      <c r="C313" t="s">
        <v>33</v>
      </c>
      <c r="D313" t="s">
        <v>34</v>
      </c>
      <c r="E313" t="s">
        <v>15</v>
      </c>
      <c r="F313" t="s">
        <v>16</v>
      </c>
      <c r="G313">
        <v>58</v>
      </c>
      <c r="I313">
        <f>IF(tbl_main[[#This Row],[Debit]]&lt;&gt;"",-tbl_main[[#This Row],[Debit]],tbl_main[[#This Row],[Credit]])</f>
        <v>-58</v>
      </c>
      <c r="J313">
        <f>YEAR(tbl_main[[#This Row],[Date]])</f>
        <v>2021</v>
      </c>
      <c r="K313" t="str">
        <f>TEXT(tbl_main[[#This Row],[Date]],"mmm")</f>
        <v>Jul</v>
      </c>
    </row>
    <row r="314" spans="1:11" x14ac:dyDescent="0.25">
      <c r="A314" t="s">
        <v>4</v>
      </c>
      <c r="B314" s="1">
        <v>44393</v>
      </c>
      <c r="C314" t="s">
        <v>35</v>
      </c>
      <c r="D314" t="s">
        <v>36</v>
      </c>
      <c r="E314" t="s">
        <v>22</v>
      </c>
      <c r="F314" t="s">
        <v>16</v>
      </c>
      <c r="G314">
        <v>34.200000000000003</v>
      </c>
      <c r="I314">
        <f>IF(tbl_main[[#This Row],[Debit]]&lt;&gt;"",-tbl_main[[#This Row],[Debit]],tbl_main[[#This Row],[Credit]])</f>
        <v>-34.200000000000003</v>
      </c>
      <c r="J314">
        <f>YEAR(tbl_main[[#This Row],[Date]])</f>
        <v>2021</v>
      </c>
      <c r="K314" t="str">
        <f>TEXT(tbl_main[[#This Row],[Date]],"mmm")</f>
        <v>Jul</v>
      </c>
    </row>
    <row r="315" spans="1:11" x14ac:dyDescent="0.25">
      <c r="A315" t="s">
        <v>9</v>
      </c>
      <c r="B315" s="1">
        <v>44394</v>
      </c>
      <c r="C315" t="s">
        <v>37</v>
      </c>
      <c r="D315" t="s">
        <v>38</v>
      </c>
      <c r="E315" t="s">
        <v>30</v>
      </c>
      <c r="F315" t="s">
        <v>16</v>
      </c>
      <c r="G315">
        <v>30</v>
      </c>
      <c r="I315">
        <f>IF(tbl_main[[#This Row],[Debit]]&lt;&gt;"",-tbl_main[[#This Row],[Debit]],tbl_main[[#This Row],[Credit]])</f>
        <v>-30</v>
      </c>
      <c r="J315">
        <f>YEAR(tbl_main[[#This Row],[Date]])</f>
        <v>2021</v>
      </c>
      <c r="K315" t="str">
        <f>TEXT(tbl_main[[#This Row],[Date]],"mmm")</f>
        <v>Jul</v>
      </c>
    </row>
    <row r="316" spans="1:11" x14ac:dyDescent="0.25">
      <c r="A316" t="s">
        <v>4</v>
      </c>
      <c r="B316" s="1">
        <v>44394</v>
      </c>
      <c r="C316" t="s">
        <v>13</v>
      </c>
      <c r="D316" t="s">
        <v>14</v>
      </c>
      <c r="E316" t="s">
        <v>15</v>
      </c>
      <c r="F316" t="s">
        <v>16</v>
      </c>
      <c r="G316">
        <v>5</v>
      </c>
      <c r="I316">
        <f>IF(tbl_main[[#This Row],[Debit]]&lt;&gt;"",-tbl_main[[#This Row],[Debit]],tbl_main[[#This Row],[Credit]])</f>
        <v>-5</v>
      </c>
      <c r="J316">
        <f>YEAR(tbl_main[[#This Row],[Date]])</f>
        <v>2021</v>
      </c>
      <c r="K316" t="str">
        <f>TEXT(tbl_main[[#This Row],[Date]],"mmm")</f>
        <v>Jul</v>
      </c>
    </row>
    <row r="317" spans="1:11" x14ac:dyDescent="0.25">
      <c r="A317" t="s">
        <v>4</v>
      </c>
      <c r="B317" s="1">
        <v>44395</v>
      </c>
      <c r="C317" t="s">
        <v>13</v>
      </c>
      <c r="D317" t="s">
        <v>14</v>
      </c>
      <c r="E317" t="s">
        <v>15</v>
      </c>
      <c r="F317" t="s">
        <v>16</v>
      </c>
      <c r="G317">
        <v>5</v>
      </c>
      <c r="I317">
        <f>IF(tbl_main[[#This Row],[Debit]]&lt;&gt;"",-tbl_main[[#This Row],[Debit]],tbl_main[[#This Row],[Credit]])</f>
        <v>-5</v>
      </c>
      <c r="J317">
        <f>YEAR(tbl_main[[#This Row],[Date]])</f>
        <v>2021</v>
      </c>
      <c r="K317" t="str">
        <f>TEXT(tbl_main[[#This Row],[Date]],"mmm")</f>
        <v>Jul</v>
      </c>
    </row>
    <row r="318" spans="1:11" x14ac:dyDescent="0.25">
      <c r="A318" t="s">
        <v>9</v>
      </c>
      <c r="B318" s="1">
        <v>44395</v>
      </c>
      <c r="C318" t="s">
        <v>42</v>
      </c>
      <c r="D318" t="s">
        <v>43</v>
      </c>
      <c r="E318" t="s">
        <v>19</v>
      </c>
      <c r="F318" t="s">
        <v>16</v>
      </c>
      <c r="G318">
        <v>40</v>
      </c>
      <c r="I318">
        <f>IF(tbl_main[[#This Row],[Debit]]&lt;&gt;"",-tbl_main[[#This Row],[Debit]],tbl_main[[#This Row],[Credit]])</f>
        <v>-40</v>
      </c>
      <c r="J318">
        <f>YEAR(tbl_main[[#This Row],[Date]])</f>
        <v>2021</v>
      </c>
      <c r="K318" t="str">
        <f>TEXT(tbl_main[[#This Row],[Date]],"mmm")</f>
        <v>Jul</v>
      </c>
    </row>
    <row r="319" spans="1:11" x14ac:dyDescent="0.25">
      <c r="A319" t="s">
        <v>4</v>
      </c>
      <c r="B319" s="1">
        <v>44396</v>
      </c>
      <c r="C319" t="s">
        <v>44</v>
      </c>
      <c r="D319" t="s">
        <v>45</v>
      </c>
      <c r="E319" t="s">
        <v>30</v>
      </c>
      <c r="F319" t="s">
        <v>16</v>
      </c>
      <c r="G319">
        <v>51.1</v>
      </c>
      <c r="I319">
        <f>IF(tbl_main[[#This Row],[Debit]]&lt;&gt;"",-tbl_main[[#This Row],[Debit]],tbl_main[[#This Row],[Credit]])</f>
        <v>-51.1</v>
      </c>
      <c r="J319">
        <f>YEAR(tbl_main[[#This Row],[Date]])</f>
        <v>2021</v>
      </c>
      <c r="K319" t="str">
        <f>TEXT(tbl_main[[#This Row],[Date]],"mmm")</f>
        <v>Jul</v>
      </c>
    </row>
    <row r="320" spans="1:11" x14ac:dyDescent="0.25">
      <c r="A320" t="s">
        <v>4</v>
      </c>
      <c r="B320" s="1">
        <v>44396</v>
      </c>
      <c r="C320" t="s">
        <v>46</v>
      </c>
      <c r="D320" t="s">
        <v>21</v>
      </c>
      <c r="E320" t="s">
        <v>30</v>
      </c>
      <c r="F320" t="s">
        <v>16</v>
      </c>
      <c r="G320">
        <v>35</v>
      </c>
      <c r="I320">
        <f>IF(tbl_main[[#This Row],[Debit]]&lt;&gt;"",-tbl_main[[#This Row],[Debit]],tbl_main[[#This Row],[Credit]])</f>
        <v>-35</v>
      </c>
      <c r="J320">
        <f>YEAR(tbl_main[[#This Row],[Date]])</f>
        <v>2021</v>
      </c>
      <c r="K320" t="str">
        <f>TEXT(tbl_main[[#This Row],[Date]],"mmm")</f>
        <v>Jul</v>
      </c>
    </row>
    <row r="321" spans="1:11" x14ac:dyDescent="0.25">
      <c r="A321" t="s">
        <v>4</v>
      </c>
      <c r="B321" s="1">
        <v>44396</v>
      </c>
      <c r="C321" t="s">
        <v>13</v>
      </c>
      <c r="D321" t="s">
        <v>14</v>
      </c>
      <c r="E321" t="s">
        <v>15</v>
      </c>
      <c r="F321" t="s">
        <v>16</v>
      </c>
      <c r="G321">
        <v>5</v>
      </c>
      <c r="I321">
        <f>IF(tbl_main[[#This Row],[Debit]]&lt;&gt;"",-tbl_main[[#This Row],[Debit]],tbl_main[[#This Row],[Credit]])</f>
        <v>-5</v>
      </c>
      <c r="J321">
        <f>YEAR(tbl_main[[#This Row],[Date]])</f>
        <v>2021</v>
      </c>
      <c r="K321" t="str">
        <f>TEXT(tbl_main[[#This Row],[Date]],"mmm")</f>
        <v>Jul</v>
      </c>
    </row>
    <row r="322" spans="1:11" x14ac:dyDescent="0.25">
      <c r="A322" t="s">
        <v>4</v>
      </c>
      <c r="B322" s="1">
        <v>44397</v>
      </c>
      <c r="C322" t="s">
        <v>13</v>
      </c>
      <c r="D322" t="s">
        <v>14</v>
      </c>
      <c r="E322" t="s">
        <v>15</v>
      </c>
      <c r="F322" t="s">
        <v>16</v>
      </c>
      <c r="G322">
        <v>5</v>
      </c>
      <c r="I322">
        <f>IF(tbl_main[[#This Row],[Debit]]&lt;&gt;"",-tbl_main[[#This Row],[Debit]],tbl_main[[#This Row],[Credit]])</f>
        <v>-5</v>
      </c>
      <c r="J322">
        <f>YEAR(tbl_main[[#This Row],[Date]])</f>
        <v>2021</v>
      </c>
      <c r="K322" t="str">
        <f>TEXT(tbl_main[[#This Row],[Date]],"mmm")</f>
        <v>Jul</v>
      </c>
    </row>
    <row r="323" spans="1:11" x14ac:dyDescent="0.25">
      <c r="A323" t="s">
        <v>4</v>
      </c>
      <c r="B323" s="1">
        <v>44398</v>
      </c>
      <c r="C323" t="s">
        <v>13</v>
      </c>
      <c r="D323" t="s">
        <v>14</v>
      </c>
      <c r="E323" t="s">
        <v>15</v>
      </c>
      <c r="F323" t="s">
        <v>16</v>
      </c>
      <c r="G323">
        <v>5</v>
      </c>
      <c r="I323">
        <f>IF(tbl_main[[#This Row],[Debit]]&lt;&gt;"",-tbl_main[[#This Row],[Debit]],tbl_main[[#This Row],[Credit]])</f>
        <v>-5</v>
      </c>
      <c r="J323">
        <f>YEAR(tbl_main[[#This Row],[Date]])</f>
        <v>2021</v>
      </c>
      <c r="K323" t="str">
        <f>TEXT(tbl_main[[#This Row],[Date]],"mmm")</f>
        <v>Jul</v>
      </c>
    </row>
    <row r="324" spans="1:11" x14ac:dyDescent="0.25">
      <c r="A324" t="s">
        <v>4</v>
      </c>
      <c r="B324" s="1">
        <v>44398</v>
      </c>
      <c r="C324" t="s">
        <v>23</v>
      </c>
      <c r="D324" t="s">
        <v>24</v>
      </c>
      <c r="E324" t="s">
        <v>19</v>
      </c>
      <c r="F324" t="s">
        <v>16</v>
      </c>
      <c r="G324">
        <v>176</v>
      </c>
      <c r="I324">
        <f>IF(tbl_main[[#This Row],[Debit]]&lt;&gt;"",-tbl_main[[#This Row],[Debit]],tbl_main[[#This Row],[Credit]])</f>
        <v>-176</v>
      </c>
      <c r="J324">
        <f>YEAR(tbl_main[[#This Row],[Date]])</f>
        <v>2021</v>
      </c>
      <c r="K324" t="str">
        <f>TEXT(tbl_main[[#This Row],[Date]],"mmm")</f>
        <v>Jul</v>
      </c>
    </row>
    <row r="325" spans="1:11" x14ac:dyDescent="0.25">
      <c r="A325" t="s">
        <v>4</v>
      </c>
      <c r="B325" s="1">
        <v>44399</v>
      </c>
      <c r="C325" t="s">
        <v>47</v>
      </c>
      <c r="D325" t="s">
        <v>34</v>
      </c>
      <c r="E325" t="s">
        <v>15</v>
      </c>
      <c r="F325" t="s">
        <v>16</v>
      </c>
      <c r="G325">
        <v>43.1</v>
      </c>
      <c r="I325">
        <f>IF(tbl_main[[#This Row],[Debit]]&lt;&gt;"",-tbl_main[[#This Row],[Debit]],tbl_main[[#This Row],[Credit]])</f>
        <v>-43.1</v>
      </c>
      <c r="J325">
        <f>YEAR(tbl_main[[#This Row],[Date]])</f>
        <v>2021</v>
      </c>
      <c r="K325" t="str">
        <f>TEXT(tbl_main[[#This Row],[Date]],"mmm")</f>
        <v>Jul</v>
      </c>
    </row>
    <row r="326" spans="1:11" x14ac:dyDescent="0.25">
      <c r="A326" t="s">
        <v>4</v>
      </c>
      <c r="B326" s="1">
        <v>44400</v>
      </c>
      <c r="C326" t="s">
        <v>48</v>
      </c>
      <c r="D326" t="s">
        <v>34</v>
      </c>
      <c r="E326" t="s">
        <v>15</v>
      </c>
      <c r="F326" t="s">
        <v>16</v>
      </c>
      <c r="G326">
        <v>18.2</v>
      </c>
      <c r="I326">
        <f>IF(tbl_main[[#This Row],[Debit]]&lt;&gt;"",-tbl_main[[#This Row],[Debit]],tbl_main[[#This Row],[Credit]])</f>
        <v>-18.2</v>
      </c>
      <c r="J326">
        <f>YEAR(tbl_main[[#This Row],[Date]])</f>
        <v>2021</v>
      </c>
      <c r="K326" t="str">
        <f>TEXT(tbl_main[[#This Row],[Date]],"mmm")</f>
        <v>Jul</v>
      </c>
    </row>
    <row r="327" spans="1:11" x14ac:dyDescent="0.25">
      <c r="A327" t="s">
        <v>9</v>
      </c>
      <c r="B327" s="1">
        <v>44401</v>
      </c>
      <c r="C327" t="s">
        <v>49</v>
      </c>
      <c r="D327" t="s">
        <v>50</v>
      </c>
      <c r="E327" t="s">
        <v>51</v>
      </c>
      <c r="F327" t="s">
        <v>16</v>
      </c>
      <c r="G327">
        <v>55</v>
      </c>
      <c r="I327">
        <f>IF(tbl_main[[#This Row],[Debit]]&lt;&gt;"",-tbl_main[[#This Row],[Debit]],tbl_main[[#This Row],[Credit]])</f>
        <v>-55</v>
      </c>
      <c r="J327">
        <f>YEAR(tbl_main[[#This Row],[Date]])</f>
        <v>2021</v>
      </c>
      <c r="K327" t="str">
        <f>TEXT(tbl_main[[#This Row],[Date]],"mmm")</f>
        <v>Jul</v>
      </c>
    </row>
    <row r="328" spans="1:11" x14ac:dyDescent="0.25">
      <c r="A328" t="s">
        <v>4</v>
      </c>
      <c r="B328" s="1">
        <v>44401</v>
      </c>
      <c r="C328" t="s">
        <v>27</v>
      </c>
      <c r="D328" t="s">
        <v>28</v>
      </c>
      <c r="E328" t="s">
        <v>22</v>
      </c>
      <c r="F328" t="s">
        <v>16</v>
      </c>
      <c r="G328">
        <v>68.800000000000011</v>
      </c>
      <c r="I328">
        <f>IF(tbl_main[[#This Row],[Debit]]&lt;&gt;"",-tbl_main[[#This Row],[Debit]],tbl_main[[#This Row],[Credit]])</f>
        <v>-68.800000000000011</v>
      </c>
      <c r="J328">
        <f>YEAR(tbl_main[[#This Row],[Date]])</f>
        <v>2021</v>
      </c>
      <c r="K328" t="str">
        <f>TEXT(tbl_main[[#This Row],[Date]],"mmm")</f>
        <v>Jul</v>
      </c>
    </row>
    <row r="329" spans="1:11" x14ac:dyDescent="0.25">
      <c r="A329" t="s">
        <v>4</v>
      </c>
      <c r="B329" s="1">
        <v>44401</v>
      </c>
      <c r="C329" t="s">
        <v>13</v>
      </c>
      <c r="D329" t="s">
        <v>14</v>
      </c>
      <c r="E329" t="s">
        <v>15</v>
      </c>
      <c r="F329" t="s">
        <v>16</v>
      </c>
      <c r="G329">
        <v>5</v>
      </c>
      <c r="I329">
        <f>IF(tbl_main[[#This Row],[Debit]]&lt;&gt;"",-tbl_main[[#This Row],[Debit]],tbl_main[[#This Row],[Credit]])</f>
        <v>-5</v>
      </c>
      <c r="J329">
        <f>YEAR(tbl_main[[#This Row],[Date]])</f>
        <v>2021</v>
      </c>
      <c r="K329" t="str">
        <f>TEXT(tbl_main[[#This Row],[Date]],"mmm")</f>
        <v>Jul</v>
      </c>
    </row>
    <row r="330" spans="1:11" x14ac:dyDescent="0.25">
      <c r="A330" t="s">
        <v>4</v>
      </c>
      <c r="B330" s="1">
        <v>44402</v>
      </c>
      <c r="C330" t="s">
        <v>13</v>
      </c>
      <c r="D330" t="s">
        <v>14</v>
      </c>
      <c r="E330" t="s">
        <v>15</v>
      </c>
      <c r="F330" t="s">
        <v>16</v>
      </c>
      <c r="G330">
        <v>5</v>
      </c>
      <c r="I330">
        <f>IF(tbl_main[[#This Row],[Debit]]&lt;&gt;"",-tbl_main[[#This Row],[Debit]],tbl_main[[#This Row],[Credit]])</f>
        <v>-5</v>
      </c>
      <c r="J330">
        <f>YEAR(tbl_main[[#This Row],[Date]])</f>
        <v>2021</v>
      </c>
      <c r="K330" t="str">
        <f>TEXT(tbl_main[[#This Row],[Date]],"mmm")</f>
        <v>Jul</v>
      </c>
    </row>
    <row r="331" spans="1:11" x14ac:dyDescent="0.25">
      <c r="A331" t="s">
        <v>4</v>
      </c>
      <c r="B331" s="1">
        <v>44403</v>
      </c>
      <c r="C331" t="s">
        <v>13</v>
      </c>
      <c r="D331" t="s">
        <v>14</v>
      </c>
      <c r="E331" t="s">
        <v>15</v>
      </c>
      <c r="F331" t="s">
        <v>16</v>
      </c>
      <c r="G331">
        <v>5</v>
      </c>
      <c r="I331">
        <f>IF(tbl_main[[#This Row],[Debit]]&lt;&gt;"",-tbl_main[[#This Row],[Debit]],tbl_main[[#This Row],[Credit]])</f>
        <v>-5</v>
      </c>
      <c r="J331">
        <f>YEAR(tbl_main[[#This Row],[Date]])</f>
        <v>2021</v>
      </c>
      <c r="K331" t="str">
        <f>TEXT(tbl_main[[#This Row],[Date]],"mmm")</f>
        <v>Jul</v>
      </c>
    </row>
    <row r="332" spans="1:11" x14ac:dyDescent="0.25">
      <c r="A332" t="s">
        <v>4</v>
      </c>
      <c r="B332" s="1">
        <v>44404</v>
      </c>
      <c r="C332" t="s">
        <v>13</v>
      </c>
      <c r="D332" t="s">
        <v>14</v>
      </c>
      <c r="E332" t="s">
        <v>15</v>
      </c>
      <c r="F332" t="s">
        <v>16</v>
      </c>
      <c r="G332">
        <v>5</v>
      </c>
      <c r="I332">
        <f>IF(tbl_main[[#This Row],[Debit]]&lt;&gt;"",-tbl_main[[#This Row],[Debit]],tbl_main[[#This Row],[Credit]])</f>
        <v>-5</v>
      </c>
      <c r="J332">
        <f>YEAR(tbl_main[[#This Row],[Date]])</f>
        <v>2021</v>
      </c>
      <c r="K332" t="str">
        <f>TEXT(tbl_main[[#This Row],[Date]],"mmm")</f>
        <v>Jul</v>
      </c>
    </row>
    <row r="333" spans="1:11" x14ac:dyDescent="0.25">
      <c r="A333" t="s">
        <v>4</v>
      </c>
      <c r="B333" s="1">
        <v>44405</v>
      </c>
      <c r="C333" t="s">
        <v>13</v>
      </c>
      <c r="D333" t="s">
        <v>14</v>
      </c>
      <c r="E333" t="s">
        <v>15</v>
      </c>
      <c r="F333" t="s">
        <v>16</v>
      </c>
      <c r="G333">
        <v>5</v>
      </c>
      <c r="I333">
        <f>IF(tbl_main[[#This Row],[Debit]]&lt;&gt;"",-tbl_main[[#This Row],[Debit]],tbl_main[[#This Row],[Credit]])</f>
        <v>-5</v>
      </c>
      <c r="J333">
        <f>YEAR(tbl_main[[#This Row],[Date]])</f>
        <v>2021</v>
      </c>
      <c r="K333" t="str">
        <f>TEXT(tbl_main[[#This Row],[Date]],"mmm")</f>
        <v>Jul</v>
      </c>
    </row>
    <row r="334" spans="1:11" x14ac:dyDescent="0.25">
      <c r="A334" t="s">
        <v>4</v>
      </c>
      <c r="B334" s="1">
        <v>44405</v>
      </c>
      <c r="C334" t="s">
        <v>23</v>
      </c>
      <c r="D334" t="s">
        <v>24</v>
      </c>
      <c r="E334" t="s">
        <v>19</v>
      </c>
      <c r="F334" t="s">
        <v>16</v>
      </c>
      <c r="G334">
        <v>193</v>
      </c>
      <c r="I334">
        <f>IF(tbl_main[[#This Row],[Debit]]&lt;&gt;"",-tbl_main[[#This Row],[Debit]],tbl_main[[#This Row],[Credit]])</f>
        <v>-193</v>
      </c>
      <c r="J334">
        <f>YEAR(tbl_main[[#This Row],[Date]])</f>
        <v>2021</v>
      </c>
      <c r="K334" t="str">
        <f>TEXT(tbl_main[[#This Row],[Date]],"mmm")</f>
        <v>Jul</v>
      </c>
    </row>
    <row r="335" spans="1:11" x14ac:dyDescent="0.25">
      <c r="A335" t="s">
        <v>4</v>
      </c>
      <c r="B335" s="1">
        <v>44406</v>
      </c>
      <c r="C335" t="s">
        <v>52</v>
      </c>
      <c r="D335" t="s">
        <v>32</v>
      </c>
      <c r="E335" t="s">
        <v>30</v>
      </c>
      <c r="F335" t="s">
        <v>16</v>
      </c>
      <c r="G335">
        <v>130.80000000000001</v>
      </c>
      <c r="I335">
        <f>IF(tbl_main[[#This Row],[Debit]]&lt;&gt;"",-tbl_main[[#This Row],[Debit]],tbl_main[[#This Row],[Credit]])</f>
        <v>-130.80000000000001</v>
      </c>
      <c r="J335">
        <f>YEAR(tbl_main[[#This Row],[Date]])</f>
        <v>2021</v>
      </c>
      <c r="K335" t="str">
        <f>TEXT(tbl_main[[#This Row],[Date]],"mmm")</f>
        <v>Jul</v>
      </c>
    </row>
    <row r="336" spans="1:11" x14ac:dyDescent="0.25">
      <c r="A336" t="s">
        <v>4</v>
      </c>
      <c r="B336" s="1">
        <v>44406</v>
      </c>
      <c r="C336" t="s">
        <v>59</v>
      </c>
      <c r="D336" t="s">
        <v>60</v>
      </c>
      <c r="E336" t="s">
        <v>30</v>
      </c>
      <c r="F336" t="s">
        <v>16</v>
      </c>
      <c r="G336">
        <v>181.39999999999998</v>
      </c>
      <c r="I336">
        <f>IF(tbl_main[[#This Row],[Debit]]&lt;&gt;"",-tbl_main[[#This Row],[Debit]],tbl_main[[#This Row],[Credit]])</f>
        <v>-181.39999999999998</v>
      </c>
      <c r="J336">
        <f>YEAR(tbl_main[[#This Row],[Date]])</f>
        <v>2021</v>
      </c>
      <c r="K336" t="str">
        <f>TEXT(tbl_main[[#This Row],[Date]],"mmm")</f>
        <v>Jul</v>
      </c>
    </row>
    <row r="337" spans="1:11" x14ac:dyDescent="0.25">
      <c r="A337" t="s">
        <v>4</v>
      </c>
      <c r="B337" s="1">
        <v>44407</v>
      </c>
      <c r="C337" t="s">
        <v>31</v>
      </c>
      <c r="D337" t="s">
        <v>32</v>
      </c>
      <c r="E337" t="s">
        <v>30</v>
      </c>
      <c r="F337" t="s">
        <v>16</v>
      </c>
      <c r="G337">
        <v>151.19999999999999</v>
      </c>
      <c r="I337">
        <f>IF(tbl_main[[#This Row],[Debit]]&lt;&gt;"",-tbl_main[[#This Row],[Debit]],tbl_main[[#This Row],[Credit]])</f>
        <v>-151.19999999999999</v>
      </c>
      <c r="J337">
        <f>YEAR(tbl_main[[#This Row],[Date]])</f>
        <v>2021</v>
      </c>
      <c r="K337" t="str">
        <f>TEXT(tbl_main[[#This Row],[Date]],"mmm")</f>
        <v>Jul</v>
      </c>
    </row>
    <row r="338" spans="1:11" x14ac:dyDescent="0.25">
      <c r="A338" t="s">
        <v>4</v>
      </c>
      <c r="B338" s="1">
        <v>44407</v>
      </c>
      <c r="C338" t="s">
        <v>35</v>
      </c>
      <c r="D338" t="s">
        <v>36</v>
      </c>
      <c r="E338" t="s">
        <v>22</v>
      </c>
      <c r="F338" t="s">
        <v>16</v>
      </c>
      <c r="G338">
        <v>29.300000000000004</v>
      </c>
      <c r="I338">
        <f>IF(tbl_main[[#This Row],[Debit]]&lt;&gt;"",-tbl_main[[#This Row],[Debit]],tbl_main[[#This Row],[Credit]])</f>
        <v>-29.300000000000004</v>
      </c>
      <c r="J338">
        <f>YEAR(tbl_main[[#This Row],[Date]])</f>
        <v>2021</v>
      </c>
      <c r="K338" t="str">
        <f>TEXT(tbl_main[[#This Row],[Date]],"mmm")</f>
        <v>Jul</v>
      </c>
    </row>
    <row r="339" spans="1:11" x14ac:dyDescent="0.25">
      <c r="A339" t="s">
        <v>4</v>
      </c>
      <c r="B339" s="1">
        <v>44407</v>
      </c>
      <c r="C339" t="s">
        <v>57</v>
      </c>
      <c r="D339" t="s">
        <v>34</v>
      </c>
      <c r="E339" t="s">
        <v>15</v>
      </c>
      <c r="F339" t="s">
        <v>16</v>
      </c>
      <c r="G339">
        <v>15</v>
      </c>
      <c r="I339">
        <f>IF(tbl_main[[#This Row],[Debit]]&lt;&gt;"",-tbl_main[[#This Row],[Debit]],tbl_main[[#This Row],[Credit]])</f>
        <v>-15</v>
      </c>
      <c r="J339">
        <f>YEAR(tbl_main[[#This Row],[Date]])</f>
        <v>2021</v>
      </c>
      <c r="K339" t="str">
        <f>TEXT(tbl_main[[#This Row],[Date]],"mmm")</f>
        <v>Jul</v>
      </c>
    </row>
    <row r="340" spans="1:11" x14ac:dyDescent="0.25">
      <c r="A340" t="s">
        <v>4</v>
      </c>
      <c r="B340" s="1">
        <v>44408</v>
      </c>
      <c r="C340" t="s">
        <v>13</v>
      </c>
      <c r="D340" t="s">
        <v>14</v>
      </c>
      <c r="E340" t="s">
        <v>15</v>
      </c>
      <c r="F340" t="s">
        <v>16</v>
      </c>
      <c r="G340">
        <v>5</v>
      </c>
      <c r="I340">
        <f>IF(tbl_main[[#This Row],[Debit]]&lt;&gt;"",-tbl_main[[#This Row],[Debit]],tbl_main[[#This Row],[Credit]])</f>
        <v>-5</v>
      </c>
      <c r="J340">
        <f>YEAR(tbl_main[[#This Row],[Date]])</f>
        <v>2021</v>
      </c>
      <c r="K340" t="str">
        <f>TEXT(tbl_main[[#This Row],[Date]],"mmm")</f>
        <v>Jul</v>
      </c>
    </row>
    <row r="341" spans="1:11" x14ac:dyDescent="0.25">
      <c r="A341" t="s">
        <v>4</v>
      </c>
      <c r="B341" s="1">
        <v>44410</v>
      </c>
      <c r="C341" t="s">
        <v>13</v>
      </c>
      <c r="D341" t="s">
        <v>14</v>
      </c>
      <c r="E341" t="s">
        <v>15</v>
      </c>
      <c r="F341" t="s">
        <v>16</v>
      </c>
      <c r="G341">
        <v>5</v>
      </c>
      <c r="I341">
        <f>IF(tbl_main[[#This Row],[Debit]]&lt;&gt;"",-tbl_main[[#This Row],[Debit]],tbl_main[[#This Row],[Credit]])</f>
        <v>-5</v>
      </c>
      <c r="J341">
        <f>YEAR(tbl_main[[#This Row],[Date]])</f>
        <v>2021</v>
      </c>
      <c r="K341" t="str">
        <f>TEXT(tbl_main[[#This Row],[Date]],"mmm")</f>
        <v>Aug</v>
      </c>
    </row>
    <row r="342" spans="1:11" x14ac:dyDescent="0.25">
      <c r="A342" t="s">
        <v>9</v>
      </c>
      <c r="B342" s="1">
        <v>44410</v>
      </c>
      <c r="C342" t="s">
        <v>10</v>
      </c>
      <c r="D342" t="s">
        <v>11</v>
      </c>
      <c r="E342" t="s">
        <v>11</v>
      </c>
      <c r="F342" t="s">
        <v>12</v>
      </c>
      <c r="H342">
        <v>4000</v>
      </c>
      <c r="I342">
        <f>IF(tbl_main[[#This Row],[Debit]]&lt;&gt;"",-tbl_main[[#This Row],[Debit]],tbl_main[[#This Row],[Credit]])</f>
        <v>4000</v>
      </c>
      <c r="J342">
        <f>YEAR(tbl_main[[#This Row],[Date]])</f>
        <v>2021</v>
      </c>
      <c r="K342" t="str">
        <f>TEXT(tbl_main[[#This Row],[Date]],"mmm")</f>
        <v>Aug</v>
      </c>
    </row>
    <row r="343" spans="1:11" x14ac:dyDescent="0.25">
      <c r="A343" t="s">
        <v>4</v>
      </c>
      <c r="B343" s="1">
        <v>44411</v>
      </c>
      <c r="C343" t="s">
        <v>13</v>
      </c>
      <c r="D343" t="s">
        <v>14</v>
      </c>
      <c r="E343" t="s">
        <v>15</v>
      </c>
      <c r="F343" t="s">
        <v>16</v>
      </c>
      <c r="G343">
        <v>5</v>
      </c>
      <c r="I343">
        <f>IF(tbl_main[[#This Row],[Debit]]&lt;&gt;"",-tbl_main[[#This Row],[Debit]],tbl_main[[#This Row],[Credit]])</f>
        <v>-5</v>
      </c>
      <c r="J343">
        <f>YEAR(tbl_main[[#This Row],[Date]])</f>
        <v>2021</v>
      </c>
      <c r="K343" t="str">
        <f>TEXT(tbl_main[[#This Row],[Date]],"mmm")</f>
        <v>Aug</v>
      </c>
    </row>
    <row r="344" spans="1:11" x14ac:dyDescent="0.25">
      <c r="A344" t="s">
        <v>9</v>
      </c>
      <c r="B344" s="1">
        <v>44413</v>
      </c>
      <c r="C344" t="s">
        <v>17</v>
      </c>
      <c r="D344" t="s">
        <v>18</v>
      </c>
      <c r="E344" t="s">
        <v>19</v>
      </c>
      <c r="F344" t="s">
        <v>16</v>
      </c>
      <c r="G344">
        <v>900</v>
      </c>
      <c r="I344">
        <f>IF(tbl_main[[#This Row],[Debit]]&lt;&gt;"",-tbl_main[[#This Row],[Debit]],tbl_main[[#This Row],[Credit]])</f>
        <v>-900</v>
      </c>
      <c r="J344">
        <f>YEAR(tbl_main[[#This Row],[Date]])</f>
        <v>2021</v>
      </c>
      <c r="K344" t="str">
        <f>TEXT(tbl_main[[#This Row],[Date]],"mmm")</f>
        <v>Aug</v>
      </c>
    </row>
    <row r="345" spans="1:11" x14ac:dyDescent="0.25">
      <c r="A345" t="s">
        <v>9</v>
      </c>
      <c r="B345" s="1">
        <v>44413</v>
      </c>
      <c r="C345" t="s">
        <v>20</v>
      </c>
      <c r="D345" t="s">
        <v>21</v>
      </c>
      <c r="E345" t="s">
        <v>22</v>
      </c>
      <c r="F345" t="s">
        <v>16</v>
      </c>
      <c r="G345">
        <v>150</v>
      </c>
      <c r="I345">
        <f>IF(tbl_main[[#This Row],[Debit]]&lt;&gt;"",-tbl_main[[#This Row],[Debit]],tbl_main[[#This Row],[Credit]])</f>
        <v>-150</v>
      </c>
      <c r="J345">
        <f>YEAR(tbl_main[[#This Row],[Date]])</f>
        <v>2021</v>
      </c>
      <c r="K345" t="str">
        <f>TEXT(tbl_main[[#This Row],[Date]],"mmm")</f>
        <v>Aug</v>
      </c>
    </row>
    <row r="346" spans="1:11" x14ac:dyDescent="0.25">
      <c r="A346" t="s">
        <v>4</v>
      </c>
      <c r="B346" s="1">
        <v>44413</v>
      </c>
      <c r="C346" t="s">
        <v>13</v>
      </c>
      <c r="D346" t="s">
        <v>14</v>
      </c>
      <c r="E346" t="s">
        <v>15</v>
      </c>
      <c r="F346" t="s">
        <v>16</v>
      </c>
      <c r="G346">
        <v>5</v>
      </c>
      <c r="I346">
        <f>IF(tbl_main[[#This Row],[Debit]]&lt;&gt;"",-tbl_main[[#This Row],[Debit]],tbl_main[[#This Row],[Credit]])</f>
        <v>-5</v>
      </c>
      <c r="J346">
        <f>YEAR(tbl_main[[#This Row],[Date]])</f>
        <v>2021</v>
      </c>
      <c r="K346" t="str">
        <f>TEXT(tbl_main[[#This Row],[Date]],"mmm")</f>
        <v>Aug</v>
      </c>
    </row>
    <row r="347" spans="1:11" x14ac:dyDescent="0.25">
      <c r="A347" t="s">
        <v>4</v>
      </c>
      <c r="B347" s="1">
        <v>44413</v>
      </c>
      <c r="C347" t="s">
        <v>13</v>
      </c>
      <c r="D347" t="s">
        <v>14</v>
      </c>
      <c r="E347" t="s">
        <v>15</v>
      </c>
      <c r="F347" t="s">
        <v>16</v>
      </c>
      <c r="G347">
        <v>5</v>
      </c>
      <c r="I347">
        <f>IF(tbl_main[[#This Row],[Debit]]&lt;&gt;"",-tbl_main[[#This Row],[Debit]],tbl_main[[#This Row],[Credit]])</f>
        <v>-5</v>
      </c>
      <c r="J347">
        <f>YEAR(tbl_main[[#This Row],[Date]])</f>
        <v>2021</v>
      </c>
      <c r="K347" t="str">
        <f>TEXT(tbl_main[[#This Row],[Date]],"mmm")</f>
        <v>Aug</v>
      </c>
    </row>
    <row r="348" spans="1:11" x14ac:dyDescent="0.25">
      <c r="A348" t="s">
        <v>4</v>
      </c>
      <c r="B348" s="1">
        <v>44414</v>
      </c>
      <c r="C348" t="s">
        <v>13</v>
      </c>
      <c r="D348" t="s">
        <v>14</v>
      </c>
      <c r="E348" t="s">
        <v>15</v>
      </c>
      <c r="F348" t="s">
        <v>16</v>
      </c>
      <c r="G348">
        <v>5</v>
      </c>
      <c r="I348">
        <f>IF(tbl_main[[#This Row],[Debit]]&lt;&gt;"",-tbl_main[[#This Row],[Debit]],tbl_main[[#This Row],[Credit]])</f>
        <v>-5</v>
      </c>
      <c r="J348">
        <f>YEAR(tbl_main[[#This Row],[Date]])</f>
        <v>2021</v>
      </c>
      <c r="K348" t="str">
        <f>TEXT(tbl_main[[#This Row],[Date]],"mmm")</f>
        <v>Aug</v>
      </c>
    </row>
    <row r="349" spans="1:11" x14ac:dyDescent="0.25">
      <c r="A349" t="s">
        <v>4</v>
      </c>
      <c r="B349" s="1">
        <v>44415</v>
      </c>
      <c r="C349" t="s">
        <v>13</v>
      </c>
      <c r="D349" t="s">
        <v>14</v>
      </c>
      <c r="E349" t="s">
        <v>15</v>
      </c>
      <c r="F349" t="s">
        <v>16</v>
      </c>
      <c r="G349">
        <v>5</v>
      </c>
      <c r="I349">
        <f>IF(tbl_main[[#This Row],[Debit]]&lt;&gt;"",-tbl_main[[#This Row],[Debit]],tbl_main[[#This Row],[Credit]])</f>
        <v>-5</v>
      </c>
      <c r="J349">
        <f>YEAR(tbl_main[[#This Row],[Date]])</f>
        <v>2021</v>
      </c>
      <c r="K349" t="str">
        <f>TEXT(tbl_main[[#This Row],[Date]],"mmm")</f>
        <v>Aug</v>
      </c>
    </row>
    <row r="350" spans="1:11" x14ac:dyDescent="0.25">
      <c r="A350" t="s">
        <v>4</v>
      </c>
      <c r="B350" s="1">
        <v>44415</v>
      </c>
      <c r="C350" t="s">
        <v>23</v>
      </c>
      <c r="D350" t="s">
        <v>24</v>
      </c>
      <c r="E350" t="s">
        <v>19</v>
      </c>
      <c r="F350" t="s">
        <v>16</v>
      </c>
      <c r="G350">
        <v>137</v>
      </c>
      <c r="I350">
        <f>IF(tbl_main[[#This Row],[Debit]]&lt;&gt;"",-tbl_main[[#This Row],[Debit]],tbl_main[[#This Row],[Credit]])</f>
        <v>-137</v>
      </c>
      <c r="J350">
        <f>YEAR(tbl_main[[#This Row],[Date]])</f>
        <v>2021</v>
      </c>
      <c r="K350" t="str">
        <f>TEXT(tbl_main[[#This Row],[Date]],"mmm")</f>
        <v>Aug</v>
      </c>
    </row>
    <row r="351" spans="1:11" x14ac:dyDescent="0.25">
      <c r="A351" t="s">
        <v>9</v>
      </c>
      <c r="B351" s="1">
        <v>44418</v>
      </c>
      <c r="C351" t="s">
        <v>25</v>
      </c>
      <c r="D351" t="s">
        <v>26</v>
      </c>
      <c r="E351" t="s">
        <v>19</v>
      </c>
      <c r="F351" t="s">
        <v>16</v>
      </c>
      <c r="G351">
        <v>57</v>
      </c>
      <c r="I351">
        <f>IF(tbl_main[[#This Row],[Debit]]&lt;&gt;"",-tbl_main[[#This Row],[Debit]],tbl_main[[#This Row],[Credit]])</f>
        <v>-57</v>
      </c>
      <c r="J351">
        <f>YEAR(tbl_main[[#This Row],[Date]])</f>
        <v>2021</v>
      </c>
      <c r="K351" t="str">
        <f>TEXT(tbl_main[[#This Row],[Date]],"mmm")</f>
        <v>Aug</v>
      </c>
    </row>
    <row r="352" spans="1:11" x14ac:dyDescent="0.25">
      <c r="A352" t="s">
        <v>4</v>
      </c>
      <c r="B352" s="1">
        <v>44418</v>
      </c>
      <c r="C352" t="s">
        <v>13</v>
      </c>
      <c r="D352" t="s">
        <v>14</v>
      </c>
      <c r="E352" t="s">
        <v>15</v>
      </c>
      <c r="F352" t="s">
        <v>16</v>
      </c>
      <c r="G352">
        <v>5</v>
      </c>
      <c r="I352">
        <f>IF(tbl_main[[#This Row],[Debit]]&lt;&gt;"",-tbl_main[[#This Row],[Debit]],tbl_main[[#This Row],[Credit]])</f>
        <v>-5</v>
      </c>
      <c r="J352">
        <f>YEAR(tbl_main[[#This Row],[Date]])</f>
        <v>2021</v>
      </c>
      <c r="K352" t="str">
        <f>TEXT(tbl_main[[#This Row],[Date]],"mmm")</f>
        <v>Aug</v>
      </c>
    </row>
    <row r="353" spans="1:11" x14ac:dyDescent="0.25">
      <c r="A353" t="s">
        <v>4</v>
      </c>
      <c r="B353" s="1">
        <v>44419</v>
      </c>
      <c r="C353" t="s">
        <v>13</v>
      </c>
      <c r="D353" t="s">
        <v>14</v>
      </c>
      <c r="E353" t="s">
        <v>15</v>
      </c>
      <c r="F353" t="s">
        <v>16</v>
      </c>
      <c r="G353">
        <v>5</v>
      </c>
      <c r="I353">
        <f>IF(tbl_main[[#This Row],[Debit]]&lt;&gt;"",-tbl_main[[#This Row],[Debit]],tbl_main[[#This Row],[Credit]])</f>
        <v>-5</v>
      </c>
      <c r="J353">
        <f>YEAR(tbl_main[[#This Row],[Date]])</f>
        <v>2021</v>
      </c>
      <c r="K353" t="str">
        <f>TEXT(tbl_main[[#This Row],[Date]],"mmm")</f>
        <v>Aug</v>
      </c>
    </row>
    <row r="354" spans="1:11" x14ac:dyDescent="0.25">
      <c r="A354" t="s">
        <v>4</v>
      </c>
      <c r="B354" s="1">
        <v>44420</v>
      </c>
      <c r="C354" t="s">
        <v>27</v>
      </c>
      <c r="D354" t="s">
        <v>28</v>
      </c>
      <c r="E354" t="s">
        <v>22</v>
      </c>
      <c r="F354" t="s">
        <v>16</v>
      </c>
      <c r="G354">
        <v>84.199999999999989</v>
      </c>
      <c r="I354">
        <f>IF(tbl_main[[#This Row],[Debit]]&lt;&gt;"",-tbl_main[[#This Row],[Debit]],tbl_main[[#This Row],[Credit]])</f>
        <v>-84.199999999999989</v>
      </c>
      <c r="J354">
        <f>YEAR(tbl_main[[#This Row],[Date]])</f>
        <v>2021</v>
      </c>
      <c r="K354" t="str">
        <f>TEXT(tbl_main[[#This Row],[Date]],"mmm")</f>
        <v>Aug</v>
      </c>
    </row>
    <row r="355" spans="1:11" x14ac:dyDescent="0.25">
      <c r="A355" t="s">
        <v>4</v>
      </c>
      <c r="B355" s="1">
        <v>44420</v>
      </c>
      <c r="C355" t="s">
        <v>13</v>
      </c>
      <c r="D355" t="s">
        <v>14</v>
      </c>
      <c r="E355" t="s">
        <v>15</v>
      </c>
      <c r="F355" t="s">
        <v>16</v>
      </c>
      <c r="G355">
        <v>5</v>
      </c>
      <c r="I355">
        <f>IF(tbl_main[[#This Row],[Debit]]&lt;&gt;"",-tbl_main[[#This Row],[Debit]],tbl_main[[#This Row],[Credit]])</f>
        <v>-5</v>
      </c>
      <c r="J355">
        <f>YEAR(tbl_main[[#This Row],[Date]])</f>
        <v>2021</v>
      </c>
      <c r="K355" t="str">
        <f>TEXT(tbl_main[[#This Row],[Date]],"mmm")</f>
        <v>Aug</v>
      </c>
    </row>
    <row r="356" spans="1:11" x14ac:dyDescent="0.25">
      <c r="A356" t="s">
        <v>4</v>
      </c>
      <c r="B356" s="1">
        <v>44421</v>
      </c>
      <c r="C356" t="s">
        <v>13</v>
      </c>
      <c r="D356" t="s">
        <v>14</v>
      </c>
      <c r="E356" t="s">
        <v>15</v>
      </c>
      <c r="F356" t="s">
        <v>16</v>
      </c>
      <c r="G356">
        <v>5</v>
      </c>
      <c r="I356">
        <f>IF(tbl_main[[#This Row],[Debit]]&lt;&gt;"",-tbl_main[[#This Row],[Debit]],tbl_main[[#This Row],[Credit]])</f>
        <v>-5</v>
      </c>
      <c r="J356">
        <f>YEAR(tbl_main[[#This Row],[Date]])</f>
        <v>2021</v>
      </c>
      <c r="K356" t="str">
        <f>TEXT(tbl_main[[#This Row],[Date]],"mmm")</f>
        <v>Aug</v>
      </c>
    </row>
    <row r="357" spans="1:11" x14ac:dyDescent="0.25">
      <c r="A357" t="s">
        <v>4</v>
      </c>
      <c r="B357" s="1">
        <v>44422</v>
      </c>
      <c r="C357" t="s">
        <v>23</v>
      </c>
      <c r="D357" t="s">
        <v>24</v>
      </c>
      <c r="E357" t="s">
        <v>19</v>
      </c>
      <c r="F357" t="s">
        <v>16</v>
      </c>
      <c r="G357">
        <v>142.1</v>
      </c>
      <c r="I357">
        <f>IF(tbl_main[[#This Row],[Debit]]&lt;&gt;"",-tbl_main[[#This Row],[Debit]],tbl_main[[#This Row],[Credit]])</f>
        <v>-142.1</v>
      </c>
      <c r="J357">
        <f>YEAR(tbl_main[[#This Row],[Date]])</f>
        <v>2021</v>
      </c>
      <c r="K357" t="str">
        <f>TEXT(tbl_main[[#This Row],[Date]],"mmm")</f>
        <v>Aug</v>
      </c>
    </row>
    <row r="358" spans="1:11" x14ac:dyDescent="0.25">
      <c r="A358" t="s">
        <v>4</v>
      </c>
      <c r="B358" s="1">
        <v>44422</v>
      </c>
      <c r="C358" t="s">
        <v>13</v>
      </c>
      <c r="D358" t="s">
        <v>14</v>
      </c>
      <c r="E358" t="s">
        <v>15</v>
      </c>
      <c r="F358" t="s">
        <v>16</v>
      </c>
      <c r="G358">
        <v>5</v>
      </c>
      <c r="I358">
        <f>IF(tbl_main[[#This Row],[Debit]]&lt;&gt;"",-tbl_main[[#This Row],[Debit]],tbl_main[[#This Row],[Credit]])</f>
        <v>-5</v>
      </c>
      <c r="J358">
        <f>YEAR(tbl_main[[#This Row],[Date]])</f>
        <v>2021</v>
      </c>
      <c r="K358" t="str">
        <f>TEXT(tbl_main[[#This Row],[Date]],"mmm")</f>
        <v>Aug</v>
      </c>
    </row>
    <row r="359" spans="1:11" x14ac:dyDescent="0.25">
      <c r="A359" t="s">
        <v>4</v>
      </c>
      <c r="B359" s="1">
        <v>44423</v>
      </c>
      <c r="C359" t="s">
        <v>13</v>
      </c>
      <c r="D359" t="s">
        <v>14</v>
      </c>
      <c r="E359" t="s">
        <v>15</v>
      </c>
      <c r="F359" t="s">
        <v>16</v>
      </c>
      <c r="G359">
        <v>5</v>
      </c>
      <c r="I359">
        <f>IF(tbl_main[[#This Row],[Debit]]&lt;&gt;"",-tbl_main[[#This Row],[Debit]],tbl_main[[#This Row],[Credit]])</f>
        <v>-5</v>
      </c>
      <c r="J359">
        <f>YEAR(tbl_main[[#This Row],[Date]])</f>
        <v>2021</v>
      </c>
      <c r="K359" t="str">
        <f>TEXT(tbl_main[[#This Row],[Date]],"mmm")</f>
        <v>Aug</v>
      </c>
    </row>
    <row r="360" spans="1:11" x14ac:dyDescent="0.25">
      <c r="A360" t="s">
        <v>4</v>
      </c>
      <c r="B360" s="1">
        <v>44423</v>
      </c>
      <c r="C360" t="s">
        <v>29</v>
      </c>
      <c r="D360" t="s">
        <v>21</v>
      </c>
      <c r="E360" t="s">
        <v>30</v>
      </c>
      <c r="F360" t="s">
        <v>16</v>
      </c>
      <c r="G360">
        <v>46.8</v>
      </c>
      <c r="I360">
        <f>IF(tbl_main[[#This Row],[Debit]]&lt;&gt;"",-tbl_main[[#This Row],[Debit]],tbl_main[[#This Row],[Credit]])</f>
        <v>-46.8</v>
      </c>
      <c r="J360">
        <f>YEAR(tbl_main[[#This Row],[Date]])</f>
        <v>2021</v>
      </c>
      <c r="K360" t="str">
        <f>TEXT(tbl_main[[#This Row],[Date]],"mmm")</f>
        <v>Aug</v>
      </c>
    </row>
    <row r="361" spans="1:11" x14ac:dyDescent="0.25">
      <c r="A361" t="s">
        <v>4</v>
      </c>
      <c r="B361" s="1">
        <v>44423</v>
      </c>
      <c r="C361" t="s">
        <v>31</v>
      </c>
      <c r="D361" t="s">
        <v>32</v>
      </c>
      <c r="E361" t="s">
        <v>30</v>
      </c>
      <c r="F361" t="s">
        <v>16</v>
      </c>
      <c r="G361">
        <v>104.70000000000002</v>
      </c>
      <c r="I361">
        <f>IF(tbl_main[[#This Row],[Debit]]&lt;&gt;"",-tbl_main[[#This Row],[Debit]],tbl_main[[#This Row],[Credit]])</f>
        <v>-104.70000000000002</v>
      </c>
      <c r="J361">
        <f>YEAR(tbl_main[[#This Row],[Date]])</f>
        <v>2021</v>
      </c>
      <c r="K361" t="str">
        <f>TEXT(tbl_main[[#This Row],[Date]],"mmm")</f>
        <v>Aug</v>
      </c>
    </row>
    <row r="362" spans="1:11" x14ac:dyDescent="0.25">
      <c r="A362" t="s">
        <v>4</v>
      </c>
      <c r="B362" s="1">
        <v>44423</v>
      </c>
      <c r="C362" t="s">
        <v>33</v>
      </c>
      <c r="D362" t="s">
        <v>34</v>
      </c>
      <c r="E362" t="s">
        <v>15</v>
      </c>
      <c r="F362" t="s">
        <v>16</v>
      </c>
      <c r="G362">
        <v>59.1</v>
      </c>
      <c r="I362">
        <f>IF(tbl_main[[#This Row],[Debit]]&lt;&gt;"",-tbl_main[[#This Row],[Debit]],tbl_main[[#This Row],[Credit]])</f>
        <v>-59.1</v>
      </c>
      <c r="J362">
        <f>YEAR(tbl_main[[#This Row],[Date]])</f>
        <v>2021</v>
      </c>
      <c r="K362" t="str">
        <f>TEXT(tbl_main[[#This Row],[Date]],"mmm")</f>
        <v>Aug</v>
      </c>
    </row>
    <row r="363" spans="1:11" x14ac:dyDescent="0.25">
      <c r="A363" t="s">
        <v>4</v>
      </c>
      <c r="B363" s="1">
        <v>44424</v>
      </c>
      <c r="C363" t="s">
        <v>35</v>
      </c>
      <c r="D363" t="s">
        <v>36</v>
      </c>
      <c r="E363" t="s">
        <v>22</v>
      </c>
      <c r="F363" t="s">
        <v>16</v>
      </c>
      <c r="G363">
        <v>35.1</v>
      </c>
      <c r="I363">
        <f>IF(tbl_main[[#This Row],[Debit]]&lt;&gt;"",-tbl_main[[#This Row],[Debit]],tbl_main[[#This Row],[Credit]])</f>
        <v>-35.1</v>
      </c>
      <c r="J363">
        <f>YEAR(tbl_main[[#This Row],[Date]])</f>
        <v>2021</v>
      </c>
      <c r="K363" t="str">
        <f>TEXT(tbl_main[[#This Row],[Date]],"mmm")</f>
        <v>Aug</v>
      </c>
    </row>
    <row r="364" spans="1:11" x14ac:dyDescent="0.25">
      <c r="A364" t="s">
        <v>9</v>
      </c>
      <c r="B364" s="1">
        <v>44425</v>
      </c>
      <c r="C364" t="s">
        <v>37</v>
      </c>
      <c r="D364" t="s">
        <v>38</v>
      </c>
      <c r="E364" t="s">
        <v>30</v>
      </c>
      <c r="F364" t="s">
        <v>16</v>
      </c>
      <c r="G364">
        <v>30</v>
      </c>
      <c r="I364">
        <f>IF(tbl_main[[#This Row],[Debit]]&lt;&gt;"",-tbl_main[[#This Row],[Debit]],tbl_main[[#This Row],[Credit]])</f>
        <v>-30</v>
      </c>
      <c r="J364">
        <f>YEAR(tbl_main[[#This Row],[Date]])</f>
        <v>2021</v>
      </c>
      <c r="K364" t="str">
        <f>TEXT(tbl_main[[#This Row],[Date]],"mmm")</f>
        <v>Aug</v>
      </c>
    </row>
    <row r="365" spans="1:11" x14ac:dyDescent="0.25">
      <c r="A365" t="s">
        <v>4</v>
      </c>
      <c r="B365" s="1">
        <v>44425</v>
      </c>
      <c r="C365" t="s">
        <v>13</v>
      </c>
      <c r="D365" t="s">
        <v>14</v>
      </c>
      <c r="E365" t="s">
        <v>15</v>
      </c>
      <c r="F365" t="s">
        <v>16</v>
      </c>
      <c r="G365">
        <v>5</v>
      </c>
      <c r="I365">
        <f>IF(tbl_main[[#This Row],[Debit]]&lt;&gt;"",-tbl_main[[#This Row],[Debit]],tbl_main[[#This Row],[Credit]])</f>
        <v>-5</v>
      </c>
      <c r="J365">
        <f>YEAR(tbl_main[[#This Row],[Date]])</f>
        <v>2021</v>
      </c>
      <c r="K365" t="str">
        <f>TEXT(tbl_main[[#This Row],[Date]],"mmm")</f>
        <v>Aug</v>
      </c>
    </row>
    <row r="366" spans="1:11" x14ac:dyDescent="0.25">
      <c r="A366" t="s">
        <v>4</v>
      </c>
      <c r="B366" s="1">
        <v>44426</v>
      </c>
      <c r="C366" t="s">
        <v>13</v>
      </c>
      <c r="D366" t="s">
        <v>14</v>
      </c>
      <c r="E366" t="s">
        <v>15</v>
      </c>
      <c r="F366" t="s">
        <v>16</v>
      </c>
      <c r="G366">
        <v>5</v>
      </c>
      <c r="I366">
        <f>IF(tbl_main[[#This Row],[Debit]]&lt;&gt;"",-tbl_main[[#This Row],[Debit]],tbl_main[[#This Row],[Credit]])</f>
        <v>-5</v>
      </c>
      <c r="J366">
        <f>YEAR(tbl_main[[#This Row],[Date]])</f>
        <v>2021</v>
      </c>
      <c r="K366" t="str">
        <f>TEXT(tbl_main[[#This Row],[Date]],"mmm")</f>
        <v>Aug</v>
      </c>
    </row>
    <row r="367" spans="1:11" x14ac:dyDescent="0.25">
      <c r="A367" t="s">
        <v>9</v>
      </c>
      <c r="B367" s="1">
        <v>44426</v>
      </c>
      <c r="C367" t="s">
        <v>42</v>
      </c>
      <c r="D367" t="s">
        <v>43</v>
      </c>
      <c r="E367" t="s">
        <v>19</v>
      </c>
      <c r="F367" t="s">
        <v>16</v>
      </c>
      <c r="G367">
        <v>40</v>
      </c>
      <c r="I367">
        <f>IF(tbl_main[[#This Row],[Debit]]&lt;&gt;"",-tbl_main[[#This Row],[Debit]],tbl_main[[#This Row],[Credit]])</f>
        <v>-40</v>
      </c>
      <c r="J367">
        <f>YEAR(tbl_main[[#This Row],[Date]])</f>
        <v>2021</v>
      </c>
      <c r="K367" t="str">
        <f>TEXT(tbl_main[[#This Row],[Date]],"mmm")</f>
        <v>Aug</v>
      </c>
    </row>
    <row r="368" spans="1:11" x14ac:dyDescent="0.25">
      <c r="A368" t="s">
        <v>4</v>
      </c>
      <c r="B368" s="1">
        <v>44427</v>
      </c>
      <c r="C368" t="s">
        <v>44</v>
      </c>
      <c r="D368" t="s">
        <v>45</v>
      </c>
      <c r="E368" t="s">
        <v>30</v>
      </c>
      <c r="F368" t="s">
        <v>16</v>
      </c>
      <c r="G368">
        <v>52.1</v>
      </c>
      <c r="I368">
        <f>IF(tbl_main[[#This Row],[Debit]]&lt;&gt;"",-tbl_main[[#This Row],[Debit]],tbl_main[[#This Row],[Credit]])</f>
        <v>-52.1</v>
      </c>
      <c r="J368">
        <f>YEAR(tbl_main[[#This Row],[Date]])</f>
        <v>2021</v>
      </c>
      <c r="K368" t="str">
        <f>TEXT(tbl_main[[#This Row],[Date]],"mmm")</f>
        <v>Aug</v>
      </c>
    </row>
    <row r="369" spans="1:11" x14ac:dyDescent="0.25">
      <c r="A369" t="s">
        <v>4</v>
      </c>
      <c r="B369" s="1">
        <v>44427</v>
      </c>
      <c r="C369" t="s">
        <v>46</v>
      </c>
      <c r="D369" t="s">
        <v>21</v>
      </c>
      <c r="E369" t="s">
        <v>30</v>
      </c>
      <c r="F369" t="s">
        <v>16</v>
      </c>
      <c r="G369">
        <v>35</v>
      </c>
      <c r="I369">
        <f>IF(tbl_main[[#This Row],[Debit]]&lt;&gt;"",-tbl_main[[#This Row],[Debit]],tbl_main[[#This Row],[Credit]])</f>
        <v>-35</v>
      </c>
      <c r="J369">
        <f>YEAR(tbl_main[[#This Row],[Date]])</f>
        <v>2021</v>
      </c>
      <c r="K369" t="str">
        <f>TEXT(tbl_main[[#This Row],[Date]],"mmm")</f>
        <v>Aug</v>
      </c>
    </row>
    <row r="370" spans="1:11" x14ac:dyDescent="0.25">
      <c r="A370" t="s">
        <v>4</v>
      </c>
      <c r="B370" s="1">
        <v>44427</v>
      </c>
      <c r="C370" t="s">
        <v>13</v>
      </c>
      <c r="D370" t="s">
        <v>14</v>
      </c>
      <c r="E370" t="s">
        <v>15</v>
      </c>
      <c r="F370" t="s">
        <v>16</v>
      </c>
      <c r="G370">
        <v>5</v>
      </c>
      <c r="I370">
        <f>IF(tbl_main[[#This Row],[Debit]]&lt;&gt;"",-tbl_main[[#This Row],[Debit]],tbl_main[[#This Row],[Credit]])</f>
        <v>-5</v>
      </c>
      <c r="J370">
        <f>YEAR(tbl_main[[#This Row],[Date]])</f>
        <v>2021</v>
      </c>
      <c r="K370" t="str">
        <f>TEXT(tbl_main[[#This Row],[Date]],"mmm")</f>
        <v>Aug</v>
      </c>
    </row>
    <row r="371" spans="1:11" x14ac:dyDescent="0.25">
      <c r="A371" t="s">
        <v>4</v>
      </c>
      <c r="B371" s="1">
        <v>44428</v>
      </c>
      <c r="C371" t="s">
        <v>13</v>
      </c>
      <c r="D371" t="s">
        <v>14</v>
      </c>
      <c r="E371" t="s">
        <v>15</v>
      </c>
      <c r="F371" t="s">
        <v>16</v>
      </c>
      <c r="G371">
        <v>5</v>
      </c>
      <c r="I371">
        <f>IF(tbl_main[[#This Row],[Debit]]&lt;&gt;"",-tbl_main[[#This Row],[Debit]],tbl_main[[#This Row],[Credit]])</f>
        <v>-5</v>
      </c>
      <c r="J371">
        <f>YEAR(tbl_main[[#This Row],[Date]])</f>
        <v>2021</v>
      </c>
      <c r="K371" t="str">
        <f>TEXT(tbl_main[[#This Row],[Date]],"mmm")</f>
        <v>Aug</v>
      </c>
    </row>
    <row r="372" spans="1:11" x14ac:dyDescent="0.25">
      <c r="A372" t="s">
        <v>4</v>
      </c>
      <c r="B372" s="1">
        <v>44429</v>
      </c>
      <c r="C372" t="s">
        <v>13</v>
      </c>
      <c r="D372" t="s">
        <v>14</v>
      </c>
      <c r="E372" t="s">
        <v>15</v>
      </c>
      <c r="F372" t="s">
        <v>16</v>
      </c>
      <c r="G372">
        <v>5</v>
      </c>
      <c r="I372">
        <f>IF(tbl_main[[#This Row],[Debit]]&lt;&gt;"",-tbl_main[[#This Row],[Debit]],tbl_main[[#This Row],[Credit]])</f>
        <v>-5</v>
      </c>
      <c r="J372">
        <f>YEAR(tbl_main[[#This Row],[Date]])</f>
        <v>2021</v>
      </c>
      <c r="K372" t="str">
        <f>TEXT(tbl_main[[#This Row],[Date]],"mmm")</f>
        <v>Aug</v>
      </c>
    </row>
    <row r="373" spans="1:11" x14ac:dyDescent="0.25">
      <c r="A373" t="s">
        <v>4</v>
      </c>
      <c r="B373" s="1">
        <v>44429</v>
      </c>
      <c r="C373" t="s">
        <v>23</v>
      </c>
      <c r="D373" t="s">
        <v>24</v>
      </c>
      <c r="E373" t="s">
        <v>19</v>
      </c>
      <c r="F373" t="s">
        <v>16</v>
      </c>
      <c r="G373">
        <v>177</v>
      </c>
      <c r="I373">
        <f>IF(tbl_main[[#This Row],[Debit]]&lt;&gt;"",-tbl_main[[#This Row],[Debit]],tbl_main[[#This Row],[Credit]])</f>
        <v>-177</v>
      </c>
      <c r="J373">
        <f>YEAR(tbl_main[[#This Row],[Date]])</f>
        <v>2021</v>
      </c>
      <c r="K373" t="str">
        <f>TEXT(tbl_main[[#This Row],[Date]],"mmm")</f>
        <v>Aug</v>
      </c>
    </row>
    <row r="374" spans="1:11" x14ac:dyDescent="0.25">
      <c r="A374" t="s">
        <v>4</v>
      </c>
      <c r="B374" s="1">
        <v>44430</v>
      </c>
      <c r="C374" t="s">
        <v>47</v>
      </c>
      <c r="D374" t="s">
        <v>34</v>
      </c>
      <c r="E374" t="s">
        <v>15</v>
      </c>
      <c r="F374" t="s">
        <v>16</v>
      </c>
      <c r="G374">
        <v>44.2</v>
      </c>
      <c r="I374">
        <f>IF(tbl_main[[#This Row],[Debit]]&lt;&gt;"",-tbl_main[[#This Row],[Debit]],tbl_main[[#This Row],[Credit]])</f>
        <v>-44.2</v>
      </c>
      <c r="J374">
        <f>YEAR(tbl_main[[#This Row],[Date]])</f>
        <v>2021</v>
      </c>
      <c r="K374" t="str">
        <f>TEXT(tbl_main[[#This Row],[Date]],"mmm")</f>
        <v>Aug</v>
      </c>
    </row>
    <row r="375" spans="1:11" x14ac:dyDescent="0.25">
      <c r="A375" t="s">
        <v>4</v>
      </c>
      <c r="B375" s="1">
        <v>44431</v>
      </c>
      <c r="C375" t="s">
        <v>48</v>
      </c>
      <c r="D375" t="s">
        <v>34</v>
      </c>
      <c r="E375" t="s">
        <v>15</v>
      </c>
      <c r="F375" t="s">
        <v>16</v>
      </c>
      <c r="G375">
        <v>19.2</v>
      </c>
      <c r="I375">
        <f>IF(tbl_main[[#This Row],[Debit]]&lt;&gt;"",-tbl_main[[#This Row],[Debit]],tbl_main[[#This Row],[Credit]])</f>
        <v>-19.2</v>
      </c>
      <c r="J375">
        <f>YEAR(tbl_main[[#This Row],[Date]])</f>
        <v>2021</v>
      </c>
      <c r="K375" t="str">
        <f>TEXT(tbl_main[[#This Row],[Date]],"mmm")</f>
        <v>Aug</v>
      </c>
    </row>
    <row r="376" spans="1:11" x14ac:dyDescent="0.25">
      <c r="A376" t="s">
        <v>9</v>
      </c>
      <c r="B376" s="1">
        <v>44432</v>
      </c>
      <c r="C376" t="s">
        <v>49</v>
      </c>
      <c r="D376" t="s">
        <v>50</v>
      </c>
      <c r="E376" t="s">
        <v>51</v>
      </c>
      <c r="F376" t="s">
        <v>16</v>
      </c>
      <c r="G376">
        <v>55</v>
      </c>
      <c r="I376">
        <f>IF(tbl_main[[#This Row],[Debit]]&lt;&gt;"",-tbl_main[[#This Row],[Debit]],tbl_main[[#This Row],[Credit]])</f>
        <v>-55</v>
      </c>
      <c r="J376">
        <f>YEAR(tbl_main[[#This Row],[Date]])</f>
        <v>2021</v>
      </c>
      <c r="K376" t="str">
        <f>TEXT(tbl_main[[#This Row],[Date]],"mmm")</f>
        <v>Aug</v>
      </c>
    </row>
    <row r="377" spans="1:11" x14ac:dyDescent="0.25">
      <c r="A377" t="s">
        <v>4</v>
      </c>
      <c r="B377" s="1">
        <v>44432</v>
      </c>
      <c r="C377" t="s">
        <v>27</v>
      </c>
      <c r="D377" t="s">
        <v>28</v>
      </c>
      <c r="E377" t="s">
        <v>22</v>
      </c>
      <c r="F377" t="s">
        <v>16</v>
      </c>
      <c r="G377">
        <v>69.700000000000017</v>
      </c>
      <c r="I377">
        <f>IF(tbl_main[[#This Row],[Debit]]&lt;&gt;"",-tbl_main[[#This Row],[Debit]],tbl_main[[#This Row],[Credit]])</f>
        <v>-69.700000000000017</v>
      </c>
      <c r="J377">
        <f>YEAR(tbl_main[[#This Row],[Date]])</f>
        <v>2021</v>
      </c>
      <c r="K377" t="str">
        <f>TEXT(tbl_main[[#This Row],[Date]],"mmm")</f>
        <v>Aug</v>
      </c>
    </row>
    <row r="378" spans="1:11" x14ac:dyDescent="0.25">
      <c r="A378" t="s">
        <v>4</v>
      </c>
      <c r="B378" s="1">
        <v>44432</v>
      </c>
      <c r="C378" t="s">
        <v>13</v>
      </c>
      <c r="D378" t="s">
        <v>14</v>
      </c>
      <c r="E378" t="s">
        <v>15</v>
      </c>
      <c r="F378" t="s">
        <v>16</v>
      </c>
      <c r="G378">
        <v>5</v>
      </c>
      <c r="I378">
        <f>IF(tbl_main[[#This Row],[Debit]]&lt;&gt;"",-tbl_main[[#This Row],[Debit]],tbl_main[[#This Row],[Credit]])</f>
        <v>-5</v>
      </c>
      <c r="J378">
        <f>YEAR(tbl_main[[#This Row],[Date]])</f>
        <v>2021</v>
      </c>
      <c r="K378" t="str">
        <f>TEXT(tbl_main[[#This Row],[Date]],"mmm")</f>
        <v>Aug</v>
      </c>
    </row>
    <row r="379" spans="1:11" x14ac:dyDescent="0.25">
      <c r="A379" t="s">
        <v>4</v>
      </c>
      <c r="B379" s="1">
        <v>44433</v>
      </c>
      <c r="C379" t="s">
        <v>13</v>
      </c>
      <c r="D379" t="s">
        <v>14</v>
      </c>
      <c r="E379" t="s">
        <v>15</v>
      </c>
      <c r="F379" t="s">
        <v>16</v>
      </c>
      <c r="G379">
        <v>5</v>
      </c>
      <c r="I379">
        <f>IF(tbl_main[[#This Row],[Debit]]&lt;&gt;"",-tbl_main[[#This Row],[Debit]],tbl_main[[#This Row],[Credit]])</f>
        <v>-5</v>
      </c>
      <c r="J379">
        <f>YEAR(tbl_main[[#This Row],[Date]])</f>
        <v>2021</v>
      </c>
      <c r="K379" t="str">
        <f>TEXT(tbl_main[[#This Row],[Date]],"mmm")</f>
        <v>Aug</v>
      </c>
    </row>
    <row r="380" spans="1:11" x14ac:dyDescent="0.25">
      <c r="A380" t="s">
        <v>4</v>
      </c>
      <c r="B380" s="1">
        <v>44434</v>
      </c>
      <c r="C380" t="s">
        <v>13</v>
      </c>
      <c r="D380" t="s">
        <v>14</v>
      </c>
      <c r="E380" t="s">
        <v>15</v>
      </c>
      <c r="F380" t="s">
        <v>16</v>
      </c>
      <c r="G380">
        <v>5</v>
      </c>
      <c r="I380">
        <f>IF(tbl_main[[#This Row],[Debit]]&lt;&gt;"",-tbl_main[[#This Row],[Debit]],tbl_main[[#This Row],[Credit]])</f>
        <v>-5</v>
      </c>
      <c r="J380">
        <f>YEAR(tbl_main[[#This Row],[Date]])</f>
        <v>2021</v>
      </c>
      <c r="K380" t="str">
        <f>TEXT(tbl_main[[#This Row],[Date]],"mmm")</f>
        <v>Aug</v>
      </c>
    </row>
    <row r="381" spans="1:11" x14ac:dyDescent="0.25">
      <c r="A381" t="s">
        <v>4</v>
      </c>
      <c r="B381" s="1">
        <v>44435</v>
      </c>
      <c r="C381" t="s">
        <v>13</v>
      </c>
      <c r="D381" t="s">
        <v>14</v>
      </c>
      <c r="E381" t="s">
        <v>15</v>
      </c>
      <c r="F381" t="s">
        <v>16</v>
      </c>
      <c r="G381">
        <v>5</v>
      </c>
      <c r="I381">
        <f>IF(tbl_main[[#This Row],[Debit]]&lt;&gt;"",-tbl_main[[#This Row],[Debit]],tbl_main[[#This Row],[Credit]])</f>
        <v>-5</v>
      </c>
      <c r="J381">
        <f>YEAR(tbl_main[[#This Row],[Date]])</f>
        <v>2021</v>
      </c>
      <c r="K381" t="str">
        <f>TEXT(tbl_main[[#This Row],[Date]],"mmm")</f>
        <v>Aug</v>
      </c>
    </row>
    <row r="382" spans="1:11" x14ac:dyDescent="0.25">
      <c r="A382" t="s">
        <v>4</v>
      </c>
      <c r="B382" s="1">
        <v>44436</v>
      </c>
      <c r="C382" t="s">
        <v>13</v>
      </c>
      <c r="D382" t="s">
        <v>14</v>
      </c>
      <c r="E382" t="s">
        <v>15</v>
      </c>
      <c r="F382" t="s">
        <v>16</v>
      </c>
      <c r="G382">
        <v>5</v>
      </c>
      <c r="I382">
        <f>IF(tbl_main[[#This Row],[Debit]]&lt;&gt;"",-tbl_main[[#This Row],[Debit]],tbl_main[[#This Row],[Credit]])</f>
        <v>-5</v>
      </c>
      <c r="J382">
        <f>YEAR(tbl_main[[#This Row],[Date]])</f>
        <v>2021</v>
      </c>
      <c r="K382" t="str">
        <f>TEXT(tbl_main[[#This Row],[Date]],"mmm")</f>
        <v>Aug</v>
      </c>
    </row>
    <row r="383" spans="1:11" x14ac:dyDescent="0.25">
      <c r="A383" t="s">
        <v>4</v>
      </c>
      <c r="B383" s="1">
        <v>44436</v>
      </c>
      <c r="C383" t="s">
        <v>23</v>
      </c>
      <c r="D383" t="s">
        <v>24</v>
      </c>
      <c r="E383" t="s">
        <v>19</v>
      </c>
      <c r="F383" t="s">
        <v>16</v>
      </c>
      <c r="G383">
        <v>117</v>
      </c>
      <c r="I383">
        <f>IF(tbl_main[[#This Row],[Debit]]&lt;&gt;"",-tbl_main[[#This Row],[Debit]],tbl_main[[#This Row],[Credit]])</f>
        <v>-117</v>
      </c>
      <c r="J383">
        <f>YEAR(tbl_main[[#This Row],[Date]])</f>
        <v>2021</v>
      </c>
      <c r="K383" t="str">
        <f>TEXT(tbl_main[[#This Row],[Date]],"mmm")</f>
        <v>Aug</v>
      </c>
    </row>
    <row r="384" spans="1:11" x14ac:dyDescent="0.25">
      <c r="A384" t="s">
        <v>4</v>
      </c>
      <c r="B384" s="1">
        <v>44437</v>
      </c>
      <c r="C384" t="s">
        <v>52</v>
      </c>
      <c r="D384" t="s">
        <v>32</v>
      </c>
      <c r="E384" t="s">
        <v>30</v>
      </c>
      <c r="F384" t="s">
        <v>16</v>
      </c>
      <c r="G384">
        <v>131.9</v>
      </c>
      <c r="I384">
        <f>IF(tbl_main[[#This Row],[Debit]]&lt;&gt;"",-tbl_main[[#This Row],[Debit]],tbl_main[[#This Row],[Credit]])</f>
        <v>-131.9</v>
      </c>
      <c r="J384">
        <f>YEAR(tbl_main[[#This Row],[Date]])</f>
        <v>2021</v>
      </c>
      <c r="K384" t="str">
        <f>TEXT(tbl_main[[#This Row],[Date]],"mmm")</f>
        <v>Aug</v>
      </c>
    </row>
    <row r="385" spans="1:11" x14ac:dyDescent="0.25">
      <c r="A385" t="s">
        <v>4</v>
      </c>
      <c r="B385" s="1">
        <v>44437</v>
      </c>
      <c r="C385" t="s">
        <v>53</v>
      </c>
      <c r="D385" t="s">
        <v>21</v>
      </c>
      <c r="E385" t="s">
        <v>30</v>
      </c>
      <c r="F385" t="s">
        <v>16</v>
      </c>
      <c r="G385">
        <v>182.39999999999998</v>
      </c>
      <c r="I385">
        <f>IF(tbl_main[[#This Row],[Debit]]&lt;&gt;"",-tbl_main[[#This Row],[Debit]],tbl_main[[#This Row],[Credit]])</f>
        <v>-182.39999999999998</v>
      </c>
      <c r="J385">
        <f>YEAR(tbl_main[[#This Row],[Date]])</f>
        <v>2021</v>
      </c>
      <c r="K385" t="str">
        <f>TEXT(tbl_main[[#This Row],[Date]],"mmm")</f>
        <v>Aug</v>
      </c>
    </row>
    <row r="386" spans="1:11" x14ac:dyDescent="0.25">
      <c r="A386" t="s">
        <v>4</v>
      </c>
      <c r="B386" s="1">
        <v>44438</v>
      </c>
      <c r="C386" t="s">
        <v>31</v>
      </c>
      <c r="D386" t="s">
        <v>32</v>
      </c>
      <c r="E386" t="s">
        <v>30</v>
      </c>
      <c r="F386" t="s">
        <v>16</v>
      </c>
      <c r="G386">
        <v>152.29999999999998</v>
      </c>
      <c r="I386">
        <f>IF(tbl_main[[#This Row],[Debit]]&lt;&gt;"",-tbl_main[[#This Row],[Debit]],tbl_main[[#This Row],[Credit]])</f>
        <v>-152.29999999999998</v>
      </c>
      <c r="J386">
        <f>YEAR(tbl_main[[#This Row],[Date]])</f>
        <v>2021</v>
      </c>
      <c r="K386" t="str">
        <f>TEXT(tbl_main[[#This Row],[Date]],"mmm")</f>
        <v>Aug</v>
      </c>
    </row>
    <row r="387" spans="1:11" x14ac:dyDescent="0.25">
      <c r="A387" t="s">
        <v>4</v>
      </c>
      <c r="B387" s="1">
        <v>44438</v>
      </c>
      <c r="C387" t="s">
        <v>35</v>
      </c>
      <c r="D387" t="s">
        <v>36</v>
      </c>
      <c r="E387" t="s">
        <v>22</v>
      </c>
      <c r="F387" t="s">
        <v>16</v>
      </c>
      <c r="G387">
        <v>30.300000000000004</v>
      </c>
      <c r="I387">
        <f>IF(tbl_main[[#This Row],[Debit]]&lt;&gt;"",-tbl_main[[#This Row],[Debit]],tbl_main[[#This Row],[Credit]])</f>
        <v>-30.300000000000004</v>
      </c>
      <c r="J387">
        <f>YEAR(tbl_main[[#This Row],[Date]])</f>
        <v>2021</v>
      </c>
      <c r="K387" t="str">
        <f>TEXT(tbl_main[[#This Row],[Date]],"mmm")</f>
        <v>Aug</v>
      </c>
    </row>
    <row r="388" spans="1:11" x14ac:dyDescent="0.25">
      <c r="A388" t="s">
        <v>4</v>
      </c>
      <c r="B388" s="1">
        <v>44438</v>
      </c>
      <c r="C388" t="s">
        <v>57</v>
      </c>
      <c r="D388" t="s">
        <v>34</v>
      </c>
      <c r="E388" t="s">
        <v>15</v>
      </c>
      <c r="F388" t="s">
        <v>16</v>
      </c>
      <c r="G388">
        <v>15</v>
      </c>
      <c r="I388">
        <f>IF(tbl_main[[#This Row],[Debit]]&lt;&gt;"",-tbl_main[[#This Row],[Debit]],tbl_main[[#This Row],[Credit]])</f>
        <v>-15</v>
      </c>
      <c r="J388">
        <f>YEAR(tbl_main[[#This Row],[Date]])</f>
        <v>2021</v>
      </c>
      <c r="K388" t="str">
        <f>TEXT(tbl_main[[#This Row],[Date]],"mmm")</f>
        <v>Aug</v>
      </c>
    </row>
    <row r="389" spans="1:11" x14ac:dyDescent="0.25">
      <c r="A389" t="s">
        <v>4</v>
      </c>
      <c r="B389" s="1">
        <v>44439</v>
      </c>
      <c r="C389" t="s">
        <v>13</v>
      </c>
      <c r="D389" t="s">
        <v>14</v>
      </c>
      <c r="E389" t="s">
        <v>15</v>
      </c>
      <c r="F389" t="s">
        <v>16</v>
      </c>
      <c r="G389">
        <v>5</v>
      </c>
      <c r="I389">
        <f>IF(tbl_main[[#This Row],[Debit]]&lt;&gt;"",-tbl_main[[#This Row],[Debit]],tbl_main[[#This Row],[Credit]])</f>
        <v>-5</v>
      </c>
      <c r="J389">
        <f>YEAR(tbl_main[[#This Row],[Date]])</f>
        <v>2021</v>
      </c>
      <c r="K389" t="str">
        <f>TEXT(tbl_main[[#This Row],[Date]],"mmm")</f>
        <v>Aug</v>
      </c>
    </row>
    <row r="390" spans="1:11" x14ac:dyDescent="0.25">
      <c r="A390" t="s">
        <v>4</v>
      </c>
      <c r="B390" s="1">
        <v>44441</v>
      </c>
      <c r="C390" t="s">
        <v>13</v>
      </c>
      <c r="D390" t="s">
        <v>14</v>
      </c>
      <c r="E390" t="s">
        <v>15</v>
      </c>
      <c r="F390" t="s">
        <v>16</v>
      </c>
      <c r="G390">
        <v>5</v>
      </c>
      <c r="I390">
        <f>IF(tbl_main[[#This Row],[Debit]]&lt;&gt;"",-tbl_main[[#This Row],[Debit]],tbl_main[[#This Row],[Credit]])</f>
        <v>-5</v>
      </c>
      <c r="J390">
        <f>YEAR(tbl_main[[#This Row],[Date]])</f>
        <v>2021</v>
      </c>
      <c r="K390" t="str">
        <f>TEXT(tbl_main[[#This Row],[Date]],"mmm")</f>
        <v>Sep</v>
      </c>
    </row>
    <row r="391" spans="1:11" x14ac:dyDescent="0.25">
      <c r="A391" t="s">
        <v>9</v>
      </c>
      <c r="B391" s="1">
        <v>44441</v>
      </c>
      <c r="C391" t="s">
        <v>10</v>
      </c>
      <c r="D391" t="s">
        <v>11</v>
      </c>
      <c r="E391" t="s">
        <v>11</v>
      </c>
      <c r="F391" t="s">
        <v>12</v>
      </c>
      <c r="H391">
        <v>4000</v>
      </c>
      <c r="I391">
        <f>IF(tbl_main[[#This Row],[Debit]]&lt;&gt;"",-tbl_main[[#This Row],[Debit]],tbl_main[[#This Row],[Credit]])</f>
        <v>4000</v>
      </c>
      <c r="J391">
        <f>YEAR(tbl_main[[#This Row],[Date]])</f>
        <v>2021</v>
      </c>
      <c r="K391" t="str">
        <f>TEXT(tbl_main[[#This Row],[Date]],"mmm")</f>
        <v>Sep</v>
      </c>
    </row>
    <row r="392" spans="1:11" x14ac:dyDescent="0.25">
      <c r="A392" t="s">
        <v>4</v>
      </c>
      <c r="B392" s="1">
        <v>44442</v>
      </c>
      <c r="C392" t="s">
        <v>13</v>
      </c>
      <c r="D392" t="s">
        <v>14</v>
      </c>
      <c r="E392" t="s">
        <v>15</v>
      </c>
      <c r="F392" t="s">
        <v>16</v>
      </c>
      <c r="G392">
        <v>5</v>
      </c>
      <c r="I392">
        <f>IF(tbl_main[[#This Row],[Debit]]&lt;&gt;"",-tbl_main[[#This Row],[Debit]],tbl_main[[#This Row],[Credit]])</f>
        <v>-5</v>
      </c>
      <c r="J392">
        <f>YEAR(tbl_main[[#This Row],[Date]])</f>
        <v>2021</v>
      </c>
      <c r="K392" t="str">
        <f>TEXT(tbl_main[[#This Row],[Date]],"mmm")</f>
        <v>Sep</v>
      </c>
    </row>
    <row r="393" spans="1:11" x14ac:dyDescent="0.25">
      <c r="A393" t="s">
        <v>9</v>
      </c>
      <c r="B393" s="1">
        <v>44444</v>
      </c>
      <c r="C393" t="s">
        <v>17</v>
      </c>
      <c r="D393" t="s">
        <v>18</v>
      </c>
      <c r="E393" t="s">
        <v>19</v>
      </c>
      <c r="F393" t="s">
        <v>16</v>
      </c>
      <c r="G393">
        <v>900</v>
      </c>
      <c r="I393">
        <f>IF(tbl_main[[#This Row],[Debit]]&lt;&gt;"",-tbl_main[[#This Row],[Debit]],tbl_main[[#This Row],[Credit]])</f>
        <v>-900</v>
      </c>
      <c r="J393">
        <f>YEAR(tbl_main[[#This Row],[Date]])</f>
        <v>2021</v>
      </c>
      <c r="K393" t="str">
        <f>TEXT(tbl_main[[#This Row],[Date]],"mmm")</f>
        <v>Sep</v>
      </c>
    </row>
    <row r="394" spans="1:11" x14ac:dyDescent="0.25">
      <c r="A394" t="s">
        <v>9</v>
      </c>
      <c r="B394" s="1">
        <v>44444</v>
      </c>
      <c r="C394" t="s">
        <v>20</v>
      </c>
      <c r="D394" t="s">
        <v>21</v>
      </c>
      <c r="E394" t="s">
        <v>22</v>
      </c>
      <c r="F394" t="s">
        <v>16</v>
      </c>
      <c r="G394">
        <v>150</v>
      </c>
      <c r="I394">
        <f>IF(tbl_main[[#This Row],[Debit]]&lt;&gt;"",-tbl_main[[#This Row],[Debit]],tbl_main[[#This Row],[Credit]])</f>
        <v>-150</v>
      </c>
      <c r="J394">
        <f>YEAR(tbl_main[[#This Row],[Date]])</f>
        <v>2021</v>
      </c>
      <c r="K394" t="str">
        <f>TEXT(tbl_main[[#This Row],[Date]],"mmm")</f>
        <v>Sep</v>
      </c>
    </row>
    <row r="395" spans="1:11" x14ac:dyDescent="0.25">
      <c r="A395" t="s">
        <v>4</v>
      </c>
      <c r="B395" s="1">
        <v>44444</v>
      </c>
      <c r="C395" t="s">
        <v>13</v>
      </c>
      <c r="D395" t="s">
        <v>14</v>
      </c>
      <c r="E395" t="s">
        <v>15</v>
      </c>
      <c r="F395" t="s">
        <v>16</v>
      </c>
      <c r="G395">
        <v>5</v>
      </c>
      <c r="I395">
        <f>IF(tbl_main[[#This Row],[Debit]]&lt;&gt;"",-tbl_main[[#This Row],[Debit]],tbl_main[[#This Row],[Credit]])</f>
        <v>-5</v>
      </c>
      <c r="J395">
        <f>YEAR(tbl_main[[#This Row],[Date]])</f>
        <v>2021</v>
      </c>
      <c r="K395" t="str">
        <f>TEXT(tbl_main[[#This Row],[Date]],"mmm")</f>
        <v>Sep</v>
      </c>
    </row>
    <row r="396" spans="1:11" x14ac:dyDescent="0.25">
      <c r="A396" t="s">
        <v>4</v>
      </c>
      <c r="B396" s="1">
        <v>44444</v>
      </c>
      <c r="C396" t="s">
        <v>13</v>
      </c>
      <c r="D396" t="s">
        <v>14</v>
      </c>
      <c r="E396" t="s">
        <v>15</v>
      </c>
      <c r="F396" t="s">
        <v>16</v>
      </c>
      <c r="G396">
        <v>5</v>
      </c>
      <c r="I396">
        <f>IF(tbl_main[[#This Row],[Debit]]&lt;&gt;"",-tbl_main[[#This Row],[Debit]],tbl_main[[#This Row],[Credit]])</f>
        <v>-5</v>
      </c>
      <c r="J396">
        <f>YEAR(tbl_main[[#This Row],[Date]])</f>
        <v>2021</v>
      </c>
      <c r="K396" t="str">
        <f>TEXT(tbl_main[[#This Row],[Date]],"mmm")</f>
        <v>Sep</v>
      </c>
    </row>
    <row r="397" spans="1:11" x14ac:dyDescent="0.25">
      <c r="A397" t="s">
        <v>4</v>
      </c>
      <c r="B397" s="1">
        <v>44445</v>
      </c>
      <c r="C397" t="s">
        <v>13</v>
      </c>
      <c r="D397" t="s">
        <v>14</v>
      </c>
      <c r="E397" t="s">
        <v>15</v>
      </c>
      <c r="F397" t="s">
        <v>16</v>
      </c>
      <c r="G397">
        <v>5</v>
      </c>
      <c r="I397">
        <f>IF(tbl_main[[#This Row],[Debit]]&lt;&gt;"",-tbl_main[[#This Row],[Debit]],tbl_main[[#This Row],[Credit]])</f>
        <v>-5</v>
      </c>
      <c r="J397">
        <f>YEAR(tbl_main[[#This Row],[Date]])</f>
        <v>2021</v>
      </c>
      <c r="K397" t="str">
        <f>TEXT(tbl_main[[#This Row],[Date]],"mmm")</f>
        <v>Sep</v>
      </c>
    </row>
    <row r="398" spans="1:11" x14ac:dyDescent="0.25">
      <c r="A398" t="s">
        <v>4</v>
      </c>
      <c r="B398" s="1">
        <v>44446</v>
      </c>
      <c r="C398" t="s">
        <v>13</v>
      </c>
      <c r="D398" t="s">
        <v>14</v>
      </c>
      <c r="E398" t="s">
        <v>15</v>
      </c>
      <c r="F398" t="s">
        <v>16</v>
      </c>
      <c r="G398">
        <v>5</v>
      </c>
      <c r="I398">
        <f>IF(tbl_main[[#This Row],[Debit]]&lt;&gt;"",-tbl_main[[#This Row],[Debit]],tbl_main[[#This Row],[Credit]])</f>
        <v>-5</v>
      </c>
      <c r="J398">
        <f>YEAR(tbl_main[[#This Row],[Date]])</f>
        <v>2021</v>
      </c>
      <c r="K398" t="str">
        <f>TEXT(tbl_main[[#This Row],[Date]],"mmm")</f>
        <v>Sep</v>
      </c>
    </row>
    <row r="399" spans="1:11" x14ac:dyDescent="0.25">
      <c r="A399" t="s">
        <v>4</v>
      </c>
      <c r="B399" s="1">
        <v>44446</v>
      </c>
      <c r="C399" t="s">
        <v>23</v>
      </c>
      <c r="D399" t="s">
        <v>24</v>
      </c>
      <c r="E399" t="s">
        <v>19</v>
      </c>
      <c r="F399" t="s">
        <v>16</v>
      </c>
      <c r="G399">
        <v>163.39999999999998</v>
      </c>
      <c r="I399">
        <f>IF(tbl_main[[#This Row],[Debit]]&lt;&gt;"",-tbl_main[[#This Row],[Debit]],tbl_main[[#This Row],[Credit]])</f>
        <v>-163.39999999999998</v>
      </c>
      <c r="J399">
        <f>YEAR(tbl_main[[#This Row],[Date]])</f>
        <v>2021</v>
      </c>
      <c r="K399" t="str">
        <f>TEXT(tbl_main[[#This Row],[Date]],"mmm")</f>
        <v>Sep</v>
      </c>
    </row>
    <row r="400" spans="1:11" x14ac:dyDescent="0.25">
      <c r="A400" t="s">
        <v>9</v>
      </c>
      <c r="B400" s="1">
        <v>44449</v>
      </c>
      <c r="C400" t="s">
        <v>25</v>
      </c>
      <c r="D400" t="s">
        <v>26</v>
      </c>
      <c r="E400" t="s">
        <v>19</v>
      </c>
      <c r="F400" t="s">
        <v>16</v>
      </c>
      <c r="G400">
        <v>58.1</v>
      </c>
      <c r="I400">
        <f>IF(tbl_main[[#This Row],[Debit]]&lt;&gt;"",-tbl_main[[#This Row],[Debit]],tbl_main[[#This Row],[Credit]])</f>
        <v>-58.1</v>
      </c>
      <c r="J400">
        <f>YEAR(tbl_main[[#This Row],[Date]])</f>
        <v>2021</v>
      </c>
      <c r="K400" t="str">
        <f>TEXT(tbl_main[[#This Row],[Date]],"mmm")</f>
        <v>Sep</v>
      </c>
    </row>
    <row r="401" spans="1:11" x14ac:dyDescent="0.25">
      <c r="A401" t="s">
        <v>4</v>
      </c>
      <c r="B401" s="1">
        <v>44449</v>
      </c>
      <c r="C401" t="s">
        <v>13</v>
      </c>
      <c r="D401" t="s">
        <v>14</v>
      </c>
      <c r="E401" t="s">
        <v>15</v>
      </c>
      <c r="F401" t="s">
        <v>16</v>
      </c>
      <c r="G401">
        <v>5</v>
      </c>
      <c r="I401">
        <f>IF(tbl_main[[#This Row],[Debit]]&lt;&gt;"",-tbl_main[[#This Row],[Debit]],tbl_main[[#This Row],[Credit]])</f>
        <v>-5</v>
      </c>
      <c r="J401">
        <f>YEAR(tbl_main[[#This Row],[Date]])</f>
        <v>2021</v>
      </c>
      <c r="K401" t="str">
        <f>TEXT(tbl_main[[#This Row],[Date]],"mmm")</f>
        <v>Sep</v>
      </c>
    </row>
    <row r="402" spans="1:11" x14ac:dyDescent="0.25">
      <c r="A402" t="s">
        <v>4</v>
      </c>
      <c r="B402" s="1">
        <v>44450</v>
      </c>
      <c r="C402" t="s">
        <v>13</v>
      </c>
      <c r="D402" t="s">
        <v>14</v>
      </c>
      <c r="E402" t="s">
        <v>15</v>
      </c>
      <c r="F402" t="s">
        <v>16</v>
      </c>
      <c r="G402">
        <v>5</v>
      </c>
      <c r="I402">
        <f>IF(tbl_main[[#This Row],[Debit]]&lt;&gt;"",-tbl_main[[#This Row],[Debit]],tbl_main[[#This Row],[Credit]])</f>
        <v>-5</v>
      </c>
      <c r="J402">
        <f>YEAR(tbl_main[[#This Row],[Date]])</f>
        <v>2021</v>
      </c>
      <c r="K402" t="str">
        <f>TEXT(tbl_main[[#This Row],[Date]],"mmm")</f>
        <v>Sep</v>
      </c>
    </row>
    <row r="403" spans="1:11" x14ac:dyDescent="0.25">
      <c r="A403" t="s">
        <v>4</v>
      </c>
      <c r="B403" s="1">
        <v>44451</v>
      </c>
      <c r="C403" t="s">
        <v>27</v>
      </c>
      <c r="D403" t="s">
        <v>28</v>
      </c>
      <c r="E403" t="s">
        <v>22</v>
      </c>
      <c r="F403" t="s">
        <v>16</v>
      </c>
      <c r="G403">
        <v>85.299999999999983</v>
      </c>
      <c r="I403">
        <f>IF(tbl_main[[#This Row],[Debit]]&lt;&gt;"",-tbl_main[[#This Row],[Debit]],tbl_main[[#This Row],[Credit]])</f>
        <v>-85.299999999999983</v>
      </c>
      <c r="J403">
        <f>YEAR(tbl_main[[#This Row],[Date]])</f>
        <v>2021</v>
      </c>
      <c r="K403" t="str">
        <f>TEXT(tbl_main[[#This Row],[Date]],"mmm")</f>
        <v>Sep</v>
      </c>
    </row>
    <row r="404" spans="1:11" x14ac:dyDescent="0.25">
      <c r="A404" t="s">
        <v>4</v>
      </c>
      <c r="B404" s="1">
        <v>44451</v>
      </c>
      <c r="C404" t="s">
        <v>13</v>
      </c>
      <c r="D404" t="s">
        <v>14</v>
      </c>
      <c r="E404" t="s">
        <v>15</v>
      </c>
      <c r="F404" t="s">
        <v>16</v>
      </c>
      <c r="G404">
        <v>5</v>
      </c>
      <c r="I404">
        <f>IF(tbl_main[[#This Row],[Debit]]&lt;&gt;"",-tbl_main[[#This Row],[Debit]],tbl_main[[#This Row],[Credit]])</f>
        <v>-5</v>
      </c>
      <c r="J404">
        <f>YEAR(tbl_main[[#This Row],[Date]])</f>
        <v>2021</v>
      </c>
      <c r="K404" t="str">
        <f>TEXT(tbl_main[[#This Row],[Date]],"mmm")</f>
        <v>Sep</v>
      </c>
    </row>
    <row r="405" spans="1:11" x14ac:dyDescent="0.25">
      <c r="A405" t="s">
        <v>4</v>
      </c>
      <c r="B405" s="1">
        <v>44452</v>
      </c>
      <c r="C405" t="s">
        <v>13</v>
      </c>
      <c r="D405" t="s">
        <v>14</v>
      </c>
      <c r="E405" t="s">
        <v>15</v>
      </c>
      <c r="F405" t="s">
        <v>16</v>
      </c>
      <c r="G405">
        <v>5</v>
      </c>
      <c r="I405">
        <f>IF(tbl_main[[#This Row],[Debit]]&lt;&gt;"",-tbl_main[[#This Row],[Debit]],tbl_main[[#This Row],[Credit]])</f>
        <v>-5</v>
      </c>
      <c r="J405">
        <f>YEAR(tbl_main[[#This Row],[Date]])</f>
        <v>2021</v>
      </c>
      <c r="K405" t="str">
        <f>TEXT(tbl_main[[#This Row],[Date]],"mmm")</f>
        <v>Sep</v>
      </c>
    </row>
    <row r="406" spans="1:11" x14ac:dyDescent="0.25">
      <c r="A406" t="s">
        <v>4</v>
      </c>
      <c r="B406" s="1">
        <v>44453</v>
      </c>
      <c r="C406" t="s">
        <v>23</v>
      </c>
      <c r="D406" t="s">
        <v>24</v>
      </c>
      <c r="E406" t="s">
        <v>19</v>
      </c>
      <c r="F406" t="s">
        <v>16</v>
      </c>
      <c r="G406">
        <v>143</v>
      </c>
      <c r="I406">
        <f>IF(tbl_main[[#This Row],[Debit]]&lt;&gt;"",-tbl_main[[#This Row],[Debit]],tbl_main[[#This Row],[Credit]])</f>
        <v>-143</v>
      </c>
      <c r="J406">
        <f>YEAR(tbl_main[[#This Row],[Date]])</f>
        <v>2021</v>
      </c>
      <c r="K406" t="str">
        <f>TEXT(tbl_main[[#This Row],[Date]],"mmm")</f>
        <v>Sep</v>
      </c>
    </row>
    <row r="407" spans="1:11" x14ac:dyDescent="0.25">
      <c r="A407" t="s">
        <v>4</v>
      </c>
      <c r="B407" s="1">
        <v>44453</v>
      </c>
      <c r="C407" t="s">
        <v>13</v>
      </c>
      <c r="D407" t="s">
        <v>14</v>
      </c>
      <c r="E407" t="s">
        <v>15</v>
      </c>
      <c r="F407" t="s">
        <v>16</v>
      </c>
      <c r="G407">
        <v>5</v>
      </c>
      <c r="I407">
        <f>IF(tbl_main[[#This Row],[Debit]]&lt;&gt;"",-tbl_main[[#This Row],[Debit]],tbl_main[[#This Row],[Credit]])</f>
        <v>-5</v>
      </c>
      <c r="J407">
        <f>YEAR(tbl_main[[#This Row],[Date]])</f>
        <v>2021</v>
      </c>
      <c r="K407" t="str">
        <f>TEXT(tbl_main[[#This Row],[Date]],"mmm")</f>
        <v>Sep</v>
      </c>
    </row>
    <row r="408" spans="1:11" x14ac:dyDescent="0.25">
      <c r="A408" t="s">
        <v>4</v>
      </c>
      <c r="B408" s="1">
        <v>44454</v>
      </c>
      <c r="C408" t="s">
        <v>13</v>
      </c>
      <c r="D408" t="s">
        <v>14</v>
      </c>
      <c r="E408" t="s">
        <v>15</v>
      </c>
      <c r="F408" t="s">
        <v>16</v>
      </c>
      <c r="G408">
        <v>5</v>
      </c>
      <c r="I408">
        <f>IF(tbl_main[[#This Row],[Debit]]&lt;&gt;"",-tbl_main[[#This Row],[Debit]],tbl_main[[#This Row],[Credit]])</f>
        <v>-5</v>
      </c>
      <c r="J408">
        <f>YEAR(tbl_main[[#This Row],[Date]])</f>
        <v>2021</v>
      </c>
      <c r="K408" t="str">
        <f>TEXT(tbl_main[[#This Row],[Date]],"mmm")</f>
        <v>Sep</v>
      </c>
    </row>
    <row r="409" spans="1:11" x14ac:dyDescent="0.25">
      <c r="A409" t="s">
        <v>4</v>
      </c>
      <c r="B409" s="1">
        <v>44454</v>
      </c>
      <c r="C409" t="s">
        <v>29</v>
      </c>
      <c r="D409" t="s">
        <v>21</v>
      </c>
      <c r="E409" t="s">
        <v>30</v>
      </c>
      <c r="F409" t="s">
        <v>16</v>
      </c>
      <c r="G409">
        <v>47.8</v>
      </c>
      <c r="I409">
        <f>IF(tbl_main[[#This Row],[Debit]]&lt;&gt;"",-tbl_main[[#This Row],[Debit]],tbl_main[[#This Row],[Credit]])</f>
        <v>-47.8</v>
      </c>
      <c r="J409">
        <f>YEAR(tbl_main[[#This Row],[Date]])</f>
        <v>2021</v>
      </c>
      <c r="K409" t="str">
        <f>TEXT(tbl_main[[#This Row],[Date]],"mmm")</f>
        <v>Sep</v>
      </c>
    </row>
    <row r="410" spans="1:11" x14ac:dyDescent="0.25">
      <c r="A410" t="s">
        <v>4</v>
      </c>
      <c r="B410" s="1">
        <v>44454</v>
      </c>
      <c r="C410" t="s">
        <v>31</v>
      </c>
      <c r="D410" t="s">
        <v>32</v>
      </c>
      <c r="E410" t="s">
        <v>30</v>
      </c>
      <c r="F410" t="s">
        <v>16</v>
      </c>
      <c r="G410">
        <v>105.80000000000001</v>
      </c>
      <c r="I410">
        <f>IF(tbl_main[[#This Row],[Debit]]&lt;&gt;"",-tbl_main[[#This Row],[Debit]],tbl_main[[#This Row],[Credit]])</f>
        <v>-105.80000000000001</v>
      </c>
      <c r="J410">
        <f>YEAR(tbl_main[[#This Row],[Date]])</f>
        <v>2021</v>
      </c>
      <c r="K410" t="str">
        <f>TEXT(tbl_main[[#This Row],[Date]],"mmm")</f>
        <v>Sep</v>
      </c>
    </row>
    <row r="411" spans="1:11" x14ac:dyDescent="0.25">
      <c r="A411" t="s">
        <v>4</v>
      </c>
      <c r="B411" s="1">
        <v>44454</v>
      </c>
      <c r="C411" t="s">
        <v>33</v>
      </c>
      <c r="D411" t="s">
        <v>34</v>
      </c>
      <c r="E411" t="s">
        <v>15</v>
      </c>
      <c r="F411" t="s">
        <v>16</v>
      </c>
      <c r="G411">
        <v>60.1</v>
      </c>
      <c r="I411">
        <f>IF(tbl_main[[#This Row],[Debit]]&lt;&gt;"",-tbl_main[[#This Row],[Debit]],tbl_main[[#This Row],[Credit]])</f>
        <v>-60.1</v>
      </c>
      <c r="J411">
        <f>YEAR(tbl_main[[#This Row],[Date]])</f>
        <v>2021</v>
      </c>
      <c r="K411" t="str">
        <f>TEXT(tbl_main[[#This Row],[Date]],"mmm")</f>
        <v>Sep</v>
      </c>
    </row>
    <row r="412" spans="1:11" x14ac:dyDescent="0.25">
      <c r="A412" t="s">
        <v>4</v>
      </c>
      <c r="B412" s="1">
        <v>44455</v>
      </c>
      <c r="C412" t="s">
        <v>35</v>
      </c>
      <c r="D412" t="s">
        <v>36</v>
      </c>
      <c r="E412" t="s">
        <v>22</v>
      </c>
      <c r="F412" t="s">
        <v>16</v>
      </c>
      <c r="G412">
        <v>36.200000000000003</v>
      </c>
      <c r="I412">
        <f>IF(tbl_main[[#This Row],[Debit]]&lt;&gt;"",-tbl_main[[#This Row],[Debit]],tbl_main[[#This Row],[Credit]])</f>
        <v>-36.200000000000003</v>
      </c>
      <c r="J412">
        <f>YEAR(tbl_main[[#This Row],[Date]])</f>
        <v>2021</v>
      </c>
      <c r="K412" t="str">
        <f>TEXT(tbl_main[[#This Row],[Date]],"mmm")</f>
        <v>Sep</v>
      </c>
    </row>
    <row r="413" spans="1:11" x14ac:dyDescent="0.25">
      <c r="A413" t="s">
        <v>9</v>
      </c>
      <c r="B413" s="1">
        <v>44456</v>
      </c>
      <c r="C413" t="s">
        <v>37</v>
      </c>
      <c r="D413" t="s">
        <v>38</v>
      </c>
      <c r="E413" t="s">
        <v>30</v>
      </c>
      <c r="F413" t="s">
        <v>16</v>
      </c>
      <c r="G413">
        <v>30</v>
      </c>
      <c r="I413">
        <f>IF(tbl_main[[#This Row],[Debit]]&lt;&gt;"",-tbl_main[[#This Row],[Debit]],tbl_main[[#This Row],[Credit]])</f>
        <v>-30</v>
      </c>
      <c r="J413">
        <f>YEAR(tbl_main[[#This Row],[Date]])</f>
        <v>2021</v>
      </c>
      <c r="K413" t="str">
        <f>TEXT(tbl_main[[#This Row],[Date]],"mmm")</f>
        <v>Sep</v>
      </c>
    </row>
    <row r="414" spans="1:11" x14ac:dyDescent="0.25">
      <c r="A414" t="s">
        <v>4</v>
      </c>
      <c r="B414" s="1">
        <v>44456</v>
      </c>
      <c r="C414" t="s">
        <v>13</v>
      </c>
      <c r="D414" t="s">
        <v>14</v>
      </c>
      <c r="E414" t="s">
        <v>15</v>
      </c>
      <c r="F414" t="s">
        <v>16</v>
      </c>
      <c r="G414">
        <v>5</v>
      </c>
      <c r="I414">
        <f>IF(tbl_main[[#This Row],[Debit]]&lt;&gt;"",-tbl_main[[#This Row],[Debit]],tbl_main[[#This Row],[Credit]])</f>
        <v>-5</v>
      </c>
      <c r="J414">
        <f>YEAR(tbl_main[[#This Row],[Date]])</f>
        <v>2021</v>
      </c>
      <c r="K414" t="str">
        <f>TEXT(tbl_main[[#This Row],[Date]],"mmm")</f>
        <v>Sep</v>
      </c>
    </row>
    <row r="415" spans="1:11" x14ac:dyDescent="0.25">
      <c r="A415" t="s">
        <v>4</v>
      </c>
      <c r="B415" s="1">
        <v>44457</v>
      </c>
      <c r="C415" t="s">
        <v>13</v>
      </c>
      <c r="D415" t="s">
        <v>14</v>
      </c>
      <c r="E415" t="s">
        <v>15</v>
      </c>
      <c r="F415" t="s">
        <v>16</v>
      </c>
      <c r="G415">
        <v>5</v>
      </c>
      <c r="I415">
        <f>IF(tbl_main[[#This Row],[Debit]]&lt;&gt;"",-tbl_main[[#This Row],[Debit]],tbl_main[[#This Row],[Credit]])</f>
        <v>-5</v>
      </c>
      <c r="J415">
        <f>YEAR(tbl_main[[#This Row],[Date]])</f>
        <v>2021</v>
      </c>
      <c r="K415" t="str">
        <f>TEXT(tbl_main[[#This Row],[Date]],"mmm")</f>
        <v>Sep</v>
      </c>
    </row>
    <row r="416" spans="1:11" x14ac:dyDescent="0.25">
      <c r="A416" t="s">
        <v>9</v>
      </c>
      <c r="B416" s="1">
        <v>44457</v>
      </c>
      <c r="C416" t="s">
        <v>42</v>
      </c>
      <c r="D416" t="s">
        <v>43</v>
      </c>
      <c r="E416" t="s">
        <v>19</v>
      </c>
      <c r="F416" t="s">
        <v>16</v>
      </c>
      <c r="G416">
        <v>40</v>
      </c>
      <c r="I416">
        <f>IF(tbl_main[[#This Row],[Debit]]&lt;&gt;"",-tbl_main[[#This Row],[Debit]],tbl_main[[#This Row],[Credit]])</f>
        <v>-40</v>
      </c>
      <c r="J416">
        <f>YEAR(tbl_main[[#This Row],[Date]])</f>
        <v>2021</v>
      </c>
      <c r="K416" t="str">
        <f>TEXT(tbl_main[[#This Row],[Date]],"mmm")</f>
        <v>Sep</v>
      </c>
    </row>
    <row r="417" spans="1:11" x14ac:dyDescent="0.25">
      <c r="A417" t="s">
        <v>4</v>
      </c>
      <c r="B417" s="1">
        <v>44458</v>
      </c>
      <c r="C417" t="s">
        <v>44</v>
      </c>
      <c r="D417" t="s">
        <v>45</v>
      </c>
      <c r="E417" t="s">
        <v>30</v>
      </c>
      <c r="F417" t="s">
        <v>16</v>
      </c>
      <c r="G417">
        <v>53</v>
      </c>
      <c r="I417">
        <f>IF(tbl_main[[#This Row],[Debit]]&lt;&gt;"",-tbl_main[[#This Row],[Debit]],tbl_main[[#This Row],[Credit]])</f>
        <v>-53</v>
      </c>
      <c r="J417">
        <f>YEAR(tbl_main[[#This Row],[Date]])</f>
        <v>2021</v>
      </c>
      <c r="K417" t="str">
        <f>TEXT(tbl_main[[#This Row],[Date]],"mmm")</f>
        <v>Sep</v>
      </c>
    </row>
    <row r="418" spans="1:11" x14ac:dyDescent="0.25">
      <c r="A418" t="s">
        <v>4</v>
      </c>
      <c r="B418" s="1">
        <v>44458</v>
      </c>
      <c r="C418" t="s">
        <v>46</v>
      </c>
      <c r="D418" t="s">
        <v>21</v>
      </c>
      <c r="E418" t="s">
        <v>30</v>
      </c>
      <c r="F418" t="s">
        <v>16</v>
      </c>
      <c r="G418">
        <v>35</v>
      </c>
      <c r="I418">
        <f>IF(tbl_main[[#This Row],[Debit]]&lt;&gt;"",-tbl_main[[#This Row],[Debit]],tbl_main[[#This Row],[Credit]])</f>
        <v>-35</v>
      </c>
      <c r="J418">
        <f>YEAR(tbl_main[[#This Row],[Date]])</f>
        <v>2021</v>
      </c>
      <c r="K418" t="str">
        <f>TEXT(tbl_main[[#This Row],[Date]],"mmm")</f>
        <v>Sep</v>
      </c>
    </row>
    <row r="419" spans="1:11" x14ac:dyDescent="0.25">
      <c r="A419" t="s">
        <v>4</v>
      </c>
      <c r="B419" s="1">
        <v>44458</v>
      </c>
      <c r="C419" t="s">
        <v>13</v>
      </c>
      <c r="D419" t="s">
        <v>14</v>
      </c>
      <c r="E419" t="s">
        <v>15</v>
      </c>
      <c r="F419" t="s">
        <v>16</v>
      </c>
      <c r="G419">
        <v>5</v>
      </c>
      <c r="I419">
        <f>IF(tbl_main[[#This Row],[Debit]]&lt;&gt;"",-tbl_main[[#This Row],[Debit]],tbl_main[[#This Row],[Credit]])</f>
        <v>-5</v>
      </c>
      <c r="J419">
        <f>YEAR(tbl_main[[#This Row],[Date]])</f>
        <v>2021</v>
      </c>
      <c r="K419" t="str">
        <f>TEXT(tbl_main[[#This Row],[Date]],"mmm")</f>
        <v>Sep</v>
      </c>
    </row>
    <row r="420" spans="1:11" x14ac:dyDescent="0.25">
      <c r="A420" t="s">
        <v>4</v>
      </c>
      <c r="B420" s="1">
        <v>44459</v>
      </c>
      <c r="C420" t="s">
        <v>13</v>
      </c>
      <c r="D420" t="s">
        <v>14</v>
      </c>
      <c r="E420" t="s">
        <v>15</v>
      </c>
      <c r="F420" t="s">
        <v>16</v>
      </c>
      <c r="G420">
        <v>5</v>
      </c>
      <c r="I420">
        <f>IF(tbl_main[[#This Row],[Debit]]&lt;&gt;"",-tbl_main[[#This Row],[Debit]],tbl_main[[#This Row],[Credit]])</f>
        <v>-5</v>
      </c>
      <c r="J420">
        <f>YEAR(tbl_main[[#This Row],[Date]])</f>
        <v>2021</v>
      </c>
      <c r="K420" t="str">
        <f>TEXT(tbl_main[[#This Row],[Date]],"mmm")</f>
        <v>Sep</v>
      </c>
    </row>
    <row r="421" spans="1:11" x14ac:dyDescent="0.25">
      <c r="A421" t="s">
        <v>4</v>
      </c>
      <c r="B421" s="1">
        <v>44460</v>
      </c>
      <c r="C421" t="s">
        <v>13</v>
      </c>
      <c r="D421" t="s">
        <v>14</v>
      </c>
      <c r="E421" t="s">
        <v>15</v>
      </c>
      <c r="F421" t="s">
        <v>16</v>
      </c>
      <c r="G421">
        <v>5</v>
      </c>
      <c r="I421">
        <f>IF(tbl_main[[#This Row],[Debit]]&lt;&gt;"",-tbl_main[[#This Row],[Debit]],tbl_main[[#This Row],[Credit]])</f>
        <v>-5</v>
      </c>
      <c r="J421">
        <f>YEAR(tbl_main[[#This Row],[Date]])</f>
        <v>2021</v>
      </c>
      <c r="K421" t="str">
        <f>TEXT(tbl_main[[#This Row],[Date]],"mmm")</f>
        <v>Sep</v>
      </c>
    </row>
    <row r="422" spans="1:11" x14ac:dyDescent="0.25">
      <c r="A422" t="s">
        <v>4</v>
      </c>
      <c r="B422" s="1">
        <v>44460</v>
      </c>
      <c r="C422" t="s">
        <v>23</v>
      </c>
      <c r="D422" t="s">
        <v>24</v>
      </c>
      <c r="E422" t="s">
        <v>19</v>
      </c>
      <c r="F422" t="s">
        <v>16</v>
      </c>
      <c r="G422">
        <v>177.9</v>
      </c>
      <c r="I422">
        <f>IF(tbl_main[[#This Row],[Debit]]&lt;&gt;"",-tbl_main[[#This Row],[Debit]],tbl_main[[#This Row],[Credit]])</f>
        <v>-177.9</v>
      </c>
      <c r="J422">
        <f>YEAR(tbl_main[[#This Row],[Date]])</f>
        <v>2021</v>
      </c>
      <c r="K422" t="str">
        <f>TEXT(tbl_main[[#This Row],[Date]],"mmm")</f>
        <v>Sep</v>
      </c>
    </row>
    <row r="423" spans="1:11" x14ac:dyDescent="0.25">
      <c r="A423" t="s">
        <v>4</v>
      </c>
      <c r="B423" s="1">
        <v>44461</v>
      </c>
      <c r="C423" t="s">
        <v>47</v>
      </c>
      <c r="D423" t="s">
        <v>34</v>
      </c>
      <c r="E423" t="s">
        <v>15</v>
      </c>
      <c r="F423" t="s">
        <v>16</v>
      </c>
      <c r="G423">
        <v>45.300000000000004</v>
      </c>
      <c r="I423">
        <f>IF(tbl_main[[#This Row],[Debit]]&lt;&gt;"",-tbl_main[[#This Row],[Debit]],tbl_main[[#This Row],[Credit]])</f>
        <v>-45.300000000000004</v>
      </c>
      <c r="J423">
        <f>YEAR(tbl_main[[#This Row],[Date]])</f>
        <v>2021</v>
      </c>
      <c r="K423" t="str">
        <f>TEXT(tbl_main[[#This Row],[Date]],"mmm")</f>
        <v>Sep</v>
      </c>
    </row>
    <row r="424" spans="1:11" x14ac:dyDescent="0.25">
      <c r="A424" t="s">
        <v>4</v>
      </c>
      <c r="B424" s="1">
        <v>44462</v>
      </c>
      <c r="C424" t="s">
        <v>48</v>
      </c>
      <c r="D424" t="s">
        <v>34</v>
      </c>
      <c r="E424" t="s">
        <v>15</v>
      </c>
      <c r="F424" t="s">
        <v>16</v>
      </c>
      <c r="G424">
        <v>20.099999999999998</v>
      </c>
      <c r="I424">
        <f>IF(tbl_main[[#This Row],[Debit]]&lt;&gt;"",-tbl_main[[#This Row],[Debit]],tbl_main[[#This Row],[Credit]])</f>
        <v>-20.099999999999998</v>
      </c>
      <c r="J424">
        <f>YEAR(tbl_main[[#This Row],[Date]])</f>
        <v>2021</v>
      </c>
      <c r="K424" t="str">
        <f>TEXT(tbl_main[[#This Row],[Date]],"mmm")</f>
        <v>Sep</v>
      </c>
    </row>
    <row r="425" spans="1:11" x14ac:dyDescent="0.25">
      <c r="A425" t="s">
        <v>9</v>
      </c>
      <c r="B425" s="1">
        <v>44463</v>
      </c>
      <c r="C425" t="s">
        <v>49</v>
      </c>
      <c r="D425" t="s">
        <v>50</v>
      </c>
      <c r="E425" t="s">
        <v>51</v>
      </c>
      <c r="F425" t="s">
        <v>16</v>
      </c>
      <c r="G425">
        <v>55</v>
      </c>
      <c r="I425">
        <f>IF(tbl_main[[#This Row],[Debit]]&lt;&gt;"",-tbl_main[[#This Row],[Debit]],tbl_main[[#This Row],[Credit]])</f>
        <v>-55</v>
      </c>
      <c r="J425">
        <f>YEAR(tbl_main[[#This Row],[Date]])</f>
        <v>2021</v>
      </c>
      <c r="K425" t="str">
        <f>TEXT(tbl_main[[#This Row],[Date]],"mmm")</f>
        <v>Sep</v>
      </c>
    </row>
    <row r="426" spans="1:11" x14ac:dyDescent="0.25">
      <c r="A426" t="s">
        <v>4</v>
      </c>
      <c r="B426" s="1">
        <v>44463</v>
      </c>
      <c r="C426" t="s">
        <v>27</v>
      </c>
      <c r="D426" t="s">
        <v>28</v>
      </c>
      <c r="E426" t="s">
        <v>22</v>
      </c>
      <c r="F426" t="s">
        <v>16</v>
      </c>
      <c r="G426">
        <v>70.600000000000023</v>
      </c>
      <c r="I426">
        <f>IF(tbl_main[[#This Row],[Debit]]&lt;&gt;"",-tbl_main[[#This Row],[Debit]],tbl_main[[#This Row],[Credit]])</f>
        <v>-70.600000000000023</v>
      </c>
      <c r="J426">
        <f>YEAR(tbl_main[[#This Row],[Date]])</f>
        <v>2021</v>
      </c>
      <c r="K426" t="str">
        <f>TEXT(tbl_main[[#This Row],[Date]],"mmm")</f>
        <v>Sep</v>
      </c>
    </row>
    <row r="427" spans="1:11" x14ac:dyDescent="0.25">
      <c r="A427" t="s">
        <v>4</v>
      </c>
      <c r="B427" s="1">
        <v>44463</v>
      </c>
      <c r="C427" t="s">
        <v>13</v>
      </c>
      <c r="D427" t="s">
        <v>14</v>
      </c>
      <c r="E427" t="s">
        <v>15</v>
      </c>
      <c r="F427" t="s">
        <v>16</v>
      </c>
      <c r="G427">
        <v>5</v>
      </c>
      <c r="I427">
        <f>IF(tbl_main[[#This Row],[Debit]]&lt;&gt;"",-tbl_main[[#This Row],[Debit]],tbl_main[[#This Row],[Credit]])</f>
        <v>-5</v>
      </c>
      <c r="J427">
        <f>YEAR(tbl_main[[#This Row],[Date]])</f>
        <v>2021</v>
      </c>
      <c r="K427" t="str">
        <f>TEXT(tbl_main[[#This Row],[Date]],"mmm")</f>
        <v>Sep</v>
      </c>
    </row>
    <row r="428" spans="1:11" x14ac:dyDescent="0.25">
      <c r="A428" t="s">
        <v>4</v>
      </c>
      <c r="B428" s="1">
        <v>44464</v>
      </c>
      <c r="C428" t="s">
        <v>13</v>
      </c>
      <c r="D428" t="s">
        <v>14</v>
      </c>
      <c r="E428" t="s">
        <v>15</v>
      </c>
      <c r="F428" t="s">
        <v>16</v>
      </c>
      <c r="G428">
        <v>5</v>
      </c>
      <c r="I428">
        <f>IF(tbl_main[[#This Row],[Debit]]&lt;&gt;"",-tbl_main[[#This Row],[Debit]],tbl_main[[#This Row],[Credit]])</f>
        <v>-5</v>
      </c>
      <c r="J428">
        <f>YEAR(tbl_main[[#This Row],[Date]])</f>
        <v>2021</v>
      </c>
      <c r="K428" t="str">
        <f>TEXT(tbl_main[[#This Row],[Date]],"mmm")</f>
        <v>Sep</v>
      </c>
    </row>
    <row r="429" spans="1:11" x14ac:dyDescent="0.25">
      <c r="A429" t="s">
        <v>4</v>
      </c>
      <c r="B429" s="1">
        <v>44465</v>
      </c>
      <c r="C429" t="s">
        <v>13</v>
      </c>
      <c r="D429" t="s">
        <v>14</v>
      </c>
      <c r="E429" t="s">
        <v>15</v>
      </c>
      <c r="F429" t="s">
        <v>16</v>
      </c>
      <c r="G429">
        <v>5</v>
      </c>
      <c r="I429">
        <f>IF(tbl_main[[#This Row],[Debit]]&lt;&gt;"",-tbl_main[[#This Row],[Debit]],tbl_main[[#This Row],[Credit]])</f>
        <v>-5</v>
      </c>
      <c r="J429">
        <f>YEAR(tbl_main[[#This Row],[Date]])</f>
        <v>2021</v>
      </c>
      <c r="K429" t="str">
        <f>TEXT(tbl_main[[#This Row],[Date]],"mmm")</f>
        <v>Sep</v>
      </c>
    </row>
    <row r="430" spans="1:11" x14ac:dyDescent="0.25">
      <c r="A430" t="s">
        <v>4</v>
      </c>
      <c r="B430" s="1">
        <v>44466</v>
      </c>
      <c r="C430" t="s">
        <v>13</v>
      </c>
      <c r="D430" t="s">
        <v>14</v>
      </c>
      <c r="E430" t="s">
        <v>15</v>
      </c>
      <c r="F430" t="s">
        <v>16</v>
      </c>
      <c r="G430">
        <v>5</v>
      </c>
      <c r="I430">
        <f>IF(tbl_main[[#This Row],[Debit]]&lt;&gt;"",-tbl_main[[#This Row],[Debit]],tbl_main[[#This Row],[Credit]])</f>
        <v>-5</v>
      </c>
      <c r="J430">
        <f>YEAR(tbl_main[[#This Row],[Date]])</f>
        <v>2021</v>
      </c>
      <c r="K430" t="str">
        <f>TEXT(tbl_main[[#This Row],[Date]],"mmm")</f>
        <v>Sep</v>
      </c>
    </row>
    <row r="431" spans="1:11" x14ac:dyDescent="0.25">
      <c r="A431" t="s">
        <v>4</v>
      </c>
      <c r="B431" s="1">
        <v>44467</v>
      </c>
      <c r="C431" t="s">
        <v>13</v>
      </c>
      <c r="D431" t="s">
        <v>14</v>
      </c>
      <c r="E431" t="s">
        <v>15</v>
      </c>
      <c r="F431" t="s">
        <v>16</v>
      </c>
      <c r="G431">
        <v>5</v>
      </c>
      <c r="I431">
        <f>IF(tbl_main[[#This Row],[Debit]]&lt;&gt;"",-tbl_main[[#This Row],[Debit]],tbl_main[[#This Row],[Credit]])</f>
        <v>-5</v>
      </c>
      <c r="J431">
        <f>YEAR(tbl_main[[#This Row],[Date]])</f>
        <v>2021</v>
      </c>
      <c r="K431" t="str">
        <f>TEXT(tbl_main[[#This Row],[Date]],"mmm")</f>
        <v>Sep</v>
      </c>
    </row>
    <row r="432" spans="1:11" x14ac:dyDescent="0.25">
      <c r="A432" t="s">
        <v>4</v>
      </c>
      <c r="B432" s="1">
        <v>44467</v>
      </c>
      <c r="C432" t="s">
        <v>23</v>
      </c>
      <c r="D432" t="s">
        <v>24</v>
      </c>
      <c r="E432" t="s">
        <v>19</v>
      </c>
      <c r="F432" t="s">
        <v>16</v>
      </c>
      <c r="G432">
        <v>223</v>
      </c>
      <c r="I432">
        <f>IF(tbl_main[[#This Row],[Debit]]&lt;&gt;"",-tbl_main[[#This Row],[Debit]],tbl_main[[#This Row],[Credit]])</f>
        <v>-223</v>
      </c>
      <c r="J432">
        <f>YEAR(tbl_main[[#This Row],[Date]])</f>
        <v>2021</v>
      </c>
      <c r="K432" t="str">
        <f>TEXT(tbl_main[[#This Row],[Date]],"mmm")</f>
        <v>Sep</v>
      </c>
    </row>
    <row r="433" spans="1:11" x14ac:dyDescent="0.25">
      <c r="A433" t="s">
        <v>4</v>
      </c>
      <c r="B433" s="1">
        <v>44468</v>
      </c>
      <c r="C433" t="s">
        <v>52</v>
      </c>
      <c r="D433" t="s">
        <v>32</v>
      </c>
      <c r="E433" t="s">
        <v>30</v>
      </c>
      <c r="F433" t="s">
        <v>16</v>
      </c>
      <c r="G433">
        <v>132.9</v>
      </c>
      <c r="I433">
        <f>IF(tbl_main[[#This Row],[Debit]]&lt;&gt;"",-tbl_main[[#This Row],[Debit]],tbl_main[[#This Row],[Credit]])</f>
        <v>-132.9</v>
      </c>
      <c r="J433">
        <f>YEAR(tbl_main[[#This Row],[Date]])</f>
        <v>2021</v>
      </c>
      <c r="K433" t="str">
        <f>TEXT(tbl_main[[#This Row],[Date]],"mmm")</f>
        <v>Sep</v>
      </c>
    </row>
    <row r="434" spans="1:11" x14ac:dyDescent="0.25">
      <c r="A434" t="s">
        <v>4</v>
      </c>
      <c r="B434" s="1">
        <v>44468</v>
      </c>
      <c r="C434" t="s">
        <v>54</v>
      </c>
      <c r="D434" t="s">
        <v>32</v>
      </c>
      <c r="E434" t="s">
        <v>30</v>
      </c>
      <c r="F434" t="s">
        <v>16</v>
      </c>
      <c r="G434">
        <v>175</v>
      </c>
      <c r="I434">
        <f>IF(tbl_main[[#This Row],[Debit]]&lt;&gt;"",-tbl_main[[#This Row],[Debit]],tbl_main[[#This Row],[Credit]])</f>
        <v>-175</v>
      </c>
      <c r="J434">
        <f>YEAR(tbl_main[[#This Row],[Date]])</f>
        <v>2021</v>
      </c>
      <c r="K434" t="str">
        <f>TEXT(tbl_main[[#This Row],[Date]],"mmm")</f>
        <v>Sep</v>
      </c>
    </row>
    <row r="435" spans="1:11" x14ac:dyDescent="0.25">
      <c r="A435" t="s">
        <v>4</v>
      </c>
      <c r="B435" s="1">
        <v>44469</v>
      </c>
      <c r="C435" t="s">
        <v>31</v>
      </c>
      <c r="D435" t="s">
        <v>32</v>
      </c>
      <c r="E435" t="s">
        <v>30</v>
      </c>
      <c r="F435" t="s">
        <v>16</v>
      </c>
      <c r="G435">
        <v>153.39999999999998</v>
      </c>
      <c r="I435">
        <f>IF(tbl_main[[#This Row],[Debit]]&lt;&gt;"",-tbl_main[[#This Row],[Debit]],tbl_main[[#This Row],[Credit]])</f>
        <v>-153.39999999999998</v>
      </c>
      <c r="J435">
        <f>YEAR(tbl_main[[#This Row],[Date]])</f>
        <v>2021</v>
      </c>
      <c r="K435" t="str">
        <f>TEXT(tbl_main[[#This Row],[Date]],"mmm")</f>
        <v>Sep</v>
      </c>
    </row>
    <row r="436" spans="1:11" x14ac:dyDescent="0.25">
      <c r="A436" t="s">
        <v>4</v>
      </c>
      <c r="B436" s="1">
        <v>44469</v>
      </c>
      <c r="C436" t="s">
        <v>35</v>
      </c>
      <c r="D436" t="s">
        <v>36</v>
      </c>
      <c r="E436" t="s">
        <v>22</v>
      </c>
      <c r="F436" t="s">
        <v>16</v>
      </c>
      <c r="G436">
        <v>31.200000000000003</v>
      </c>
      <c r="I436">
        <f>IF(tbl_main[[#This Row],[Debit]]&lt;&gt;"",-tbl_main[[#This Row],[Debit]],tbl_main[[#This Row],[Credit]])</f>
        <v>-31.200000000000003</v>
      </c>
      <c r="J436">
        <f>YEAR(tbl_main[[#This Row],[Date]])</f>
        <v>2021</v>
      </c>
      <c r="K436" t="str">
        <f>TEXT(tbl_main[[#This Row],[Date]],"mmm")</f>
        <v>Sep</v>
      </c>
    </row>
    <row r="437" spans="1:11" x14ac:dyDescent="0.25">
      <c r="A437" t="s">
        <v>4</v>
      </c>
      <c r="B437" s="1">
        <v>44469</v>
      </c>
      <c r="C437" t="s">
        <v>57</v>
      </c>
      <c r="D437" t="s">
        <v>34</v>
      </c>
      <c r="E437" t="s">
        <v>15</v>
      </c>
      <c r="F437" t="s">
        <v>16</v>
      </c>
      <c r="G437">
        <v>15</v>
      </c>
      <c r="I437">
        <f>IF(tbl_main[[#This Row],[Debit]]&lt;&gt;"",-tbl_main[[#This Row],[Debit]],tbl_main[[#This Row],[Credit]])</f>
        <v>-15</v>
      </c>
      <c r="J437">
        <f>YEAR(tbl_main[[#This Row],[Date]])</f>
        <v>2021</v>
      </c>
      <c r="K437" t="str">
        <f>TEXT(tbl_main[[#This Row],[Date]],"mmm")</f>
        <v>Sep</v>
      </c>
    </row>
    <row r="438" spans="1:11" x14ac:dyDescent="0.25">
      <c r="A438" t="s">
        <v>4</v>
      </c>
      <c r="B438" s="1">
        <v>44470</v>
      </c>
      <c r="C438" t="s">
        <v>13</v>
      </c>
      <c r="D438" t="s">
        <v>14</v>
      </c>
      <c r="E438" t="s">
        <v>15</v>
      </c>
      <c r="F438" t="s">
        <v>16</v>
      </c>
      <c r="G438">
        <v>5</v>
      </c>
      <c r="I438">
        <f>IF(tbl_main[[#This Row],[Debit]]&lt;&gt;"",-tbl_main[[#This Row],[Debit]],tbl_main[[#This Row],[Credit]])</f>
        <v>-5</v>
      </c>
      <c r="J438">
        <f>YEAR(tbl_main[[#This Row],[Date]])</f>
        <v>2021</v>
      </c>
      <c r="K438" t="str">
        <f>TEXT(tbl_main[[#This Row],[Date]],"mmm")</f>
        <v>Oct</v>
      </c>
    </row>
    <row r="439" spans="1:11" x14ac:dyDescent="0.25">
      <c r="A439" t="s">
        <v>4</v>
      </c>
      <c r="B439" s="1">
        <v>44472</v>
      </c>
      <c r="C439" t="s">
        <v>13</v>
      </c>
      <c r="D439" t="s">
        <v>14</v>
      </c>
      <c r="E439" t="s">
        <v>15</v>
      </c>
      <c r="F439" t="s">
        <v>16</v>
      </c>
      <c r="G439">
        <v>5</v>
      </c>
      <c r="I439">
        <f>IF(tbl_main[[#This Row],[Debit]]&lt;&gt;"",-tbl_main[[#This Row],[Debit]],tbl_main[[#This Row],[Credit]])</f>
        <v>-5</v>
      </c>
      <c r="J439">
        <f>YEAR(tbl_main[[#This Row],[Date]])</f>
        <v>2021</v>
      </c>
      <c r="K439" t="str">
        <f>TEXT(tbl_main[[#This Row],[Date]],"mmm")</f>
        <v>Oct</v>
      </c>
    </row>
    <row r="440" spans="1:11" x14ac:dyDescent="0.25">
      <c r="A440" t="s">
        <v>9</v>
      </c>
      <c r="B440" s="1">
        <v>44472</v>
      </c>
      <c r="C440" t="s">
        <v>10</v>
      </c>
      <c r="D440" t="s">
        <v>11</v>
      </c>
      <c r="E440" t="s">
        <v>11</v>
      </c>
      <c r="F440" t="s">
        <v>12</v>
      </c>
      <c r="H440">
        <v>4000</v>
      </c>
      <c r="I440">
        <f>IF(tbl_main[[#This Row],[Debit]]&lt;&gt;"",-tbl_main[[#This Row],[Debit]],tbl_main[[#This Row],[Credit]])</f>
        <v>4000</v>
      </c>
      <c r="J440">
        <f>YEAR(tbl_main[[#This Row],[Date]])</f>
        <v>2021</v>
      </c>
      <c r="K440" t="str">
        <f>TEXT(tbl_main[[#This Row],[Date]],"mmm")</f>
        <v>Oct</v>
      </c>
    </row>
    <row r="441" spans="1:11" x14ac:dyDescent="0.25">
      <c r="A441" t="s">
        <v>4</v>
      </c>
      <c r="B441" s="1">
        <v>44473</v>
      </c>
      <c r="C441" t="s">
        <v>13</v>
      </c>
      <c r="D441" t="s">
        <v>14</v>
      </c>
      <c r="E441" t="s">
        <v>15</v>
      </c>
      <c r="F441" t="s">
        <v>16</v>
      </c>
      <c r="G441">
        <v>5</v>
      </c>
      <c r="I441">
        <f>IF(tbl_main[[#This Row],[Debit]]&lt;&gt;"",-tbl_main[[#This Row],[Debit]],tbl_main[[#This Row],[Credit]])</f>
        <v>-5</v>
      </c>
      <c r="J441">
        <f>YEAR(tbl_main[[#This Row],[Date]])</f>
        <v>2021</v>
      </c>
      <c r="K441" t="str">
        <f>TEXT(tbl_main[[#This Row],[Date]],"mmm")</f>
        <v>Oct</v>
      </c>
    </row>
    <row r="442" spans="1:11" x14ac:dyDescent="0.25">
      <c r="A442" t="s">
        <v>9</v>
      </c>
      <c r="B442" s="1">
        <v>44475</v>
      </c>
      <c r="C442" t="s">
        <v>17</v>
      </c>
      <c r="D442" t="s">
        <v>18</v>
      </c>
      <c r="E442" t="s">
        <v>19</v>
      </c>
      <c r="F442" t="s">
        <v>16</v>
      </c>
      <c r="G442">
        <v>900</v>
      </c>
      <c r="I442">
        <f>IF(tbl_main[[#This Row],[Debit]]&lt;&gt;"",-tbl_main[[#This Row],[Debit]],tbl_main[[#This Row],[Credit]])</f>
        <v>-900</v>
      </c>
      <c r="J442">
        <f>YEAR(tbl_main[[#This Row],[Date]])</f>
        <v>2021</v>
      </c>
      <c r="K442" t="str">
        <f>TEXT(tbl_main[[#This Row],[Date]],"mmm")</f>
        <v>Oct</v>
      </c>
    </row>
    <row r="443" spans="1:11" x14ac:dyDescent="0.25">
      <c r="A443" t="s">
        <v>9</v>
      </c>
      <c r="B443" s="1">
        <v>44475</v>
      </c>
      <c r="C443" t="s">
        <v>20</v>
      </c>
      <c r="D443" t="s">
        <v>21</v>
      </c>
      <c r="E443" t="s">
        <v>22</v>
      </c>
      <c r="F443" t="s">
        <v>16</v>
      </c>
      <c r="G443">
        <v>150</v>
      </c>
      <c r="I443">
        <f>IF(tbl_main[[#This Row],[Debit]]&lt;&gt;"",-tbl_main[[#This Row],[Debit]],tbl_main[[#This Row],[Credit]])</f>
        <v>-150</v>
      </c>
      <c r="J443">
        <f>YEAR(tbl_main[[#This Row],[Date]])</f>
        <v>2021</v>
      </c>
      <c r="K443" t="str">
        <f>TEXT(tbl_main[[#This Row],[Date]],"mmm")</f>
        <v>Oct</v>
      </c>
    </row>
    <row r="444" spans="1:11" x14ac:dyDescent="0.25">
      <c r="A444" t="s">
        <v>4</v>
      </c>
      <c r="B444" s="1">
        <v>44475</v>
      </c>
      <c r="C444" t="s">
        <v>13</v>
      </c>
      <c r="D444" t="s">
        <v>14</v>
      </c>
      <c r="E444" t="s">
        <v>15</v>
      </c>
      <c r="F444" t="s">
        <v>16</v>
      </c>
      <c r="G444">
        <v>5</v>
      </c>
      <c r="I444">
        <f>IF(tbl_main[[#This Row],[Debit]]&lt;&gt;"",-tbl_main[[#This Row],[Debit]],tbl_main[[#This Row],[Credit]])</f>
        <v>-5</v>
      </c>
      <c r="J444">
        <f>YEAR(tbl_main[[#This Row],[Date]])</f>
        <v>2021</v>
      </c>
      <c r="K444" t="str">
        <f>TEXT(tbl_main[[#This Row],[Date]],"mmm")</f>
        <v>Oct</v>
      </c>
    </row>
    <row r="445" spans="1:11" x14ac:dyDescent="0.25">
      <c r="A445" t="s">
        <v>4</v>
      </c>
      <c r="B445" s="1">
        <v>44475</v>
      </c>
      <c r="C445" t="s">
        <v>13</v>
      </c>
      <c r="D445" t="s">
        <v>14</v>
      </c>
      <c r="E445" t="s">
        <v>15</v>
      </c>
      <c r="F445" t="s">
        <v>16</v>
      </c>
      <c r="G445">
        <v>5</v>
      </c>
      <c r="I445">
        <f>IF(tbl_main[[#This Row],[Debit]]&lt;&gt;"",-tbl_main[[#This Row],[Debit]],tbl_main[[#This Row],[Credit]])</f>
        <v>-5</v>
      </c>
      <c r="J445">
        <f>YEAR(tbl_main[[#This Row],[Date]])</f>
        <v>2021</v>
      </c>
      <c r="K445" t="str">
        <f>TEXT(tbl_main[[#This Row],[Date]],"mmm")</f>
        <v>Oct</v>
      </c>
    </row>
    <row r="446" spans="1:11" x14ac:dyDescent="0.25">
      <c r="A446" t="s">
        <v>4</v>
      </c>
      <c r="B446" s="1">
        <v>44476</v>
      </c>
      <c r="C446" t="s">
        <v>13</v>
      </c>
      <c r="D446" t="s">
        <v>14</v>
      </c>
      <c r="E446" t="s">
        <v>15</v>
      </c>
      <c r="F446" t="s">
        <v>16</v>
      </c>
      <c r="G446">
        <v>5</v>
      </c>
      <c r="I446">
        <f>IF(tbl_main[[#This Row],[Debit]]&lt;&gt;"",-tbl_main[[#This Row],[Debit]],tbl_main[[#This Row],[Credit]])</f>
        <v>-5</v>
      </c>
      <c r="J446">
        <f>YEAR(tbl_main[[#This Row],[Date]])</f>
        <v>2021</v>
      </c>
      <c r="K446" t="str">
        <f>TEXT(tbl_main[[#This Row],[Date]],"mmm")</f>
        <v>Oct</v>
      </c>
    </row>
    <row r="447" spans="1:11" x14ac:dyDescent="0.25">
      <c r="A447" t="s">
        <v>4</v>
      </c>
      <c r="B447" s="1">
        <v>44477</v>
      </c>
      <c r="C447" t="s">
        <v>13</v>
      </c>
      <c r="D447" t="s">
        <v>14</v>
      </c>
      <c r="E447" t="s">
        <v>15</v>
      </c>
      <c r="F447" t="s">
        <v>16</v>
      </c>
      <c r="G447">
        <v>5</v>
      </c>
      <c r="I447">
        <f>IF(tbl_main[[#This Row],[Debit]]&lt;&gt;"",-tbl_main[[#This Row],[Debit]],tbl_main[[#This Row],[Credit]])</f>
        <v>-5</v>
      </c>
      <c r="J447">
        <f>YEAR(tbl_main[[#This Row],[Date]])</f>
        <v>2021</v>
      </c>
      <c r="K447" t="str">
        <f>TEXT(tbl_main[[#This Row],[Date]],"mmm")</f>
        <v>Oct</v>
      </c>
    </row>
    <row r="448" spans="1:11" x14ac:dyDescent="0.25">
      <c r="A448" t="s">
        <v>4</v>
      </c>
      <c r="B448" s="1">
        <v>44477</v>
      </c>
      <c r="C448" t="s">
        <v>23</v>
      </c>
      <c r="D448" t="s">
        <v>24</v>
      </c>
      <c r="E448" t="s">
        <v>19</v>
      </c>
      <c r="F448" t="s">
        <v>16</v>
      </c>
      <c r="G448">
        <v>105</v>
      </c>
      <c r="I448">
        <f>IF(tbl_main[[#This Row],[Debit]]&lt;&gt;"",-tbl_main[[#This Row],[Debit]],tbl_main[[#This Row],[Credit]])</f>
        <v>-105</v>
      </c>
      <c r="J448">
        <f>YEAR(tbl_main[[#This Row],[Date]])</f>
        <v>2021</v>
      </c>
      <c r="K448" t="str">
        <f>TEXT(tbl_main[[#This Row],[Date]],"mmm")</f>
        <v>Oct</v>
      </c>
    </row>
    <row r="449" spans="1:11" x14ac:dyDescent="0.25">
      <c r="A449" t="s">
        <v>9</v>
      </c>
      <c r="B449" s="1">
        <v>44480</v>
      </c>
      <c r="C449" t="s">
        <v>25</v>
      </c>
      <c r="D449" t="s">
        <v>26</v>
      </c>
      <c r="E449" t="s">
        <v>19</v>
      </c>
      <c r="F449" t="s">
        <v>16</v>
      </c>
      <c r="G449">
        <v>59</v>
      </c>
      <c r="I449">
        <f>IF(tbl_main[[#This Row],[Debit]]&lt;&gt;"",-tbl_main[[#This Row],[Debit]],tbl_main[[#This Row],[Credit]])</f>
        <v>-59</v>
      </c>
      <c r="J449">
        <f>YEAR(tbl_main[[#This Row],[Date]])</f>
        <v>2021</v>
      </c>
      <c r="K449" t="str">
        <f>TEXT(tbl_main[[#This Row],[Date]],"mmm")</f>
        <v>Oct</v>
      </c>
    </row>
    <row r="450" spans="1:11" x14ac:dyDescent="0.25">
      <c r="A450" t="s">
        <v>4</v>
      </c>
      <c r="B450" s="1">
        <v>44480</v>
      </c>
      <c r="C450" t="s">
        <v>13</v>
      </c>
      <c r="D450" t="s">
        <v>14</v>
      </c>
      <c r="E450" t="s">
        <v>15</v>
      </c>
      <c r="F450" t="s">
        <v>16</v>
      </c>
      <c r="G450">
        <v>5</v>
      </c>
      <c r="I450">
        <f>IF(tbl_main[[#This Row],[Debit]]&lt;&gt;"",-tbl_main[[#This Row],[Debit]],tbl_main[[#This Row],[Credit]])</f>
        <v>-5</v>
      </c>
      <c r="J450">
        <f>YEAR(tbl_main[[#This Row],[Date]])</f>
        <v>2021</v>
      </c>
      <c r="K450" t="str">
        <f>TEXT(tbl_main[[#This Row],[Date]],"mmm")</f>
        <v>Oct</v>
      </c>
    </row>
    <row r="451" spans="1:11" x14ac:dyDescent="0.25">
      <c r="A451" t="s">
        <v>4</v>
      </c>
      <c r="B451" s="1">
        <v>44481</v>
      </c>
      <c r="C451" t="s">
        <v>13</v>
      </c>
      <c r="D451" t="s">
        <v>14</v>
      </c>
      <c r="E451" t="s">
        <v>15</v>
      </c>
      <c r="F451" t="s">
        <v>16</v>
      </c>
      <c r="G451">
        <v>5</v>
      </c>
      <c r="I451">
        <f>IF(tbl_main[[#This Row],[Debit]]&lt;&gt;"",-tbl_main[[#This Row],[Debit]],tbl_main[[#This Row],[Credit]])</f>
        <v>-5</v>
      </c>
      <c r="J451">
        <f>YEAR(tbl_main[[#This Row],[Date]])</f>
        <v>2021</v>
      </c>
      <c r="K451" t="str">
        <f>TEXT(tbl_main[[#This Row],[Date]],"mmm")</f>
        <v>Oct</v>
      </c>
    </row>
    <row r="452" spans="1:11" x14ac:dyDescent="0.25">
      <c r="A452" t="s">
        <v>4</v>
      </c>
      <c r="B452" s="1">
        <v>44482</v>
      </c>
      <c r="C452" t="s">
        <v>27</v>
      </c>
      <c r="D452" t="s">
        <v>28</v>
      </c>
      <c r="E452" t="s">
        <v>22</v>
      </c>
      <c r="F452" t="s">
        <v>16</v>
      </c>
      <c r="G452">
        <v>86.399999999999977</v>
      </c>
      <c r="I452">
        <f>IF(tbl_main[[#This Row],[Debit]]&lt;&gt;"",-tbl_main[[#This Row],[Debit]],tbl_main[[#This Row],[Credit]])</f>
        <v>-86.399999999999977</v>
      </c>
      <c r="J452">
        <f>YEAR(tbl_main[[#This Row],[Date]])</f>
        <v>2021</v>
      </c>
      <c r="K452" t="str">
        <f>TEXT(tbl_main[[#This Row],[Date]],"mmm")</f>
        <v>Oct</v>
      </c>
    </row>
    <row r="453" spans="1:11" x14ac:dyDescent="0.25">
      <c r="A453" t="s">
        <v>4</v>
      </c>
      <c r="B453" s="1">
        <v>44482</v>
      </c>
      <c r="C453" t="s">
        <v>13</v>
      </c>
      <c r="D453" t="s">
        <v>14</v>
      </c>
      <c r="E453" t="s">
        <v>15</v>
      </c>
      <c r="F453" t="s">
        <v>16</v>
      </c>
      <c r="G453">
        <v>5</v>
      </c>
      <c r="I453">
        <f>IF(tbl_main[[#This Row],[Debit]]&lt;&gt;"",-tbl_main[[#This Row],[Debit]],tbl_main[[#This Row],[Credit]])</f>
        <v>-5</v>
      </c>
      <c r="J453">
        <f>YEAR(tbl_main[[#This Row],[Date]])</f>
        <v>2021</v>
      </c>
      <c r="K453" t="str">
        <f>TEXT(tbl_main[[#This Row],[Date]],"mmm")</f>
        <v>Oct</v>
      </c>
    </row>
    <row r="454" spans="1:11" x14ac:dyDescent="0.25">
      <c r="A454" t="s">
        <v>4</v>
      </c>
      <c r="B454" s="1">
        <v>44483</v>
      </c>
      <c r="C454" t="s">
        <v>13</v>
      </c>
      <c r="D454" t="s">
        <v>14</v>
      </c>
      <c r="E454" t="s">
        <v>15</v>
      </c>
      <c r="F454" t="s">
        <v>16</v>
      </c>
      <c r="G454">
        <v>5</v>
      </c>
      <c r="I454">
        <f>IF(tbl_main[[#This Row],[Debit]]&lt;&gt;"",-tbl_main[[#This Row],[Debit]],tbl_main[[#This Row],[Credit]])</f>
        <v>-5</v>
      </c>
      <c r="J454">
        <f>YEAR(tbl_main[[#This Row],[Date]])</f>
        <v>2021</v>
      </c>
      <c r="K454" t="str">
        <f>TEXT(tbl_main[[#This Row],[Date]],"mmm")</f>
        <v>Oct</v>
      </c>
    </row>
    <row r="455" spans="1:11" x14ac:dyDescent="0.25">
      <c r="A455" t="s">
        <v>4</v>
      </c>
      <c r="B455" s="1">
        <v>44484</v>
      </c>
      <c r="C455" t="s">
        <v>23</v>
      </c>
      <c r="D455" t="s">
        <v>24</v>
      </c>
      <c r="E455" t="s">
        <v>19</v>
      </c>
      <c r="F455" t="s">
        <v>16</v>
      </c>
      <c r="G455">
        <v>143.9</v>
      </c>
      <c r="I455">
        <f>IF(tbl_main[[#This Row],[Debit]]&lt;&gt;"",-tbl_main[[#This Row],[Debit]],tbl_main[[#This Row],[Credit]])</f>
        <v>-143.9</v>
      </c>
      <c r="J455">
        <f>YEAR(tbl_main[[#This Row],[Date]])</f>
        <v>2021</v>
      </c>
      <c r="K455" t="str">
        <f>TEXT(tbl_main[[#This Row],[Date]],"mmm")</f>
        <v>Oct</v>
      </c>
    </row>
    <row r="456" spans="1:11" x14ac:dyDescent="0.25">
      <c r="A456" t="s">
        <v>4</v>
      </c>
      <c r="B456" s="1">
        <v>44484</v>
      </c>
      <c r="C456" t="s">
        <v>13</v>
      </c>
      <c r="D456" t="s">
        <v>14</v>
      </c>
      <c r="E456" t="s">
        <v>15</v>
      </c>
      <c r="F456" t="s">
        <v>16</v>
      </c>
      <c r="G456">
        <v>5</v>
      </c>
      <c r="I456">
        <f>IF(tbl_main[[#This Row],[Debit]]&lt;&gt;"",-tbl_main[[#This Row],[Debit]],tbl_main[[#This Row],[Credit]])</f>
        <v>-5</v>
      </c>
      <c r="J456">
        <f>YEAR(tbl_main[[#This Row],[Date]])</f>
        <v>2021</v>
      </c>
      <c r="K456" t="str">
        <f>TEXT(tbl_main[[#This Row],[Date]],"mmm")</f>
        <v>Oct</v>
      </c>
    </row>
    <row r="457" spans="1:11" x14ac:dyDescent="0.25">
      <c r="A457" t="s">
        <v>4</v>
      </c>
      <c r="B457" s="1">
        <v>44485</v>
      </c>
      <c r="C457" t="s">
        <v>13</v>
      </c>
      <c r="D457" t="s">
        <v>14</v>
      </c>
      <c r="E457" t="s">
        <v>15</v>
      </c>
      <c r="F457" t="s">
        <v>16</v>
      </c>
      <c r="G457">
        <v>5</v>
      </c>
      <c r="I457">
        <f>IF(tbl_main[[#This Row],[Debit]]&lt;&gt;"",-tbl_main[[#This Row],[Debit]],tbl_main[[#This Row],[Credit]])</f>
        <v>-5</v>
      </c>
      <c r="J457">
        <f>YEAR(tbl_main[[#This Row],[Date]])</f>
        <v>2021</v>
      </c>
      <c r="K457" t="str">
        <f>TEXT(tbl_main[[#This Row],[Date]],"mmm")</f>
        <v>Oct</v>
      </c>
    </row>
    <row r="458" spans="1:11" x14ac:dyDescent="0.25">
      <c r="A458" t="s">
        <v>4</v>
      </c>
      <c r="B458" s="1">
        <v>44485</v>
      </c>
      <c r="C458" t="s">
        <v>29</v>
      </c>
      <c r="D458" t="s">
        <v>21</v>
      </c>
      <c r="E458" t="s">
        <v>30</v>
      </c>
      <c r="F458" t="s">
        <v>16</v>
      </c>
      <c r="G458">
        <v>48.8</v>
      </c>
      <c r="I458">
        <f>IF(tbl_main[[#This Row],[Debit]]&lt;&gt;"",-tbl_main[[#This Row],[Debit]],tbl_main[[#This Row],[Credit]])</f>
        <v>-48.8</v>
      </c>
      <c r="J458">
        <f>YEAR(tbl_main[[#This Row],[Date]])</f>
        <v>2021</v>
      </c>
      <c r="K458" t="str">
        <f>TEXT(tbl_main[[#This Row],[Date]],"mmm")</f>
        <v>Oct</v>
      </c>
    </row>
    <row r="459" spans="1:11" x14ac:dyDescent="0.25">
      <c r="A459" t="s">
        <v>4</v>
      </c>
      <c r="B459" s="1">
        <v>44485</v>
      </c>
      <c r="C459" t="s">
        <v>31</v>
      </c>
      <c r="D459" t="s">
        <v>32</v>
      </c>
      <c r="E459" t="s">
        <v>30</v>
      </c>
      <c r="F459" t="s">
        <v>16</v>
      </c>
      <c r="G459">
        <v>106.70000000000002</v>
      </c>
      <c r="I459">
        <f>IF(tbl_main[[#This Row],[Debit]]&lt;&gt;"",-tbl_main[[#This Row],[Debit]],tbl_main[[#This Row],[Credit]])</f>
        <v>-106.70000000000002</v>
      </c>
      <c r="J459">
        <f>YEAR(tbl_main[[#This Row],[Date]])</f>
        <v>2021</v>
      </c>
      <c r="K459" t="str">
        <f>TEXT(tbl_main[[#This Row],[Date]],"mmm")</f>
        <v>Oct</v>
      </c>
    </row>
    <row r="460" spans="1:11" x14ac:dyDescent="0.25">
      <c r="A460" t="s">
        <v>4</v>
      </c>
      <c r="B460" s="1">
        <v>44485</v>
      </c>
      <c r="C460" t="s">
        <v>33</v>
      </c>
      <c r="D460" t="s">
        <v>34</v>
      </c>
      <c r="E460" t="s">
        <v>15</v>
      </c>
      <c r="F460" t="s">
        <v>16</v>
      </c>
      <c r="G460">
        <v>61.1</v>
      </c>
      <c r="I460">
        <f>IF(tbl_main[[#This Row],[Debit]]&lt;&gt;"",-tbl_main[[#This Row],[Debit]],tbl_main[[#This Row],[Credit]])</f>
        <v>-61.1</v>
      </c>
      <c r="J460">
        <f>YEAR(tbl_main[[#This Row],[Date]])</f>
        <v>2021</v>
      </c>
      <c r="K460" t="str">
        <f>TEXT(tbl_main[[#This Row],[Date]],"mmm")</f>
        <v>Oct</v>
      </c>
    </row>
    <row r="461" spans="1:11" x14ac:dyDescent="0.25">
      <c r="A461" t="s">
        <v>4</v>
      </c>
      <c r="B461" s="1">
        <v>44486</v>
      </c>
      <c r="C461" t="s">
        <v>35</v>
      </c>
      <c r="D461" t="s">
        <v>36</v>
      </c>
      <c r="E461" t="s">
        <v>22</v>
      </c>
      <c r="F461" t="s">
        <v>16</v>
      </c>
      <c r="G461">
        <v>37.200000000000003</v>
      </c>
      <c r="I461">
        <f>IF(tbl_main[[#This Row],[Debit]]&lt;&gt;"",-tbl_main[[#This Row],[Debit]],tbl_main[[#This Row],[Credit]])</f>
        <v>-37.200000000000003</v>
      </c>
      <c r="J461">
        <f>YEAR(tbl_main[[#This Row],[Date]])</f>
        <v>2021</v>
      </c>
      <c r="K461" t="str">
        <f>TEXT(tbl_main[[#This Row],[Date]],"mmm")</f>
        <v>Oct</v>
      </c>
    </row>
    <row r="462" spans="1:11" x14ac:dyDescent="0.25">
      <c r="A462" t="s">
        <v>9</v>
      </c>
      <c r="B462" s="1">
        <v>44487</v>
      </c>
      <c r="C462" t="s">
        <v>37</v>
      </c>
      <c r="D462" t="s">
        <v>38</v>
      </c>
      <c r="E462" t="s">
        <v>30</v>
      </c>
      <c r="F462" t="s">
        <v>16</v>
      </c>
      <c r="G462">
        <v>30</v>
      </c>
      <c r="I462">
        <f>IF(tbl_main[[#This Row],[Debit]]&lt;&gt;"",-tbl_main[[#This Row],[Debit]],tbl_main[[#This Row],[Credit]])</f>
        <v>-30</v>
      </c>
      <c r="J462">
        <f>YEAR(tbl_main[[#This Row],[Date]])</f>
        <v>2021</v>
      </c>
      <c r="K462" t="str">
        <f>TEXT(tbl_main[[#This Row],[Date]],"mmm")</f>
        <v>Oct</v>
      </c>
    </row>
    <row r="463" spans="1:11" x14ac:dyDescent="0.25">
      <c r="A463" t="s">
        <v>4</v>
      </c>
      <c r="B463" s="1">
        <v>44487</v>
      </c>
      <c r="C463" t="s">
        <v>13</v>
      </c>
      <c r="D463" t="s">
        <v>14</v>
      </c>
      <c r="E463" t="s">
        <v>15</v>
      </c>
      <c r="F463" t="s">
        <v>16</v>
      </c>
      <c r="G463">
        <v>5</v>
      </c>
      <c r="I463">
        <f>IF(tbl_main[[#This Row],[Debit]]&lt;&gt;"",-tbl_main[[#This Row],[Debit]],tbl_main[[#This Row],[Credit]])</f>
        <v>-5</v>
      </c>
      <c r="J463">
        <f>YEAR(tbl_main[[#This Row],[Date]])</f>
        <v>2021</v>
      </c>
      <c r="K463" t="str">
        <f>TEXT(tbl_main[[#This Row],[Date]],"mmm")</f>
        <v>Oct</v>
      </c>
    </row>
    <row r="464" spans="1:11" x14ac:dyDescent="0.25">
      <c r="A464" t="s">
        <v>4</v>
      </c>
      <c r="B464" s="1">
        <v>44488</v>
      </c>
      <c r="C464" t="s">
        <v>13</v>
      </c>
      <c r="D464" t="s">
        <v>14</v>
      </c>
      <c r="E464" t="s">
        <v>15</v>
      </c>
      <c r="F464" t="s">
        <v>16</v>
      </c>
      <c r="G464">
        <v>5</v>
      </c>
      <c r="I464">
        <f>IF(tbl_main[[#This Row],[Debit]]&lt;&gt;"",-tbl_main[[#This Row],[Debit]],tbl_main[[#This Row],[Credit]])</f>
        <v>-5</v>
      </c>
      <c r="J464">
        <f>YEAR(tbl_main[[#This Row],[Date]])</f>
        <v>2021</v>
      </c>
      <c r="K464" t="str">
        <f>TEXT(tbl_main[[#This Row],[Date]],"mmm")</f>
        <v>Oct</v>
      </c>
    </row>
    <row r="465" spans="1:11" x14ac:dyDescent="0.25">
      <c r="A465" t="s">
        <v>9</v>
      </c>
      <c r="B465" s="1">
        <v>44488</v>
      </c>
      <c r="C465" t="s">
        <v>55</v>
      </c>
      <c r="D465" t="s">
        <v>40</v>
      </c>
      <c r="E465" t="s">
        <v>41</v>
      </c>
      <c r="F465" t="s">
        <v>16</v>
      </c>
      <c r="G465">
        <v>75</v>
      </c>
      <c r="I465">
        <f>IF(tbl_main[[#This Row],[Debit]]&lt;&gt;"",-tbl_main[[#This Row],[Debit]],tbl_main[[#This Row],[Credit]])</f>
        <v>-75</v>
      </c>
      <c r="J465">
        <f>YEAR(tbl_main[[#This Row],[Date]])</f>
        <v>2021</v>
      </c>
      <c r="K465" t="str">
        <f>TEXT(tbl_main[[#This Row],[Date]],"mmm")</f>
        <v>Oct</v>
      </c>
    </row>
    <row r="466" spans="1:11" x14ac:dyDescent="0.25">
      <c r="A466" t="s">
        <v>9</v>
      </c>
      <c r="B466" s="1">
        <v>44488</v>
      </c>
      <c r="C466" t="s">
        <v>42</v>
      </c>
      <c r="D466" t="s">
        <v>43</v>
      </c>
      <c r="E466" t="s">
        <v>19</v>
      </c>
      <c r="F466" t="s">
        <v>16</v>
      </c>
      <c r="G466">
        <v>40</v>
      </c>
      <c r="I466">
        <f>IF(tbl_main[[#This Row],[Debit]]&lt;&gt;"",-tbl_main[[#This Row],[Debit]],tbl_main[[#This Row],[Credit]])</f>
        <v>-40</v>
      </c>
      <c r="J466">
        <f>YEAR(tbl_main[[#This Row],[Date]])</f>
        <v>2021</v>
      </c>
      <c r="K466" t="str">
        <f>TEXT(tbl_main[[#This Row],[Date]],"mmm")</f>
        <v>Oct</v>
      </c>
    </row>
    <row r="467" spans="1:11" x14ac:dyDescent="0.25">
      <c r="A467" t="s">
        <v>4</v>
      </c>
      <c r="B467" s="1">
        <v>44489</v>
      </c>
      <c r="C467" t="s">
        <v>44</v>
      </c>
      <c r="D467" t="s">
        <v>45</v>
      </c>
      <c r="E467" t="s">
        <v>30</v>
      </c>
      <c r="F467" t="s">
        <v>16</v>
      </c>
      <c r="G467">
        <v>54.1</v>
      </c>
      <c r="I467">
        <f>IF(tbl_main[[#This Row],[Debit]]&lt;&gt;"",-tbl_main[[#This Row],[Debit]],tbl_main[[#This Row],[Credit]])</f>
        <v>-54.1</v>
      </c>
      <c r="J467">
        <f>YEAR(tbl_main[[#This Row],[Date]])</f>
        <v>2021</v>
      </c>
      <c r="K467" t="str">
        <f>TEXT(tbl_main[[#This Row],[Date]],"mmm")</f>
        <v>Oct</v>
      </c>
    </row>
    <row r="468" spans="1:11" x14ac:dyDescent="0.25">
      <c r="A468" t="s">
        <v>4</v>
      </c>
      <c r="B468" s="1">
        <v>44489</v>
      </c>
      <c r="C468" t="s">
        <v>46</v>
      </c>
      <c r="D468" t="s">
        <v>21</v>
      </c>
      <c r="E468" t="s">
        <v>30</v>
      </c>
      <c r="F468" t="s">
        <v>16</v>
      </c>
      <c r="G468">
        <v>35</v>
      </c>
      <c r="I468">
        <f>IF(tbl_main[[#This Row],[Debit]]&lt;&gt;"",-tbl_main[[#This Row],[Debit]],tbl_main[[#This Row],[Credit]])</f>
        <v>-35</v>
      </c>
      <c r="J468">
        <f>YEAR(tbl_main[[#This Row],[Date]])</f>
        <v>2021</v>
      </c>
      <c r="K468" t="str">
        <f>TEXT(tbl_main[[#This Row],[Date]],"mmm")</f>
        <v>Oct</v>
      </c>
    </row>
    <row r="469" spans="1:11" x14ac:dyDescent="0.25">
      <c r="A469" t="s">
        <v>4</v>
      </c>
      <c r="B469" s="1">
        <v>44489</v>
      </c>
      <c r="C469" t="s">
        <v>13</v>
      </c>
      <c r="D469" t="s">
        <v>14</v>
      </c>
      <c r="E469" t="s">
        <v>15</v>
      </c>
      <c r="F469" t="s">
        <v>16</v>
      </c>
      <c r="G469">
        <v>5</v>
      </c>
      <c r="I469">
        <f>IF(tbl_main[[#This Row],[Debit]]&lt;&gt;"",-tbl_main[[#This Row],[Debit]],tbl_main[[#This Row],[Credit]])</f>
        <v>-5</v>
      </c>
      <c r="J469">
        <f>YEAR(tbl_main[[#This Row],[Date]])</f>
        <v>2021</v>
      </c>
      <c r="K469" t="str">
        <f>TEXT(tbl_main[[#This Row],[Date]],"mmm")</f>
        <v>Oct</v>
      </c>
    </row>
    <row r="470" spans="1:11" x14ac:dyDescent="0.25">
      <c r="A470" t="s">
        <v>4</v>
      </c>
      <c r="B470" s="1">
        <v>44490</v>
      </c>
      <c r="C470" t="s">
        <v>13</v>
      </c>
      <c r="D470" t="s">
        <v>14</v>
      </c>
      <c r="E470" t="s">
        <v>15</v>
      </c>
      <c r="F470" t="s">
        <v>16</v>
      </c>
      <c r="G470">
        <v>5</v>
      </c>
      <c r="I470">
        <f>IF(tbl_main[[#This Row],[Debit]]&lt;&gt;"",-tbl_main[[#This Row],[Debit]],tbl_main[[#This Row],[Credit]])</f>
        <v>-5</v>
      </c>
      <c r="J470">
        <f>YEAR(tbl_main[[#This Row],[Date]])</f>
        <v>2021</v>
      </c>
      <c r="K470" t="str">
        <f>TEXT(tbl_main[[#This Row],[Date]],"mmm")</f>
        <v>Oct</v>
      </c>
    </row>
    <row r="471" spans="1:11" x14ac:dyDescent="0.25">
      <c r="A471" t="s">
        <v>4</v>
      </c>
      <c r="B471" s="1">
        <v>44491</v>
      </c>
      <c r="C471" t="s">
        <v>13</v>
      </c>
      <c r="D471" t="s">
        <v>14</v>
      </c>
      <c r="E471" t="s">
        <v>15</v>
      </c>
      <c r="F471" t="s">
        <v>16</v>
      </c>
      <c r="G471">
        <v>5</v>
      </c>
      <c r="I471">
        <f>IF(tbl_main[[#This Row],[Debit]]&lt;&gt;"",-tbl_main[[#This Row],[Debit]],tbl_main[[#This Row],[Credit]])</f>
        <v>-5</v>
      </c>
      <c r="J471">
        <f>YEAR(tbl_main[[#This Row],[Date]])</f>
        <v>2021</v>
      </c>
      <c r="K471" t="str">
        <f>TEXT(tbl_main[[#This Row],[Date]],"mmm")</f>
        <v>Oct</v>
      </c>
    </row>
    <row r="472" spans="1:11" x14ac:dyDescent="0.25">
      <c r="A472" t="s">
        <v>4</v>
      </c>
      <c r="B472" s="1">
        <v>44491</v>
      </c>
      <c r="C472" t="s">
        <v>23</v>
      </c>
      <c r="D472" t="s">
        <v>24</v>
      </c>
      <c r="E472" t="s">
        <v>19</v>
      </c>
      <c r="F472" t="s">
        <v>16</v>
      </c>
      <c r="G472">
        <v>178.9</v>
      </c>
      <c r="I472">
        <f>IF(tbl_main[[#This Row],[Debit]]&lt;&gt;"",-tbl_main[[#This Row],[Debit]],tbl_main[[#This Row],[Credit]])</f>
        <v>-178.9</v>
      </c>
      <c r="J472">
        <f>YEAR(tbl_main[[#This Row],[Date]])</f>
        <v>2021</v>
      </c>
      <c r="K472" t="str">
        <f>TEXT(tbl_main[[#This Row],[Date]],"mmm")</f>
        <v>Oct</v>
      </c>
    </row>
    <row r="473" spans="1:11" x14ac:dyDescent="0.25">
      <c r="A473" t="s">
        <v>4</v>
      </c>
      <c r="B473" s="1">
        <v>44492</v>
      </c>
      <c r="C473" t="s">
        <v>47</v>
      </c>
      <c r="D473" t="s">
        <v>34</v>
      </c>
      <c r="E473" t="s">
        <v>15</v>
      </c>
      <c r="F473" t="s">
        <v>16</v>
      </c>
      <c r="G473">
        <v>46.2</v>
      </c>
      <c r="I473">
        <f>IF(tbl_main[[#This Row],[Debit]]&lt;&gt;"",-tbl_main[[#This Row],[Debit]],tbl_main[[#This Row],[Credit]])</f>
        <v>-46.2</v>
      </c>
      <c r="J473">
        <f>YEAR(tbl_main[[#This Row],[Date]])</f>
        <v>2021</v>
      </c>
      <c r="K473" t="str">
        <f>TEXT(tbl_main[[#This Row],[Date]],"mmm")</f>
        <v>Oct</v>
      </c>
    </row>
    <row r="474" spans="1:11" x14ac:dyDescent="0.25">
      <c r="A474" t="s">
        <v>4</v>
      </c>
      <c r="B474" s="1">
        <v>44493</v>
      </c>
      <c r="C474" t="s">
        <v>48</v>
      </c>
      <c r="D474" t="s">
        <v>34</v>
      </c>
      <c r="E474" t="s">
        <v>15</v>
      </c>
      <c r="F474" t="s">
        <v>16</v>
      </c>
      <c r="G474">
        <v>21.099999999999998</v>
      </c>
      <c r="I474">
        <f>IF(tbl_main[[#This Row],[Debit]]&lt;&gt;"",-tbl_main[[#This Row],[Debit]],tbl_main[[#This Row],[Credit]])</f>
        <v>-21.099999999999998</v>
      </c>
      <c r="J474">
        <f>YEAR(tbl_main[[#This Row],[Date]])</f>
        <v>2021</v>
      </c>
      <c r="K474" t="str">
        <f>TEXT(tbl_main[[#This Row],[Date]],"mmm")</f>
        <v>Oct</v>
      </c>
    </row>
    <row r="475" spans="1:11" x14ac:dyDescent="0.25">
      <c r="A475" t="s">
        <v>9</v>
      </c>
      <c r="B475" s="1">
        <v>44494</v>
      </c>
      <c r="C475" t="s">
        <v>49</v>
      </c>
      <c r="D475" t="s">
        <v>50</v>
      </c>
      <c r="E475" t="s">
        <v>51</v>
      </c>
      <c r="F475" t="s">
        <v>16</v>
      </c>
      <c r="G475">
        <v>55</v>
      </c>
      <c r="I475">
        <f>IF(tbl_main[[#This Row],[Debit]]&lt;&gt;"",-tbl_main[[#This Row],[Debit]],tbl_main[[#This Row],[Credit]])</f>
        <v>-55</v>
      </c>
      <c r="J475">
        <f>YEAR(tbl_main[[#This Row],[Date]])</f>
        <v>2021</v>
      </c>
      <c r="K475" t="str">
        <f>TEXT(tbl_main[[#This Row],[Date]],"mmm")</f>
        <v>Oct</v>
      </c>
    </row>
    <row r="476" spans="1:11" x14ac:dyDescent="0.25">
      <c r="A476" t="s">
        <v>4</v>
      </c>
      <c r="B476" s="1">
        <v>44494</v>
      </c>
      <c r="C476" t="s">
        <v>27</v>
      </c>
      <c r="D476" t="s">
        <v>28</v>
      </c>
      <c r="E476" t="s">
        <v>22</v>
      </c>
      <c r="F476" t="s">
        <v>16</v>
      </c>
      <c r="G476">
        <v>71.500000000000028</v>
      </c>
      <c r="I476">
        <f>IF(tbl_main[[#This Row],[Debit]]&lt;&gt;"",-tbl_main[[#This Row],[Debit]],tbl_main[[#This Row],[Credit]])</f>
        <v>-71.500000000000028</v>
      </c>
      <c r="J476">
        <f>YEAR(tbl_main[[#This Row],[Date]])</f>
        <v>2021</v>
      </c>
      <c r="K476" t="str">
        <f>TEXT(tbl_main[[#This Row],[Date]],"mmm")</f>
        <v>Oct</v>
      </c>
    </row>
    <row r="477" spans="1:11" x14ac:dyDescent="0.25">
      <c r="A477" t="s">
        <v>4</v>
      </c>
      <c r="B477" s="1">
        <v>44494</v>
      </c>
      <c r="C477" t="s">
        <v>13</v>
      </c>
      <c r="D477" t="s">
        <v>14</v>
      </c>
      <c r="E477" t="s">
        <v>15</v>
      </c>
      <c r="F477" t="s">
        <v>16</v>
      </c>
      <c r="G477">
        <v>5</v>
      </c>
      <c r="I477">
        <f>IF(tbl_main[[#This Row],[Debit]]&lt;&gt;"",-tbl_main[[#This Row],[Debit]],tbl_main[[#This Row],[Credit]])</f>
        <v>-5</v>
      </c>
      <c r="J477">
        <f>YEAR(tbl_main[[#This Row],[Date]])</f>
        <v>2021</v>
      </c>
      <c r="K477" t="str">
        <f>TEXT(tbl_main[[#This Row],[Date]],"mmm")</f>
        <v>Oct</v>
      </c>
    </row>
    <row r="478" spans="1:11" x14ac:dyDescent="0.25">
      <c r="A478" t="s">
        <v>4</v>
      </c>
      <c r="B478" s="1">
        <v>44495</v>
      </c>
      <c r="C478" t="s">
        <v>13</v>
      </c>
      <c r="D478" t="s">
        <v>14</v>
      </c>
      <c r="E478" t="s">
        <v>15</v>
      </c>
      <c r="F478" t="s">
        <v>16</v>
      </c>
      <c r="G478">
        <v>5</v>
      </c>
      <c r="I478">
        <f>IF(tbl_main[[#This Row],[Debit]]&lt;&gt;"",-tbl_main[[#This Row],[Debit]],tbl_main[[#This Row],[Credit]])</f>
        <v>-5</v>
      </c>
      <c r="J478">
        <f>YEAR(tbl_main[[#This Row],[Date]])</f>
        <v>2021</v>
      </c>
      <c r="K478" t="str">
        <f>TEXT(tbl_main[[#This Row],[Date]],"mmm")</f>
        <v>Oct</v>
      </c>
    </row>
    <row r="479" spans="1:11" x14ac:dyDescent="0.25">
      <c r="A479" t="s">
        <v>4</v>
      </c>
      <c r="B479" s="1">
        <v>44496</v>
      </c>
      <c r="C479" t="s">
        <v>13</v>
      </c>
      <c r="D479" t="s">
        <v>14</v>
      </c>
      <c r="E479" t="s">
        <v>15</v>
      </c>
      <c r="F479" t="s">
        <v>16</v>
      </c>
      <c r="G479">
        <v>5</v>
      </c>
      <c r="I479">
        <f>IF(tbl_main[[#This Row],[Debit]]&lt;&gt;"",-tbl_main[[#This Row],[Debit]],tbl_main[[#This Row],[Credit]])</f>
        <v>-5</v>
      </c>
      <c r="J479">
        <f>YEAR(tbl_main[[#This Row],[Date]])</f>
        <v>2021</v>
      </c>
      <c r="K479" t="str">
        <f>TEXT(tbl_main[[#This Row],[Date]],"mmm")</f>
        <v>Oct</v>
      </c>
    </row>
    <row r="480" spans="1:11" x14ac:dyDescent="0.25">
      <c r="A480" t="s">
        <v>4</v>
      </c>
      <c r="B480" s="1">
        <v>44497</v>
      </c>
      <c r="C480" t="s">
        <v>13</v>
      </c>
      <c r="D480" t="s">
        <v>14</v>
      </c>
      <c r="E480" t="s">
        <v>15</v>
      </c>
      <c r="F480" t="s">
        <v>16</v>
      </c>
      <c r="G480">
        <v>5</v>
      </c>
      <c r="I480">
        <f>IF(tbl_main[[#This Row],[Debit]]&lt;&gt;"",-tbl_main[[#This Row],[Debit]],tbl_main[[#This Row],[Credit]])</f>
        <v>-5</v>
      </c>
      <c r="J480">
        <f>YEAR(tbl_main[[#This Row],[Date]])</f>
        <v>2021</v>
      </c>
      <c r="K480" t="str">
        <f>TEXT(tbl_main[[#This Row],[Date]],"mmm")</f>
        <v>Oct</v>
      </c>
    </row>
    <row r="481" spans="1:11" x14ac:dyDescent="0.25">
      <c r="A481" t="s">
        <v>4</v>
      </c>
      <c r="B481" s="1">
        <v>44498</v>
      </c>
      <c r="C481" t="s">
        <v>13</v>
      </c>
      <c r="D481" t="s">
        <v>14</v>
      </c>
      <c r="E481" t="s">
        <v>15</v>
      </c>
      <c r="F481" t="s">
        <v>16</v>
      </c>
      <c r="G481">
        <v>5</v>
      </c>
      <c r="I481">
        <f>IF(tbl_main[[#This Row],[Debit]]&lt;&gt;"",-tbl_main[[#This Row],[Debit]],tbl_main[[#This Row],[Credit]])</f>
        <v>-5</v>
      </c>
      <c r="J481">
        <f>YEAR(tbl_main[[#This Row],[Date]])</f>
        <v>2021</v>
      </c>
      <c r="K481" t="str">
        <f>TEXT(tbl_main[[#This Row],[Date]],"mmm")</f>
        <v>Oct</v>
      </c>
    </row>
    <row r="482" spans="1:11" x14ac:dyDescent="0.25">
      <c r="A482" t="s">
        <v>4</v>
      </c>
      <c r="B482" s="1">
        <v>44498</v>
      </c>
      <c r="C482" t="s">
        <v>23</v>
      </c>
      <c r="D482" t="s">
        <v>24</v>
      </c>
      <c r="E482" t="s">
        <v>19</v>
      </c>
      <c r="F482" t="s">
        <v>16</v>
      </c>
      <c r="G482">
        <v>189</v>
      </c>
      <c r="I482">
        <f>IF(tbl_main[[#This Row],[Debit]]&lt;&gt;"",-tbl_main[[#This Row],[Debit]],tbl_main[[#This Row],[Credit]])</f>
        <v>-189</v>
      </c>
      <c r="J482">
        <f>YEAR(tbl_main[[#This Row],[Date]])</f>
        <v>2021</v>
      </c>
      <c r="K482" t="str">
        <f>TEXT(tbl_main[[#This Row],[Date]],"mmm")</f>
        <v>Oct</v>
      </c>
    </row>
    <row r="483" spans="1:11" x14ac:dyDescent="0.25">
      <c r="A483" t="s">
        <v>4</v>
      </c>
      <c r="B483" s="1">
        <v>44499</v>
      </c>
      <c r="C483" t="s">
        <v>52</v>
      </c>
      <c r="D483" t="s">
        <v>32</v>
      </c>
      <c r="E483" t="s">
        <v>30</v>
      </c>
      <c r="F483" t="s">
        <v>16</v>
      </c>
      <c r="G483">
        <v>133.80000000000001</v>
      </c>
      <c r="I483">
        <f>IF(tbl_main[[#This Row],[Debit]]&lt;&gt;"",-tbl_main[[#This Row],[Debit]],tbl_main[[#This Row],[Credit]])</f>
        <v>-133.80000000000001</v>
      </c>
      <c r="J483">
        <f>YEAR(tbl_main[[#This Row],[Date]])</f>
        <v>2021</v>
      </c>
      <c r="K483" t="str">
        <f>TEXT(tbl_main[[#This Row],[Date]],"mmm")</f>
        <v>Oct</v>
      </c>
    </row>
    <row r="484" spans="1:11" x14ac:dyDescent="0.25">
      <c r="A484" t="s">
        <v>4</v>
      </c>
      <c r="B484" s="1">
        <v>44499</v>
      </c>
      <c r="C484" t="s">
        <v>53</v>
      </c>
      <c r="D484" t="s">
        <v>21</v>
      </c>
      <c r="E484" t="s">
        <v>30</v>
      </c>
      <c r="F484" t="s">
        <v>16</v>
      </c>
      <c r="G484">
        <v>184.39999999999998</v>
      </c>
      <c r="I484">
        <f>IF(tbl_main[[#This Row],[Debit]]&lt;&gt;"",-tbl_main[[#This Row],[Debit]],tbl_main[[#This Row],[Credit]])</f>
        <v>-184.39999999999998</v>
      </c>
      <c r="J484">
        <f>YEAR(tbl_main[[#This Row],[Date]])</f>
        <v>2021</v>
      </c>
      <c r="K484" t="str">
        <f>TEXT(tbl_main[[#This Row],[Date]],"mmm")</f>
        <v>Oct</v>
      </c>
    </row>
    <row r="485" spans="1:11" x14ac:dyDescent="0.25">
      <c r="A485" t="s">
        <v>4</v>
      </c>
      <c r="B485" s="1">
        <v>44500</v>
      </c>
      <c r="C485" t="s">
        <v>31</v>
      </c>
      <c r="D485" t="s">
        <v>32</v>
      </c>
      <c r="E485" t="s">
        <v>30</v>
      </c>
      <c r="F485" t="s">
        <v>16</v>
      </c>
      <c r="G485">
        <v>154.49999999999997</v>
      </c>
      <c r="I485">
        <f>IF(tbl_main[[#This Row],[Debit]]&lt;&gt;"",-tbl_main[[#This Row],[Debit]],tbl_main[[#This Row],[Credit]])</f>
        <v>-154.49999999999997</v>
      </c>
      <c r="J485">
        <f>YEAR(tbl_main[[#This Row],[Date]])</f>
        <v>2021</v>
      </c>
      <c r="K485" t="str">
        <f>TEXT(tbl_main[[#This Row],[Date]],"mmm")</f>
        <v>Oct</v>
      </c>
    </row>
    <row r="486" spans="1:11" x14ac:dyDescent="0.25">
      <c r="A486" t="s">
        <v>4</v>
      </c>
      <c r="B486" s="1">
        <v>44500</v>
      </c>
      <c r="C486" t="s">
        <v>35</v>
      </c>
      <c r="D486" t="s">
        <v>36</v>
      </c>
      <c r="E486" t="s">
        <v>22</v>
      </c>
      <c r="F486" t="s">
        <v>16</v>
      </c>
      <c r="G486">
        <v>32.1</v>
      </c>
      <c r="I486">
        <f>IF(tbl_main[[#This Row],[Debit]]&lt;&gt;"",-tbl_main[[#This Row],[Debit]],tbl_main[[#This Row],[Credit]])</f>
        <v>-32.1</v>
      </c>
      <c r="J486">
        <f>YEAR(tbl_main[[#This Row],[Date]])</f>
        <v>2021</v>
      </c>
      <c r="K486" t="str">
        <f>TEXT(tbl_main[[#This Row],[Date]],"mmm")</f>
        <v>Oct</v>
      </c>
    </row>
    <row r="487" spans="1:11" x14ac:dyDescent="0.25">
      <c r="A487" t="s">
        <v>4</v>
      </c>
      <c r="B487" s="1">
        <v>44500</v>
      </c>
      <c r="C487" t="s">
        <v>57</v>
      </c>
      <c r="D487" t="s">
        <v>34</v>
      </c>
      <c r="E487" t="s">
        <v>15</v>
      </c>
      <c r="F487" t="s">
        <v>16</v>
      </c>
      <c r="G487">
        <v>15</v>
      </c>
      <c r="I487">
        <f>IF(tbl_main[[#This Row],[Debit]]&lt;&gt;"",-tbl_main[[#This Row],[Debit]],tbl_main[[#This Row],[Credit]])</f>
        <v>-15</v>
      </c>
      <c r="J487">
        <f>YEAR(tbl_main[[#This Row],[Date]])</f>
        <v>2021</v>
      </c>
      <c r="K487" t="str">
        <f>TEXT(tbl_main[[#This Row],[Date]],"mmm")</f>
        <v>Oct</v>
      </c>
    </row>
    <row r="488" spans="1:11" x14ac:dyDescent="0.25">
      <c r="A488" t="s">
        <v>4</v>
      </c>
      <c r="B488" s="1">
        <v>44501</v>
      </c>
      <c r="C488" t="s">
        <v>13</v>
      </c>
      <c r="D488" t="s">
        <v>14</v>
      </c>
      <c r="E488" t="s">
        <v>15</v>
      </c>
      <c r="F488" t="s">
        <v>16</v>
      </c>
      <c r="G488">
        <v>5</v>
      </c>
      <c r="I488">
        <f>IF(tbl_main[[#This Row],[Debit]]&lt;&gt;"",-tbl_main[[#This Row],[Debit]],tbl_main[[#This Row],[Credit]])</f>
        <v>-5</v>
      </c>
      <c r="J488">
        <f>YEAR(tbl_main[[#This Row],[Date]])</f>
        <v>2021</v>
      </c>
      <c r="K488" t="str">
        <f>TEXT(tbl_main[[#This Row],[Date]],"mmm")</f>
        <v>Nov</v>
      </c>
    </row>
    <row r="489" spans="1:11" x14ac:dyDescent="0.25">
      <c r="A489" t="s">
        <v>4</v>
      </c>
      <c r="B489" s="1">
        <v>44503</v>
      </c>
      <c r="C489" t="s">
        <v>13</v>
      </c>
      <c r="D489" t="s">
        <v>14</v>
      </c>
      <c r="E489" t="s">
        <v>15</v>
      </c>
      <c r="F489" t="s">
        <v>16</v>
      </c>
      <c r="G489">
        <v>5</v>
      </c>
      <c r="I489">
        <f>IF(tbl_main[[#This Row],[Debit]]&lt;&gt;"",-tbl_main[[#This Row],[Debit]],tbl_main[[#This Row],[Credit]])</f>
        <v>-5</v>
      </c>
      <c r="J489">
        <f>YEAR(tbl_main[[#This Row],[Date]])</f>
        <v>2021</v>
      </c>
      <c r="K489" t="str">
        <f>TEXT(tbl_main[[#This Row],[Date]],"mmm")</f>
        <v>Nov</v>
      </c>
    </row>
    <row r="490" spans="1:11" x14ac:dyDescent="0.25">
      <c r="A490" t="s">
        <v>9</v>
      </c>
      <c r="B490" s="1">
        <v>44503</v>
      </c>
      <c r="C490" t="s">
        <v>10</v>
      </c>
      <c r="D490" t="s">
        <v>11</v>
      </c>
      <c r="E490" t="s">
        <v>11</v>
      </c>
      <c r="F490" t="s">
        <v>12</v>
      </c>
      <c r="H490">
        <v>4000</v>
      </c>
      <c r="I490">
        <f>IF(tbl_main[[#This Row],[Debit]]&lt;&gt;"",-tbl_main[[#This Row],[Debit]],tbl_main[[#This Row],[Credit]])</f>
        <v>4000</v>
      </c>
      <c r="J490">
        <f>YEAR(tbl_main[[#This Row],[Date]])</f>
        <v>2021</v>
      </c>
      <c r="K490" t="str">
        <f>TEXT(tbl_main[[#This Row],[Date]],"mmm")</f>
        <v>Nov</v>
      </c>
    </row>
    <row r="491" spans="1:11" x14ac:dyDescent="0.25">
      <c r="A491" t="s">
        <v>4</v>
      </c>
      <c r="B491" s="1">
        <v>44504</v>
      </c>
      <c r="C491" t="s">
        <v>13</v>
      </c>
      <c r="D491" t="s">
        <v>14</v>
      </c>
      <c r="E491" t="s">
        <v>15</v>
      </c>
      <c r="F491" t="s">
        <v>16</v>
      </c>
      <c r="G491">
        <v>5</v>
      </c>
      <c r="I491">
        <f>IF(tbl_main[[#This Row],[Debit]]&lt;&gt;"",-tbl_main[[#This Row],[Debit]],tbl_main[[#This Row],[Credit]])</f>
        <v>-5</v>
      </c>
      <c r="J491">
        <f>YEAR(tbl_main[[#This Row],[Date]])</f>
        <v>2021</v>
      </c>
      <c r="K491" t="str">
        <f>TEXT(tbl_main[[#This Row],[Date]],"mmm")</f>
        <v>Nov</v>
      </c>
    </row>
    <row r="492" spans="1:11" x14ac:dyDescent="0.25">
      <c r="A492" t="s">
        <v>9</v>
      </c>
      <c r="B492" s="1">
        <v>44506</v>
      </c>
      <c r="C492" t="s">
        <v>17</v>
      </c>
      <c r="D492" t="s">
        <v>18</v>
      </c>
      <c r="E492" t="s">
        <v>19</v>
      </c>
      <c r="F492" t="s">
        <v>16</v>
      </c>
      <c r="G492">
        <v>927</v>
      </c>
      <c r="I492">
        <f>IF(tbl_main[[#This Row],[Debit]]&lt;&gt;"",-tbl_main[[#This Row],[Debit]],tbl_main[[#This Row],[Credit]])</f>
        <v>-927</v>
      </c>
      <c r="J492">
        <f>YEAR(tbl_main[[#This Row],[Date]])</f>
        <v>2021</v>
      </c>
      <c r="K492" t="str">
        <f>TEXT(tbl_main[[#This Row],[Date]],"mmm")</f>
        <v>Nov</v>
      </c>
    </row>
    <row r="493" spans="1:11" x14ac:dyDescent="0.25">
      <c r="A493" t="s">
        <v>9</v>
      </c>
      <c r="B493" s="1">
        <v>44506</v>
      </c>
      <c r="C493" t="s">
        <v>20</v>
      </c>
      <c r="D493" t="s">
        <v>21</v>
      </c>
      <c r="E493" t="s">
        <v>22</v>
      </c>
      <c r="F493" t="s">
        <v>16</v>
      </c>
      <c r="G493">
        <v>150</v>
      </c>
      <c r="I493">
        <f>IF(tbl_main[[#This Row],[Debit]]&lt;&gt;"",-tbl_main[[#This Row],[Debit]],tbl_main[[#This Row],[Credit]])</f>
        <v>-150</v>
      </c>
      <c r="J493">
        <f>YEAR(tbl_main[[#This Row],[Date]])</f>
        <v>2021</v>
      </c>
      <c r="K493" t="str">
        <f>TEXT(tbl_main[[#This Row],[Date]],"mmm")</f>
        <v>Nov</v>
      </c>
    </row>
    <row r="494" spans="1:11" x14ac:dyDescent="0.25">
      <c r="A494" t="s">
        <v>4</v>
      </c>
      <c r="B494" s="1">
        <v>44506</v>
      </c>
      <c r="C494" t="s">
        <v>13</v>
      </c>
      <c r="D494" t="s">
        <v>14</v>
      </c>
      <c r="E494" t="s">
        <v>15</v>
      </c>
      <c r="F494" t="s">
        <v>16</v>
      </c>
      <c r="G494">
        <v>5</v>
      </c>
      <c r="I494">
        <f>IF(tbl_main[[#This Row],[Debit]]&lt;&gt;"",-tbl_main[[#This Row],[Debit]],tbl_main[[#This Row],[Credit]])</f>
        <v>-5</v>
      </c>
      <c r="J494">
        <f>YEAR(tbl_main[[#This Row],[Date]])</f>
        <v>2021</v>
      </c>
      <c r="K494" t="str">
        <f>TEXT(tbl_main[[#This Row],[Date]],"mmm")</f>
        <v>Nov</v>
      </c>
    </row>
    <row r="495" spans="1:11" x14ac:dyDescent="0.25">
      <c r="A495" t="s">
        <v>4</v>
      </c>
      <c r="B495" s="1">
        <v>44506</v>
      </c>
      <c r="C495" t="s">
        <v>13</v>
      </c>
      <c r="D495" t="s">
        <v>14</v>
      </c>
      <c r="E495" t="s">
        <v>15</v>
      </c>
      <c r="F495" t="s">
        <v>16</v>
      </c>
      <c r="G495">
        <v>5</v>
      </c>
      <c r="I495">
        <f>IF(tbl_main[[#This Row],[Debit]]&lt;&gt;"",-tbl_main[[#This Row],[Debit]],tbl_main[[#This Row],[Credit]])</f>
        <v>-5</v>
      </c>
      <c r="J495">
        <f>YEAR(tbl_main[[#This Row],[Date]])</f>
        <v>2021</v>
      </c>
      <c r="K495" t="str">
        <f>TEXT(tbl_main[[#This Row],[Date]],"mmm")</f>
        <v>Nov</v>
      </c>
    </row>
    <row r="496" spans="1:11" x14ac:dyDescent="0.25">
      <c r="A496" t="s">
        <v>4</v>
      </c>
      <c r="B496" s="1">
        <v>44507</v>
      </c>
      <c r="C496" t="s">
        <v>13</v>
      </c>
      <c r="D496" t="s">
        <v>14</v>
      </c>
      <c r="E496" t="s">
        <v>15</v>
      </c>
      <c r="F496" t="s">
        <v>16</v>
      </c>
      <c r="G496">
        <v>5</v>
      </c>
      <c r="I496">
        <f>IF(tbl_main[[#This Row],[Debit]]&lt;&gt;"",-tbl_main[[#This Row],[Debit]],tbl_main[[#This Row],[Credit]])</f>
        <v>-5</v>
      </c>
      <c r="J496">
        <f>YEAR(tbl_main[[#This Row],[Date]])</f>
        <v>2021</v>
      </c>
      <c r="K496" t="str">
        <f>TEXT(tbl_main[[#This Row],[Date]],"mmm")</f>
        <v>Nov</v>
      </c>
    </row>
    <row r="497" spans="1:11" x14ac:dyDescent="0.25">
      <c r="A497" t="s">
        <v>4</v>
      </c>
      <c r="B497" s="1">
        <v>44508</v>
      </c>
      <c r="C497" t="s">
        <v>13</v>
      </c>
      <c r="D497" t="s">
        <v>14</v>
      </c>
      <c r="E497" t="s">
        <v>15</v>
      </c>
      <c r="F497" t="s">
        <v>16</v>
      </c>
      <c r="G497">
        <v>5</v>
      </c>
      <c r="I497">
        <f>IF(tbl_main[[#This Row],[Debit]]&lt;&gt;"",-tbl_main[[#This Row],[Debit]],tbl_main[[#This Row],[Credit]])</f>
        <v>-5</v>
      </c>
      <c r="J497">
        <f>YEAR(tbl_main[[#This Row],[Date]])</f>
        <v>2021</v>
      </c>
      <c r="K497" t="str">
        <f>TEXT(tbl_main[[#This Row],[Date]],"mmm")</f>
        <v>Nov</v>
      </c>
    </row>
    <row r="498" spans="1:11" x14ac:dyDescent="0.25">
      <c r="A498" t="s">
        <v>4</v>
      </c>
      <c r="B498" s="1">
        <v>44508</v>
      </c>
      <c r="C498" t="s">
        <v>23</v>
      </c>
      <c r="D498" t="s">
        <v>24</v>
      </c>
      <c r="E498" t="s">
        <v>19</v>
      </c>
      <c r="F498" t="s">
        <v>16</v>
      </c>
      <c r="G498">
        <v>160</v>
      </c>
      <c r="I498">
        <f>IF(tbl_main[[#This Row],[Debit]]&lt;&gt;"",-tbl_main[[#This Row],[Debit]],tbl_main[[#This Row],[Credit]])</f>
        <v>-160</v>
      </c>
      <c r="J498">
        <f>YEAR(tbl_main[[#This Row],[Date]])</f>
        <v>2021</v>
      </c>
      <c r="K498" t="str">
        <f>TEXT(tbl_main[[#This Row],[Date]],"mmm")</f>
        <v>Nov</v>
      </c>
    </row>
    <row r="499" spans="1:11" x14ac:dyDescent="0.25">
      <c r="A499" t="s">
        <v>9</v>
      </c>
      <c r="B499" s="1">
        <v>44511</v>
      </c>
      <c r="C499" t="s">
        <v>25</v>
      </c>
      <c r="D499" t="s">
        <v>26</v>
      </c>
      <c r="E499" t="s">
        <v>19</v>
      </c>
      <c r="F499" t="s">
        <v>16</v>
      </c>
      <c r="G499">
        <v>49</v>
      </c>
      <c r="I499">
        <f>IF(tbl_main[[#This Row],[Debit]]&lt;&gt;"",-tbl_main[[#This Row],[Debit]],tbl_main[[#This Row],[Credit]])</f>
        <v>-49</v>
      </c>
      <c r="J499">
        <f>YEAR(tbl_main[[#This Row],[Date]])</f>
        <v>2021</v>
      </c>
      <c r="K499" t="str">
        <f>TEXT(tbl_main[[#This Row],[Date]],"mmm")</f>
        <v>Nov</v>
      </c>
    </row>
    <row r="500" spans="1:11" x14ac:dyDescent="0.25">
      <c r="A500" t="s">
        <v>4</v>
      </c>
      <c r="B500" s="1">
        <v>44511</v>
      </c>
      <c r="C500" t="s">
        <v>13</v>
      </c>
      <c r="D500" t="s">
        <v>14</v>
      </c>
      <c r="E500" t="s">
        <v>15</v>
      </c>
      <c r="F500" t="s">
        <v>16</v>
      </c>
      <c r="G500">
        <v>5</v>
      </c>
      <c r="I500">
        <f>IF(tbl_main[[#This Row],[Debit]]&lt;&gt;"",-tbl_main[[#This Row],[Debit]],tbl_main[[#This Row],[Credit]])</f>
        <v>-5</v>
      </c>
      <c r="J500">
        <f>YEAR(tbl_main[[#This Row],[Date]])</f>
        <v>2021</v>
      </c>
      <c r="K500" t="str">
        <f>TEXT(tbl_main[[#This Row],[Date]],"mmm")</f>
        <v>Nov</v>
      </c>
    </row>
    <row r="501" spans="1:11" x14ac:dyDescent="0.25">
      <c r="A501" t="s">
        <v>4</v>
      </c>
      <c r="B501" s="1">
        <v>44512</v>
      </c>
      <c r="C501" t="s">
        <v>13</v>
      </c>
      <c r="D501" t="s">
        <v>14</v>
      </c>
      <c r="E501" t="s">
        <v>15</v>
      </c>
      <c r="F501" t="s">
        <v>16</v>
      </c>
      <c r="G501">
        <v>5</v>
      </c>
      <c r="I501">
        <f>IF(tbl_main[[#This Row],[Debit]]&lt;&gt;"",-tbl_main[[#This Row],[Debit]],tbl_main[[#This Row],[Credit]])</f>
        <v>-5</v>
      </c>
      <c r="J501">
        <f>YEAR(tbl_main[[#This Row],[Date]])</f>
        <v>2021</v>
      </c>
      <c r="K501" t="str">
        <f>TEXT(tbl_main[[#This Row],[Date]],"mmm")</f>
        <v>Nov</v>
      </c>
    </row>
    <row r="502" spans="1:11" x14ac:dyDescent="0.25">
      <c r="A502" t="s">
        <v>4</v>
      </c>
      <c r="B502" s="1">
        <v>44513</v>
      </c>
      <c r="C502" t="s">
        <v>27</v>
      </c>
      <c r="D502" t="s">
        <v>28</v>
      </c>
      <c r="E502" t="s">
        <v>22</v>
      </c>
      <c r="F502" t="s">
        <v>16</v>
      </c>
      <c r="G502">
        <v>94</v>
      </c>
      <c r="I502">
        <f>IF(tbl_main[[#This Row],[Debit]]&lt;&gt;"",-tbl_main[[#This Row],[Debit]],tbl_main[[#This Row],[Credit]])</f>
        <v>-94</v>
      </c>
      <c r="J502">
        <f>YEAR(tbl_main[[#This Row],[Date]])</f>
        <v>2021</v>
      </c>
      <c r="K502" t="str">
        <f>TEXT(tbl_main[[#This Row],[Date]],"mmm")</f>
        <v>Nov</v>
      </c>
    </row>
    <row r="503" spans="1:11" x14ac:dyDescent="0.25">
      <c r="A503" t="s">
        <v>4</v>
      </c>
      <c r="B503" s="1">
        <v>44513</v>
      </c>
      <c r="C503" t="s">
        <v>13</v>
      </c>
      <c r="D503" t="s">
        <v>14</v>
      </c>
      <c r="E503" t="s">
        <v>15</v>
      </c>
      <c r="F503" t="s">
        <v>16</v>
      </c>
      <c r="G503">
        <v>5</v>
      </c>
      <c r="I503">
        <f>IF(tbl_main[[#This Row],[Debit]]&lt;&gt;"",-tbl_main[[#This Row],[Debit]],tbl_main[[#This Row],[Credit]])</f>
        <v>-5</v>
      </c>
      <c r="J503">
        <f>YEAR(tbl_main[[#This Row],[Date]])</f>
        <v>2021</v>
      </c>
      <c r="K503" t="str">
        <f>TEXT(tbl_main[[#This Row],[Date]],"mmm")</f>
        <v>Nov</v>
      </c>
    </row>
    <row r="504" spans="1:11" x14ac:dyDescent="0.25">
      <c r="A504" t="s">
        <v>4</v>
      </c>
      <c r="B504" s="1">
        <v>44514</v>
      </c>
      <c r="C504" t="s">
        <v>13</v>
      </c>
      <c r="D504" t="s">
        <v>14</v>
      </c>
      <c r="E504" t="s">
        <v>15</v>
      </c>
      <c r="F504" t="s">
        <v>16</v>
      </c>
      <c r="G504">
        <v>5</v>
      </c>
      <c r="I504">
        <f>IF(tbl_main[[#This Row],[Debit]]&lt;&gt;"",-tbl_main[[#This Row],[Debit]],tbl_main[[#This Row],[Credit]])</f>
        <v>-5</v>
      </c>
      <c r="J504">
        <f>YEAR(tbl_main[[#This Row],[Date]])</f>
        <v>2021</v>
      </c>
      <c r="K504" t="str">
        <f>TEXT(tbl_main[[#This Row],[Date]],"mmm")</f>
        <v>Nov</v>
      </c>
    </row>
    <row r="505" spans="1:11" x14ac:dyDescent="0.25">
      <c r="A505" t="s">
        <v>4</v>
      </c>
      <c r="B505" s="1">
        <v>44515</v>
      </c>
      <c r="C505" t="s">
        <v>23</v>
      </c>
      <c r="D505" t="s">
        <v>24</v>
      </c>
      <c r="E505" t="s">
        <v>19</v>
      </c>
      <c r="F505" t="s">
        <v>16</v>
      </c>
      <c r="G505">
        <v>133</v>
      </c>
      <c r="I505">
        <f>IF(tbl_main[[#This Row],[Debit]]&lt;&gt;"",-tbl_main[[#This Row],[Debit]],tbl_main[[#This Row],[Credit]])</f>
        <v>-133</v>
      </c>
      <c r="J505">
        <f>YEAR(tbl_main[[#This Row],[Date]])</f>
        <v>2021</v>
      </c>
      <c r="K505" t="str">
        <f>TEXT(tbl_main[[#This Row],[Date]],"mmm")</f>
        <v>Nov</v>
      </c>
    </row>
    <row r="506" spans="1:11" x14ac:dyDescent="0.25">
      <c r="A506" t="s">
        <v>4</v>
      </c>
      <c r="B506" s="1">
        <v>44515</v>
      </c>
      <c r="C506" t="s">
        <v>13</v>
      </c>
      <c r="D506" t="s">
        <v>14</v>
      </c>
      <c r="E506" t="s">
        <v>15</v>
      </c>
      <c r="F506" t="s">
        <v>16</v>
      </c>
      <c r="G506">
        <v>5</v>
      </c>
      <c r="I506">
        <f>IF(tbl_main[[#This Row],[Debit]]&lt;&gt;"",-tbl_main[[#This Row],[Debit]],tbl_main[[#This Row],[Credit]])</f>
        <v>-5</v>
      </c>
      <c r="J506">
        <f>YEAR(tbl_main[[#This Row],[Date]])</f>
        <v>2021</v>
      </c>
      <c r="K506" t="str">
        <f>TEXT(tbl_main[[#This Row],[Date]],"mmm")</f>
        <v>Nov</v>
      </c>
    </row>
    <row r="507" spans="1:11" x14ac:dyDescent="0.25">
      <c r="A507" t="s">
        <v>4</v>
      </c>
      <c r="B507" s="1">
        <v>44516</v>
      </c>
      <c r="C507" t="s">
        <v>13</v>
      </c>
      <c r="D507" t="s">
        <v>14</v>
      </c>
      <c r="E507" t="s">
        <v>15</v>
      </c>
      <c r="F507" t="s">
        <v>16</v>
      </c>
      <c r="G507">
        <v>5</v>
      </c>
      <c r="I507">
        <f>IF(tbl_main[[#This Row],[Debit]]&lt;&gt;"",-tbl_main[[#This Row],[Debit]],tbl_main[[#This Row],[Credit]])</f>
        <v>-5</v>
      </c>
      <c r="J507">
        <f>YEAR(tbl_main[[#This Row],[Date]])</f>
        <v>2021</v>
      </c>
      <c r="K507" t="str">
        <f>TEXT(tbl_main[[#This Row],[Date]],"mmm")</f>
        <v>Nov</v>
      </c>
    </row>
    <row r="508" spans="1:11" x14ac:dyDescent="0.25">
      <c r="A508" t="s">
        <v>4</v>
      </c>
      <c r="B508" s="1">
        <v>44516</v>
      </c>
      <c r="C508" t="s">
        <v>29</v>
      </c>
      <c r="D508" t="s">
        <v>21</v>
      </c>
      <c r="E508" t="s">
        <v>30</v>
      </c>
      <c r="F508" t="s">
        <v>16</v>
      </c>
      <c r="G508">
        <v>36</v>
      </c>
      <c r="I508">
        <f>IF(tbl_main[[#This Row],[Debit]]&lt;&gt;"",-tbl_main[[#This Row],[Debit]],tbl_main[[#This Row],[Credit]])</f>
        <v>-36</v>
      </c>
      <c r="J508">
        <f>YEAR(tbl_main[[#This Row],[Date]])</f>
        <v>2021</v>
      </c>
      <c r="K508" t="str">
        <f>TEXT(tbl_main[[#This Row],[Date]],"mmm")</f>
        <v>Nov</v>
      </c>
    </row>
    <row r="509" spans="1:11" x14ac:dyDescent="0.25">
      <c r="A509" t="s">
        <v>4</v>
      </c>
      <c r="B509" s="1">
        <v>44516</v>
      </c>
      <c r="C509" t="s">
        <v>31</v>
      </c>
      <c r="D509" t="s">
        <v>32</v>
      </c>
      <c r="E509" t="s">
        <v>30</v>
      </c>
      <c r="F509" t="s">
        <v>16</v>
      </c>
      <c r="G509">
        <v>74</v>
      </c>
      <c r="I509">
        <f>IF(tbl_main[[#This Row],[Debit]]&lt;&gt;"",-tbl_main[[#This Row],[Debit]],tbl_main[[#This Row],[Credit]])</f>
        <v>-74</v>
      </c>
      <c r="J509">
        <f>YEAR(tbl_main[[#This Row],[Date]])</f>
        <v>2021</v>
      </c>
      <c r="K509" t="str">
        <f>TEXT(tbl_main[[#This Row],[Date]],"mmm")</f>
        <v>Nov</v>
      </c>
    </row>
    <row r="510" spans="1:11" x14ac:dyDescent="0.25">
      <c r="A510" t="s">
        <v>4</v>
      </c>
      <c r="B510" s="1">
        <v>44516</v>
      </c>
      <c r="C510" t="s">
        <v>33</v>
      </c>
      <c r="D510" t="s">
        <v>34</v>
      </c>
      <c r="E510" t="s">
        <v>15</v>
      </c>
      <c r="F510" t="s">
        <v>16</v>
      </c>
      <c r="G510">
        <v>72</v>
      </c>
      <c r="I510">
        <f>IF(tbl_main[[#This Row],[Debit]]&lt;&gt;"",-tbl_main[[#This Row],[Debit]],tbl_main[[#This Row],[Credit]])</f>
        <v>-72</v>
      </c>
      <c r="J510">
        <f>YEAR(tbl_main[[#This Row],[Date]])</f>
        <v>2021</v>
      </c>
      <c r="K510" t="str">
        <f>TEXT(tbl_main[[#This Row],[Date]],"mmm")</f>
        <v>Nov</v>
      </c>
    </row>
    <row r="511" spans="1:11" x14ac:dyDescent="0.25">
      <c r="A511" t="s">
        <v>4</v>
      </c>
      <c r="B511" s="1">
        <v>44517</v>
      </c>
      <c r="C511" t="s">
        <v>35</v>
      </c>
      <c r="D511" t="s">
        <v>36</v>
      </c>
      <c r="E511" t="s">
        <v>22</v>
      </c>
      <c r="F511" t="s">
        <v>16</v>
      </c>
      <c r="G511">
        <v>28</v>
      </c>
      <c r="I511">
        <f>IF(tbl_main[[#This Row],[Debit]]&lt;&gt;"",-tbl_main[[#This Row],[Debit]],tbl_main[[#This Row],[Credit]])</f>
        <v>-28</v>
      </c>
      <c r="J511">
        <f>YEAR(tbl_main[[#This Row],[Date]])</f>
        <v>2021</v>
      </c>
      <c r="K511" t="str">
        <f>TEXT(tbl_main[[#This Row],[Date]],"mmm")</f>
        <v>Nov</v>
      </c>
    </row>
    <row r="512" spans="1:11" x14ac:dyDescent="0.25">
      <c r="A512" t="s">
        <v>9</v>
      </c>
      <c r="B512" s="1">
        <v>44518</v>
      </c>
      <c r="C512" t="s">
        <v>37</v>
      </c>
      <c r="D512" t="s">
        <v>38</v>
      </c>
      <c r="E512" t="s">
        <v>30</v>
      </c>
      <c r="F512" t="s">
        <v>16</v>
      </c>
      <c r="G512">
        <v>30</v>
      </c>
      <c r="I512">
        <f>IF(tbl_main[[#This Row],[Debit]]&lt;&gt;"",-tbl_main[[#This Row],[Debit]],tbl_main[[#This Row],[Credit]])</f>
        <v>-30</v>
      </c>
      <c r="J512">
        <f>YEAR(tbl_main[[#This Row],[Date]])</f>
        <v>2021</v>
      </c>
      <c r="K512" t="str">
        <f>TEXT(tbl_main[[#This Row],[Date]],"mmm")</f>
        <v>Nov</v>
      </c>
    </row>
    <row r="513" spans="1:11" x14ac:dyDescent="0.25">
      <c r="A513" t="s">
        <v>4</v>
      </c>
      <c r="B513" s="1">
        <v>44518</v>
      </c>
      <c r="C513" t="s">
        <v>13</v>
      </c>
      <c r="D513" t="s">
        <v>14</v>
      </c>
      <c r="E513" t="s">
        <v>15</v>
      </c>
      <c r="F513" t="s">
        <v>16</v>
      </c>
      <c r="G513">
        <v>5</v>
      </c>
      <c r="I513">
        <f>IF(tbl_main[[#This Row],[Debit]]&lt;&gt;"",-tbl_main[[#This Row],[Debit]],tbl_main[[#This Row],[Credit]])</f>
        <v>-5</v>
      </c>
      <c r="J513">
        <f>YEAR(tbl_main[[#This Row],[Date]])</f>
        <v>2021</v>
      </c>
      <c r="K513" t="str">
        <f>TEXT(tbl_main[[#This Row],[Date]],"mmm")</f>
        <v>Nov</v>
      </c>
    </row>
    <row r="514" spans="1:11" x14ac:dyDescent="0.25">
      <c r="A514" t="s">
        <v>4</v>
      </c>
      <c r="B514" s="1">
        <v>44519</v>
      </c>
      <c r="C514" t="s">
        <v>13</v>
      </c>
      <c r="D514" t="s">
        <v>14</v>
      </c>
      <c r="E514" t="s">
        <v>15</v>
      </c>
      <c r="F514" t="s">
        <v>16</v>
      </c>
      <c r="G514">
        <v>5</v>
      </c>
      <c r="I514">
        <f>IF(tbl_main[[#This Row],[Debit]]&lt;&gt;"",-tbl_main[[#This Row],[Debit]],tbl_main[[#This Row],[Credit]])</f>
        <v>-5</v>
      </c>
      <c r="J514">
        <f>YEAR(tbl_main[[#This Row],[Date]])</f>
        <v>2021</v>
      </c>
      <c r="K514" t="str">
        <f>TEXT(tbl_main[[#This Row],[Date]],"mmm")</f>
        <v>Nov</v>
      </c>
    </row>
    <row r="515" spans="1:11" x14ac:dyDescent="0.25">
      <c r="A515" t="s">
        <v>9</v>
      </c>
      <c r="B515" s="1">
        <v>44519</v>
      </c>
      <c r="C515" t="s">
        <v>42</v>
      </c>
      <c r="D515" t="s">
        <v>43</v>
      </c>
      <c r="E515" t="s">
        <v>19</v>
      </c>
      <c r="F515" t="s">
        <v>16</v>
      </c>
      <c r="G515">
        <v>40</v>
      </c>
      <c r="I515">
        <f>IF(tbl_main[[#This Row],[Debit]]&lt;&gt;"",-tbl_main[[#This Row],[Debit]],tbl_main[[#This Row],[Credit]])</f>
        <v>-40</v>
      </c>
      <c r="J515">
        <f>YEAR(tbl_main[[#This Row],[Date]])</f>
        <v>2021</v>
      </c>
      <c r="K515" t="str">
        <f>TEXT(tbl_main[[#This Row],[Date]],"mmm")</f>
        <v>Nov</v>
      </c>
    </row>
    <row r="516" spans="1:11" x14ac:dyDescent="0.25">
      <c r="A516" t="s">
        <v>4</v>
      </c>
      <c r="B516" s="1">
        <v>44520</v>
      </c>
      <c r="C516" t="s">
        <v>46</v>
      </c>
      <c r="D516" t="s">
        <v>21</v>
      </c>
      <c r="E516" t="s">
        <v>30</v>
      </c>
      <c r="F516" t="s">
        <v>16</v>
      </c>
      <c r="G516">
        <v>35</v>
      </c>
      <c r="I516">
        <f>IF(tbl_main[[#This Row],[Debit]]&lt;&gt;"",-tbl_main[[#This Row],[Debit]],tbl_main[[#This Row],[Credit]])</f>
        <v>-35</v>
      </c>
      <c r="J516">
        <f>YEAR(tbl_main[[#This Row],[Date]])</f>
        <v>2021</v>
      </c>
      <c r="K516" t="str">
        <f>TEXT(tbl_main[[#This Row],[Date]],"mmm")</f>
        <v>Nov</v>
      </c>
    </row>
    <row r="517" spans="1:11" x14ac:dyDescent="0.25">
      <c r="A517" t="s">
        <v>4</v>
      </c>
      <c r="B517" s="1">
        <v>44520</v>
      </c>
      <c r="C517" t="s">
        <v>13</v>
      </c>
      <c r="D517" t="s">
        <v>14</v>
      </c>
      <c r="E517" t="s">
        <v>15</v>
      </c>
      <c r="F517" t="s">
        <v>16</v>
      </c>
      <c r="G517">
        <v>5</v>
      </c>
      <c r="I517">
        <f>IF(tbl_main[[#This Row],[Debit]]&lt;&gt;"",-tbl_main[[#This Row],[Debit]],tbl_main[[#This Row],[Credit]])</f>
        <v>-5</v>
      </c>
      <c r="J517">
        <f>YEAR(tbl_main[[#This Row],[Date]])</f>
        <v>2021</v>
      </c>
      <c r="K517" t="str">
        <f>TEXT(tbl_main[[#This Row],[Date]],"mmm")</f>
        <v>Nov</v>
      </c>
    </row>
    <row r="518" spans="1:11" x14ac:dyDescent="0.25">
      <c r="A518" t="s">
        <v>4</v>
      </c>
      <c r="B518" s="1">
        <v>44521</v>
      </c>
      <c r="C518" t="s">
        <v>13</v>
      </c>
      <c r="D518" t="s">
        <v>14</v>
      </c>
      <c r="E518" t="s">
        <v>15</v>
      </c>
      <c r="F518" t="s">
        <v>16</v>
      </c>
      <c r="G518">
        <v>5</v>
      </c>
      <c r="I518">
        <f>IF(tbl_main[[#This Row],[Debit]]&lt;&gt;"",-tbl_main[[#This Row],[Debit]],tbl_main[[#This Row],[Credit]])</f>
        <v>-5</v>
      </c>
      <c r="J518">
        <f>YEAR(tbl_main[[#This Row],[Date]])</f>
        <v>2021</v>
      </c>
      <c r="K518" t="str">
        <f>TEXT(tbl_main[[#This Row],[Date]],"mmm")</f>
        <v>Nov</v>
      </c>
    </row>
    <row r="519" spans="1:11" x14ac:dyDescent="0.25">
      <c r="A519" t="s">
        <v>4</v>
      </c>
      <c r="B519" s="1">
        <v>44522</v>
      </c>
      <c r="C519" t="s">
        <v>13</v>
      </c>
      <c r="D519" t="s">
        <v>14</v>
      </c>
      <c r="E519" t="s">
        <v>15</v>
      </c>
      <c r="F519" t="s">
        <v>16</v>
      </c>
      <c r="G519">
        <v>5</v>
      </c>
      <c r="I519">
        <f>IF(tbl_main[[#This Row],[Debit]]&lt;&gt;"",-tbl_main[[#This Row],[Debit]],tbl_main[[#This Row],[Credit]])</f>
        <v>-5</v>
      </c>
      <c r="J519">
        <f>YEAR(tbl_main[[#This Row],[Date]])</f>
        <v>2021</v>
      </c>
      <c r="K519" t="str">
        <f>TEXT(tbl_main[[#This Row],[Date]],"mmm")</f>
        <v>Nov</v>
      </c>
    </row>
    <row r="520" spans="1:11" x14ac:dyDescent="0.25">
      <c r="A520" t="s">
        <v>4</v>
      </c>
      <c r="B520" s="1">
        <v>44522</v>
      </c>
      <c r="C520" t="s">
        <v>23</v>
      </c>
      <c r="D520" t="s">
        <v>24</v>
      </c>
      <c r="E520" t="s">
        <v>19</v>
      </c>
      <c r="F520" t="s">
        <v>16</v>
      </c>
      <c r="G520">
        <v>214</v>
      </c>
      <c r="I520">
        <f>IF(tbl_main[[#This Row],[Debit]]&lt;&gt;"",-tbl_main[[#This Row],[Debit]],tbl_main[[#This Row],[Credit]])</f>
        <v>-214</v>
      </c>
      <c r="J520">
        <f>YEAR(tbl_main[[#This Row],[Date]])</f>
        <v>2021</v>
      </c>
      <c r="K520" t="str">
        <f>TEXT(tbl_main[[#This Row],[Date]],"mmm")</f>
        <v>Nov</v>
      </c>
    </row>
    <row r="521" spans="1:11" x14ac:dyDescent="0.25">
      <c r="A521" t="s">
        <v>4</v>
      </c>
      <c r="B521" s="1">
        <v>44523</v>
      </c>
      <c r="C521" t="s">
        <v>47</v>
      </c>
      <c r="D521" t="s">
        <v>34</v>
      </c>
      <c r="E521" t="s">
        <v>15</v>
      </c>
      <c r="F521" t="s">
        <v>16</v>
      </c>
      <c r="G521">
        <v>59</v>
      </c>
      <c r="I521">
        <f>IF(tbl_main[[#This Row],[Debit]]&lt;&gt;"",-tbl_main[[#This Row],[Debit]],tbl_main[[#This Row],[Credit]])</f>
        <v>-59</v>
      </c>
      <c r="J521">
        <f>YEAR(tbl_main[[#This Row],[Date]])</f>
        <v>2021</v>
      </c>
      <c r="K521" t="str">
        <f>TEXT(tbl_main[[#This Row],[Date]],"mmm")</f>
        <v>Nov</v>
      </c>
    </row>
    <row r="522" spans="1:11" x14ac:dyDescent="0.25">
      <c r="A522" t="s">
        <v>4</v>
      </c>
      <c r="B522" s="1">
        <v>44524</v>
      </c>
      <c r="C522" t="s">
        <v>48</v>
      </c>
      <c r="D522" t="s">
        <v>34</v>
      </c>
      <c r="E522" t="s">
        <v>15</v>
      </c>
      <c r="F522" t="s">
        <v>16</v>
      </c>
      <c r="G522">
        <v>13</v>
      </c>
      <c r="I522">
        <f>IF(tbl_main[[#This Row],[Debit]]&lt;&gt;"",-tbl_main[[#This Row],[Debit]],tbl_main[[#This Row],[Credit]])</f>
        <v>-13</v>
      </c>
      <c r="J522">
        <f>YEAR(tbl_main[[#This Row],[Date]])</f>
        <v>2021</v>
      </c>
      <c r="K522" t="str">
        <f>TEXT(tbl_main[[#This Row],[Date]],"mmm")</f>
        <v>Nov</v>
      </c>
    </row>
    <row r="523" spans="1:11" x14ac:dyDescent="0.25">
      <c r="A523" t="s">
        <v>9</v>
      </c>
      <c r="B523" s="1">
        <v>44525</v>
      </c>
      <c r="C523" t="s">
        <v>49</v>
      </c>
      <c r="D523" t="s">
        <v>50</v>
      </c>
      <c r="E523" t="s">
        <v>51</v>
      </c>
      <c r="F523" t="s">
        <v>16</v>
      </c>
      <c r="G523">
        <v>55</v>
      </c>
      <c r="I523">
        <f>IF(tbl_main[[#This Row],[Debit]]&lt;&gt;"",-tbl_main[[#This Row],[Debit]],tbl_main[[#This Row],[Credit]])</f>
        <v>-55</v>
      </c>
      <c r="J523">
        <f>YEAR(tbl_main[[#This Row],[Date]])</f>
        <v>2021</v>
      </c>
      <c r="K523" t="str">
        <f>TEXT(tbl_main[[#This Row],[Date]],"mmm")</f>
        <v>Nov</v>
      </c>
    </row>
    <row r="524" spans="1:11" x14ac:dyDescent="0.25">
      <c r="A524" t="s">
        <v>4</v>
      </c>
      <c r="B524" s="1">
        <v>44525</v>
      </c>
      <c r="C524" t="s">
        <v>27</v>
      </c>
      <c r="D524" t="s">
        <v>28</v>
      </c>
      <c r="E524" t="s">
        <v>22</v>
      </c>
      <c r="F524" t="s">
        <v>16</v>
      </c>
      <c r="G524">
        <v>69</v>
      </c>
      <c r="I524">
        <f>IF(tbl_main[[#This Row],[Debit]]&lt;&gt;"",-tbl_main[[#This Row],[Debit]],tbl_main[[#This Row],[Credit]])</f>
        <v>-69</v>
      </c>
      <c r="J524">
        <f>YEAR(tbl_main[[#This Row],[Date]])</f>
        <v>2021</v>
      </c>
      <c r="K524" t="str">
        <f>TEXT(tbl_main[[#This Row],[Date]],"mmm")</f>
        <v>Nov</v>
      </c>
    </row>
    <row r="525" spans="1:11" x14ac:dyDescent="0.25">
      <c r="A525" t="s">
        <v>4</v>
      </c>
      <c r="B525" s="1">
        <v>44525</v>
      </c>
      <c r="C525" t="s">
        <v>13</v>
      </c>
      <c r="D525" t="s">
        <v>14</v>
      </c>
      <c r="E525" t="s">
        <v>15</v>
      </c>
      <c r="F525" t="s">
        <v>16</v>
      </c>
      <c r="G525">
        <v>5</v>
      </c>
      <c r="I525">
        <f>IF(tbl_main[[#This Row],[Debit]]&lt;&gt;"",-tbl_main[[#This Row],[Debit]],tbl_main[[#This Row],[Credit]])</f>
        <v>-5</v>
      </c>
      <c r="J525">
        <f>YEAR(tbl_main[[#This Row],[Date]])</f>
        <v>2021</v>
      </c>
      <c r="K525" t="str">
        <f>TEXT(tbl_main[[#This Row],[Date]],"mmm")</f>
        <v>Nov</v>
      </c>
    </row>
    <row r="526" spans="1:11" x14ac:dyDescent="0.25">
      <c r="A526" t="s">
        <v>4</v>
      </c>
      <c r="B526" s="1">
        <v>44526</v>
      </c>
      <c r="C526" t="s">
        <v>13</v>
      </c>
      <c r="D526" t="s">
        <v>14</v>
      </c>
      <c r="E526" t="s">
        <v>15</v>
      </c>
      <c r="F526" t="s">
        <v>16</v>
      </c>
      <c r="G526">
        <v>5</v>
      </c>
      <c r="I526">
        <f>IF(tbl_main[[#This Row],[Debit]]&lt;&gt;"",-tbl_main[[#This Row],[Debit]],tbl_main[[#This Row],[Credit]])</f>
        <v>-5</v>
      </c>
      <c r="J526">
        <f>YEAR(tbl_main[[#This Row],[Date]])</f>
        <v>2021</v>
      </c>
      <c r="K526" t="str">
        <f>TEXT(tbl_main[[#This Row],[Date]],"mmm")</f>
        <v>Nov</v>
      </c>
    </row>
    <row r="527" spans="1:11" x14ac:dyDescent="0.25">
      <c r="A527" t="s">
        <v>4</v>
      </c>
      <c r="B527" s="1">
        <v>44527</v>
      </c>
      <c r="C527" t="s">
        <v>13</v>
      </c>
      <c r="D527" t="s">
        <v>14</v>
      </c>
      <c r="E527" t="s">
        <v>15</v>
      </c>
      <c r="F527" t="s">
        <v>16</v>
      </c>
      <c r="G527">
        <v>5</v>
      </c>
      <c r="I527">
        <f>IF(tbl_main[[#This Row],[Debit]]&lt;&gt;"",-tbl_main[[#This Row],[Debit]],tbl_main[[#This Row],[Credit]])</f>
        <v>-5</v>
      </c>
      <c r="J527">
        <f>YEAR(tbl_main[[#This Row],[Date]])</f>
        <v>2021</v>
      </c>
      <c r="K527" t="str">
        <f>TEXT(tbl_main[[#This Row],[Date]],"mmm")</f>
        <v>Nov</v>
      </c>
    </row>
    <row r="528" spans="1:11" x14ac:dyDescent="0.25">
      <c r="A528" t="s">
        <v>4</v>
      </c>
      <c r="B528" s="1">
        <v>44528</v>
      </c>
      <c r="C528" t="s">
        <v>13</v>
      </c>
      <c r="D528" t="s">
        <v>14</v>
      </c>
      <c r="E528" t="s">
        <v>15</v>
      </c>
      <c r="F528" t="s">
        <v>16</v>
      </c>
      <c r="G528">
        <v>5</v>
      </c>
      <c r="I528">
        <f>IF(tbl_main[[#This Row],[Debit]]&lt;&gt;"",-tbl_main[[#This Row],[Debit]],tbl_main[[#This Row],[Credit]])</f>
        <v>-5</v>
      </c>
      <c r="J528">
        <f>YEAR(tbl_main[[#This Row],[Date]])</f>
        <v>2021</v>
      </c>
      <c r="K528" t="str">
        <f>TEXT(tbl_main[[#This Row],[Date]],"mmm")</f>
        <v>Nov</v>
      </c>
    </row>
    <row r="529" spans="1:11" x14ac:dyDescent="0.25">
      <c r="A529" t="s">
        <v>4</v>
      </c>
      <c r="B529" s="1">
        <v>44529</v>
      </c>
      <c r="C529" t="s">
        <v>13</v>
      </c>
      <c r="D529" t="s">
        <v>14</v>
      </c>
      <c r="E529" t="s">
        <v>15</v>
      </c>
      <c r="F529" t="s">
        <v>16</v>
      </c>
      <c r="G529">
        <v>5</v>
      </c>
      <c r="I529">
        <f>IF(tbl_main[[#This Row],[Debit]]&lt;&gt;"",-tbl_main[[#This Row],[Debit]],tbl_main[[#This Row],[Credit]])</f>
        <v>-5</v>
      </c>
      <c r="J529">
        <f>YEAR(tbl_main[[#This Row],[Date]])</f>
        <v>2021</v>
      </c>
      <c r="K529" t="str">
        <f>TEXT(tbl_main[[#This Row],[Date]],"mmm")</f>
        <v>Nov</v>
      </c>
    </row>
    <row r="530" spans="1:11" x14ac:dyDescent="0.25">
      <c r="A530" t="s">
        <v>4</v>
      </c>
      <c r="B530" s="1">
        <v>44529</v>
      </c>
      <c r="C530" t="s">
        <v>23</v>
      </c>
      <c r="D530" t="s">
        <v>24</v>
      </c>
      <c r="E530" t="s">
        <v>19</v>
      </c>
      <c r="F530" t="s">
        <v>16</v>
      </c>
      <c r="G530">
        <v>210</v>
      </c>
      <c r="I530">
        <f>IF(tbl_main[[#This Row],[Debit]]&lt;&gt;"",-tbl_main[[#This Row],[Debit]],tbl_main[[#This Row],[Credit]])</f>
        <v>-210</v>
      </c>
      <c r="J530">
        <f>YEAR(tbl_main[[#This Row],[Date]])</f>
        <v>2021</v>
      </c>
      <c r="K530" t="str">
        <f>TEXT(tbl_main[[#This Row],[Date]],"mmm")</f>
        <v>Nov</v>
      </c>
    </row>
    <row r="531" spans="1:11" x14ac:dyDescent="0.25">
      <c r="A531" t="s">
        <v>4</v>
      </c>
      <c r="B531" s="1">
        <v>44530</v>
      </c>
      <c r="C531" t="s">
        <v>31</v>
      </c>
      <c r="D531" t="s">
        <v>32</v>
      </c>
      <c r="E531" t="s">
        <v>30</v>
      </c>
      <c r="F531" t="s">
        <v>16</v>
      </c>
      <c r="G531">
        <v>239</v>
      </c>
      <c r="I531">
        <f>IF(tbl_main[[#This Row],[Debit]]&lt;&gt;"",-tbl_main[[#This Row],[Debit]],tbl_main[[#This Row],[Credit]])</f>
        <v>-239</v>
      </c>
      <c r="J531">
        <f>YEAR(tbl_main[[#This Row],[Date]])</f>
        <v>2021</v>
      </c>
      <c r="K531" t="str">
        <f>TEXT(tbl_main[[#This Row],[Date]],"mmm")</f>
        <v>Nov</v>
      </c>
    </row>
    <row r="532" spans="1:11" x14ac:dyDescent="0.25">
      <c r="A532" t="s">
        <v>4</v>
      </c>
      <c r="B532" s="1">
        <v>44530</v>
      </c>
      <c r="C532" t="s">
        <v>35</v>
      </c>
      <c r="D532" t="s">
        <v>36</v>
      </c>
      <c r="E532" t="s">
        <v>22</v>
      </c>
      <c r="F532" t="s">
        <v>16</v>
      </c>
      <c r="G532">
        <v>40</v>
      </c>
      <c r="I532">
        <f>IF(tbl_main[[#This Row],[Debit]]&lt;&gt;"",-tbl_main[[#This Row],[Debit]],tbl_main[[#This Row],[Credit]])</f>
        <v>-40</v>
      </c>
      <c r="J532">
        <f>YEAR(tbl_main[[#This Row],[Date]])</f>
        <v>2021</v>
      </c>
      <c r="K532" t="str">
        <f>TEXT(tbl_main[[#This Row],[Date]],"mmm")</f>
        <v>Nov</v>
      </c>
    </row>
    <row r="533" spans="1:11" x14ac:dyDescent="0.25">
      <c r="A533" t="s">
        <v>4</v>
      </c>
      <c r="B533" s="1">
        <v>44530</v>
      </c>
      <c r="C533" t="s">
        <v>57</v>
      </c>
      <c r="D533" t="s">
        <v>34</v>
      </c>
      <c r="E533" t="s">
        <v>15</v>
      </c>
      <c r="F533" t="s">
        <v>16</v>
      </c>
      <c r="G533">
        <v>30</v>
      </c>
      <c r="I533">
        <f>IF(tbl_main[[#This Row],[Debit]]&lt;&gt;"",-tbl_main[[#This Row],[Debit]],tbl_main[[#This Row],[Credit]])</f>
        <v>-30</v>
      </c>
      <c r="J533">
        <f>YEAR(tbl_main[[#This Row],[Date]])</f>
        <v>2021</v>
      </c>
      <c r="K533" t="str">
        <f>TEXT(tbl_main[[#This Row],[Date]],"mmm")</f>
        <v>Nov</v>
      </c>
    </row>
    <row r="534" spans="1:11" x14ac:dyDescent="0.25">
      <c r="A534" t="s">
        <v>4</v>
      </c>
      <c r="B534" s="1">
        <v>44531</v>
      </c>
      <c r="C534" t="s">
        <v>13</v>
      </c>
      <c r="D534" t="s">
        <v>14</v>
      </c>
      <c r="E534" t="s">
        <v>15</v>
      </c>
      <c r="F534" t="s">
        <v>16</v>
      </c>
      <c r="G534">
        <v>5</v>
      </c>
      <c r="I534">
        <f>IF(tbl_main[[#This Row],[Debit]]&lt;&gt;"",-tbl_main[[#This Row],[Debit]],tbl_main[[#This Row],[Credit]])</f>
        <v>-5</v>
      </c>
      <c r="J534">
        <f>YEAR(tbl_main[[#This Row],[Date]])</f>
        <v>2021</v>
      </c>
      <c r="K534" t="str">
        <f>TEXT(tbl_main[[#This Row],[Date]],"mmm")</f>
        <v>Dec</v>
      </c>
    </row>
    <row r="535" spans="1:11" x14ac:dyDescent="0.25">
      <c r="A535" t="s">
        <v>4</v>
      </c>
      <c r="B535" s="1">
        <v>44532</v>
      </c>
      <c r="C535" t="s">
        <v>13</v>
      </c>
      <c r="D535" t="s">
        <v>14</v>
      </c>
      <c r="E535" t="s">
        <v>15</v>
      </c>
      <c r="F535" t="s">
        <v>16</v>
      </c>
      <c r="G535">
        <v>5</v>
      </c>
      <c r="I535">
        <f>IF(tbl_main[[#This Row],[Debit]]&lt;&gt;"",-tbl_main[[#This Row],[Debit]],tbl_main[[#This Row],[Credit]])</f>
        <v>-5</v>
      </c>
      <c r="J535">
        <f>YEAR(tbl_main[[#This Row],[Date]])</f>
        <v>2021</v>
      </c>
      <c r="K535" t="str">
        <f>TEXT(tbl_main[[#This Row],[Date]],"mmm")</f>
        <v>Dec</v>
      </c>
    </row>
    <row r="536" spans="1:11" x14ac:dyDescent="0.25">
      <c r="A536" t="s">
        <v>9</v>
      </c>
      <c r="B536" s="1">
        <v>44533</v>
      </c>
      <c r="C536" t="s">
        <v>10</v>
      </c>
      <c r="D536" t="s">
        <v>11</v>
      </c>
      <c r="E536" t="s">
        <v>11</v>
      </c>
      <c r="F536" t="s">
        <v>12</v>
      </c>
      <c r="H536">
        <v>4000</v>
      </c>
      <c r="I536">
        <f>IF(tbl_main[[#This Row],[Debit]]&lt;&gt;"",-tbl_main[[#This Row],[Debit]],tbl_main[[#This Row],[Credit]])</f>
        <v>4000</v>
      </c>
      <c r="J536">
        <f>YEAR(tbl_main[[#This Row],[Date]])</f>
        <v>2021</v>
      </c>
      <c r="K536" t="str">
        <f>TEXT(tbl_main[[#This Row],[Date]],"mmm")</f>
        <v>Dec</v>
      </c>
    </row>
    <row r="537" spans="1:11" x14ac:dyDescent="0.25">
      <c r="A537" t="s">
        <v>4</v>
      </c>
      <c r="B537" s="1">
        <v>44534</v>
      </c>
      <c r="C537" t="s">
        <v>13</v>
      </c>
      <c r="D537" t="s">
        <v>14</v>
      </c>
      <c r="E537" t="s">
        <v>15</v>
      </c>
      <c r="F537" t="s">
        <v>16</v>
      </c>
      <c r="G537">
        <v>5</v>
      </c>
      <c r="I537">
        <f>IF(tbl_main[[#This Row],[Debit]]&lt;&gt;"",-tbl_main[[#This Row],[Debit]],tbl_main[[#This Row],[Credit]])</f>
        <v>-5</v>
      </c>
      <c r="J537">
        <f>YEAR(tbl_main[[#This Row],[Date]])</f>
        <v>2021</v>
      </c>
      <c r="K537" t="str">
        <f>TEXT(tbl_main[[#This Row],[Date]],"mmm")</f>
        <v>Dec</v>
      </c>
    </row>
    <row r="538" spans="1:11" x14ac:dyDescent="0.25">
      <c r="A538" t="s">
        <v>9</v>
      </c>
      <c r="B538" s="1">
        <v>44535</v>
      </c>
      <c r="C538" t="s">
        <v>17</v>
      </c>
      <c r="D538" t="s">
        <v>18</v>
      </c>
      <c r="E538" t="s">
        <v>19</v>
      </c>
      <c r="F538" t="s">
        <v>16</v>
      </c>
      <c r="G538">
        <v>927</v>
      </c>
      <c r="I538">
        <f>IF(tbl_main[[#This Row],[Debit]]&lt;&gt;"",-tbl_main[[#This Row],[Debit]],tbl_main[[#This Row],[Credit]])</f>
        <v>-927</v>
      </c>
      <c r="J538">
        <f>YEAR(tbl_main[[#This Row],[Date]])</f>
        <v>2021</v>
      </c>
      <c r="K538" t="str">
        <f>TEXT(tbl_main[[#This Row],[Date]],"mmm")</f>
        <v>Dec</v>
      </c>
    </row>
    <row r="539" spans="1:11" x14ac:dyDescent="0.25">
      <c r="A539" t="s">
        <v>9</v>
      </c>
      <c r="B539" s="1">
        <v>44536</v>
      </c>
      <c r="C539" t="s">
        <v>20</v>
      </c>
      <c r="D539" t="s">
        <v>21</v>
      </c>
      <c r="E539" t="s">
        <v>22</v>
      </c>
      <c r="F539" t="s">
        <v>16</v>
      </c>
      <c r="G539">
        <v>150</v>
      </c>
      <c r="I539">
        <f>IF(tbl_main[[#This Row],[Debit]]&lt;&gt;"",-tbl_main[[#This Row],[Debit]],tbl_main[[#This Row],[Credit]])</f>
        <v>-150</v>
      </c>
      <c r="J539">
        <f>YEAR(tbl_main[[#This Row],[Date]])</f>
        <v>2021</v>
      </c>
      <c r="K539" t="str">
        <f>TEXT(tbl_main[[#This Row],[Date]],"mmm")</f>
        <v>Dec</v>
      </c>
    </row>
    <row r="540" spans="1:11" x14ac:dyDescent="0.25">
      <c r="A540" t="s">
        <v>4</v>
      </c>
      <c r="B540" s="1">
        <v>44537</v>
      </c>
      <c r="C540" t="s">
        <v>13</v>
      </c>
      <c r="D540" t="s">
        <v>14</v>
      </c>
      <c r="E540" t="s">
        <v>15</v>
      </c>
      <c r="F540" t="s">
        <v>16</v>
      </c>
      <c r="G540">
        <v>5</v>
      </c>
      <c r="I540">
        <f>IF(tbl_main[[#This Row],[Debit]]&lt;&gt;"",-tbl_main[[#This Row],[Debit]],tbl_main[[#This Row],[Credit]])</f>
        <v>-5</v>
      </c>
      <c r="J540">
        <f>YEAR(tbl_main[[#This Row],[Date]])</f>
        <v>2021</v>
      </c>
      <c r="K540" t="str">
        <f>TEXT(tbl_main[[#This Row],[Date]],"mmm")</f>
        <v>Dec</v>
      </c>
    </row>
    <row r="541" spans="1:11" x14ac:dyDescent="0.25">
      <c r="A541" t="s">
        <v>4</v>
      </c>
      <c r="B541" s="1">
        <v>44538</v>
      </c>
      <c r="C541" t="s">
        <v>13</v>
      </c>
      <c r="D541" t="s">
        <v>14</v>
      </c>
      <c r="E541" t="s">
        <v>15</v>
      </c>
      <c r="F541" t="s">
        <v>16</v>
      </c>
      <c r="G541">
        <v>5</v>
      </c>
      <c r="I541">
        <f>IF(tbl_main[[#This Row],[Debit]]&lt;&gt;"",-tbl_main[[#This Row],[Debit]],tbl_main[[#This Row],[Credit]])</f>
        <v>-5</v>
      </c>
      <c r="J541">
        <f>YEAR(tbl_main[[#This Row],[Date]])</f>
        <v>2021</v>
      </c>
      <c r="K541" t="str">
        <f>TEXT(tbl_main[[#This Row],[Date]],"mmm")</f>
        <v>Dec</v>
      </c>
    </row>
    <row r="542" spans="1:11" x14ac:dyDescent="0.25">
      <c r="A542" t="s">
        <v>4</v>
      </c>
      <c r="B542" s="1">
        <v>44539</v>
      </c>
      <c r="C542" t="s">
        <v>13</v>
      </c>
      <c r="D542" t="s">
        <v>14</v>
      </c>
      <c r="E542" t="s">
        <v>15</v>
      </c>
      <c r="F542" t="s">
        <v>16</v>
      </c>
      <c r="G542">
        <v>5</v>
      </c>
      <c r="I542">
        <f>IF(tbl_main[[#This Row],[Debit]]&lt;&gt;"",-tbl_main[[#This Row],[Debit]],tbl_main[[#This Row],[Credit]])</f>
        <v>-5</v>
      </c>
      <c r="J542">
        <f>YEAR(tbl_main[[#This Row],[Date]])</f>
        <v>2021</v>
      </c>
      <c r="K542" t="str">
        <f>TEXT(tbl_main[[#This Row],[Date]],"mmm")</f>
        <v>Dec</v>
      </c>
    </row>
    <row r="543" spans="1:11" x14ac:dyDescent="0.25">
      <c r="A543" t="s">
        <v>4</v>
      </c>
      <c r="B543" s="1">
        <v>44540</v>
      </c>
      <c r="C543" t="s">
        <v>13</v>
      </c>
      <c r="D543" t="s">
        <v>14</v>
      </c>
      <c r="E543" t="s">
        <v>15</v>
      </c>
      <c r="F543" t="s">
        <v>16</v>
      </c>
      <c r="G543">
        <v>5</v>
      </c>
      <c r="I543">
        <f>IF(tbl_main[[#This Row],[Debit]]&lt;&gt;"",-tbl_main[[#This Row],[Debit]],tbl_main[[#This Row],[Credit]])</f>
        <v>-5</v>
      </c>
      <c r="J543">
        <f>YEAR(tbl_main[[#This Row],[Date]])</f>
        <v>2021</v>
      </c>
      <c r="K543" t="str">
        <f>TEXT(tbl_main[[#This Row],[Date]],"mmm")</f>
        <v>Dec</v>
      </c>
    </row>
    <row r="544" spans="1:11" x14ac:dyDescent="0.25">
      <c r="A544" t="s">
        <v>4</v>
      </c>
      <c r="B544" s="1">
        <v>44541</v>
      </c>
      <c r="C544" t="s">
        <v>23</v>
      </c>
      <c r="D544" t="s">
        <v>24</v>
      </c>
      <c r="E544" t="s">
        <v>19</v>
      </c>
      <c r="F544" t="s">
        <v>16</v>
      </c>
      <c r="G544">
        <v>160</v>
      </c>
      <c r="I544">
        <f>IF(tbl_main[[#This Row],[Debit]]&lt;&gt;"",-tbl_main[[#This Row],[Debit]],tbl_main[[#This Row],[Credit]])</f>
        <v>-160</v>
      </c>
      <c r="J544">
        <f>YEAR(tbl_main[[#This Row],[Date]])</f>
        <v>2021</v>
      </c>
      <c r="K544" t="str">
        <f>TEXT(tbl_main[[#This Row],[Date]],"mmm")</f>
        <v>Dec</v>
      </c>
    </row>
    <row r="545" spans="1:11" x14ac:dyDescent="0.25">
      <c r="A545" t="s">
        <v>9</v>
      </c>
      <c r="B545" s="1">
        <v>44542</v>
      </c>
      <c r="C545" t="s">
        <v>25</v>
      </c>
      <c r="D545" t="s">
        <v>26</v>
      </c>
      <c r="E545" t="s">
        <v>19</v>
      </c>
      <c r="F545" t="s">
        <v>16</v>
      </c>
      <c r="G545">
        <v>49</v>
      </c>
      <c r="I545">
        <f>IF(tbl_main[[#This Row],[Debit]]&lt;&gt;"",-tbl_main[[#This Row],[Debit]],tbl_main[[#This Row],[Credit]])</f>
        <v>-49</v>
      </c>
      <c r="J545">
        <f>YEAR(tbl_main[[#This Row],[Date]])</f>
        <v>2021</v>
      </c>
      <c r="K545" t="str">
        <f>TEXT(tbl_main[[#This Row],[Date]],"mmm")</f>
        <v>Dec</v>
      </c>
    </row>
    <row r="546" spans="1:11" x14ac:dyDescent="0.25">
      <c r="A546" t="s">
        <v>4</v>
      </c>
      <c r="B546" s="1">
        <v>44543</v>
      </c>
      <c r="C546" t="s">
        <v>13</v>
      </c>
      <c r="D546" t="s">
        <v>14</v>
      </c>
      <c r="E546" t="s">
        <v>15</v>
      </c>
      <c r="F546" t="s">
        <v>16</v>
      </c>
      <c r="G546">
        <v>5</v>
      </c>
      <c r="I546">
        <f>IF(tbl_main[[#This Row],[Debit]]&lt;&gt;"",-tbl_main[[#This Row],[Debit]],tbl_main[[#This Row],[Credit]])</f>
        <v>-5</v>
      </c>
      <c r="J546">
        <f>YEAR(tbl_main[[#This Row],[Date]])</f>
        <v>2021</v>
      </c>
      <c r="K546" t="str">
        <f>TEXT(tbl_main[[#This Row],[Date]],"mmm")</f>
        <v>Dec</v>
      </c>
    </row>
    <row r="547" spans="1:11" x14ac:dyDescent="0.25">
      <c r="A547" t="s">
        <v>4</v>
      </c>
      <c r="B547" s="1">
        <v>44544</v>
      </c>
      <c r="C547" t="s">
        <v>13</v>
      </c>
      <c r="D547" t="s">
        <v>14</v>
      </c>
      <c r="E547" t="s">
        <v>15</v>
      </c>
      <c r="F547" t="s">
        <v>16</v>
      </c>
      <c r="G547">
        <v>5</v>
      </c>
      <c r="I547">
        <f>IF(tbl_main[[#This Row],[Debit]]&lt;&gt;"",-tbl_main[[#This Row],[Debit]],tbl_main[[#This Row],[Credit]])</f>
        <v>-5</v>
      </c>
      <c r="J547">
        <f>YEAR(tbl_main[[#This Row],[Date]])</f>
        <v>2021</v>
      </c>
      <c r="K547" t="str">
        <f>TEXT(tbl_main[[#This Row],[Date]],"mmm")</f>
        <v>Dec</v>
      </c>
    </row>
    <row r="548" spans="1:11" x14ac:dyDescent="0.25">
      <c r="A548" t="s">
        <v>4</v>
      </c>
      <c r="B548" s="1">
        <v>44545</v>
      </c>
      <c r="C548" t="s">
        <v>27</v>
      </c>
      <c r="D548" t="s">
        <v>28</v>
      </c>
      <c r="E548" t="s">
        <v>22</v>
      </c>
      <c r="F548" t="s">
        <v>16</v>
      </c>
      <c r="G548">
        <v>94</v>
      </c>
      <c r="I548">
        <f>IF(tbl_main[[#This Row],[Debit]]&lt;&gt;"",-tbl_main[[#This Row],[Debit]],tbl_main[[#This Row],[Credit]])</f>
        <v>-94</v>
      </c>
      <c r="J548">
        <f>YEAR(tbl_main[[#This Row],[Date]])</f>
        <v>2021</v>
      </c>
      <c r="K548" t="str">
        <f>TEXT(tbl_main[[#This Row],[Date]],"mmm")</f>
        <v>Dec</v>
      </c>
    </row>
    <row r="549" spans="1:11" x14ac:dyDescent="0.25">
      <c r="A549" t="s">
        <v>4</v>
      </c>
      <c r="B549" s="1">
        <v>44546</v>
      </c>
      <c r="C549" t="s">
        <v>13</v>
      </c>
      <c r="D549" t="s">
        <v>14</v>
      </c>
      <c r="E549" t="s">
        <v>15</v>
      </c>
      <c r="F549" t="s">
        <v>16</v>
      </c>
      <c r="G549">
        <v>5</v>
      </c>
      <c r="I549">
        <f>IF(tbl_main[[#This Row],[Debit]]&lt;&gt;"",-tbl_main[[#This Row],[Debit]],tbl_main[[#This Row],[Credit]])</f>
        <v>-5</v>
      </c>
      <c r="J549">
        <f>YEAR(tbl_main[[#This Row],[Date]])</f>
        <v>2021</v>
      </c>
      <c r="K549" t="str">
        <f>TEXT(tbl_main[[#This Row],[Date]],"mmm")</f>
        <v>Dec</v>
      </c>
    </row>
    <row r="550" spans="1:11" x14ac:dyDescent="0.25">
      <c r="A550" t="s">
        <v>4</v>
      </c>
      <c r="B550" s="1">
        <v>44547</v>
      </c>
      <c r="C550" t="s">
        <v>13</v>
      </c>
      <c r="D550" t="s">
        <v>14</v>
      </c>
      <c r="E550" t="s">
        <v>15</v>
      </c>
      <c r="F550" t="s">
        <v>16</v>
      </c>
      <c r="G550">
        <v>5</v>
      </c>
      <c r="I550">
        <f>IF(tbl_main[[#This Row],[Debit]]&lt;&gt;"",-tbl_main[[#This Row],[Debit]],tbl_main[[#This Row],[Credit]])</f>
        <v>-5</v>
      </c>
      <c r="J550">
        <f>YEAR(tbl_main[[#This Row],[Date]])</f>
        <v>2021</v>
      </c>
      <c r="K550" t="str">
        <f>TEXT(tbl_main[[#This Row],[Date]],"mmm")</f>
        <v>Dec</v>
      </c>
    </row>
    <row r="551" spans="1:11" x14ac:dyDescent="0.25">
      <c r="A551" t="s">
        <v>4</v>
      </c>
      <c r="B551" s="1">
        <v>44548</v>
      </c>
      <c r="C551" t="s">
        <v>23</v>
      </c>
      <c r="D551" t="s">
        <v>24</v>
      </c>
      <c r="E551" t="s">
        <v>19</v>
      </c>
      <c r="F551" t="s">
        <v>16</v>
      </c>
      <c r="G551">
        <v>133</v>
      </c>
      <c r="I551">
        <f>IF(tbl_main[[#This Row],[Debit]]&lt;&gt;"",-tbl_main[[#This Row],[Debit]],tbl_main[[#This Row],[Credit]])</f>
        <v>-133</v>
      </c>
      <c r="J551">
        <f>YEAR(tbl_main[[#This Row],[Date]])</f>
        <v>2021</v>
      </c>
      <c r="K551" t="str">
        <f>TEXT(tbl_main[[#This Row],[Date]],"mmm")</f>
        <v>Dec</v>
      </c>
    </row>
    <row r="552" spans="1:11" x14ac:dyDescent="0.25">
      <c r="A552" t="s">
        <v>4</v>
      </c>
      <c r="B552" s="1">
        <v>44549</v>
      </c>
      <c r="C552" t="s">
        <v>13</v>
      </c>
      <c r="D552" t="s">
        <v>14</v>
      </c>
      <c r="E552" t="s">
        <v>15</v>
      </c>
      <c r="F552" t="s">
        <v>16</v>
      </c>
      <c r="G552">
        <v>5</v>
      </c>
      <c r="I552">
        <f>IF(tbl_main[[#This Row],[Debit]]&lt;&gt;"",-tbl_main[[#This Row],[Debit]],tbl_main[[#This Row],[Credit]])</f>
        <v>-5</v>
      </c>
      <c r="J552">
        <f>YEAR(tbl_main[[#This Row],[Date]])</f>
        <v>2021</v>
      </c>
      <c r="K552" t="str">
        <f>TEXT(tbl_main[[#This Row],[Date]],"mmm")</f>
        <v>Dec</v>
      </c>
    </row>
    <row r="553" spans="1:11" x14ac:dyDescent="0.25">
      <c r="A553" t="s">
        <v>4</v>
      </c>
      <c r="B553" s="1">
        <v>44550</v>
      </c>
      <c r="C553" t="s">
        <v>13</v>
      </c>
      <c r="D553" t="s">
        <v>14</v>
      </c>
      <c r="E553" t="s">
        <v>15</v>
      </c>
      <c r="F553" t="s">
        <v>16</v>
      </c>
      <c r="G553">
        <v>5</v>
      </c>
      <c r="I553">
        <f>IF(tbl_main[[#This Row],[Debit]]&lt;&gt;"",-tbl_main[[#This Row],[Debit]],tbl_main[[#This Row],[Credit]])</f>
        <v>-5</v>
      </c>
      <c r="J553">
        <f>YEAR(tbl_main[[#This Row],[Date]])</f>
        <v>2021</v>
      </c>
      <c r="K553" t="str">
        <f>TEXT(tbl_main[[#This Row],[Date]],"mmm")</f>
        <v>Dec</v>
      </c>
    </row>
    <row r="554" spans="1:11" x14ac:dyDescent="0.25">
      <c r="A554" t="s">
        <v>4</v>
      </c>
      <c r="B554" s="1">
        <v>44551</v>
      </c>
      <c r="C554" t="s">
        <v>29</v>
      </c>
      <c r="D554" t="s">
        <v>21</v>
      </c>
      <c r="E554" t="s">
        <v>30</v>
      </c>
      <c r="F554" t="s">
        <v>16</v>
      </c>
      <c r="G554">
        <v>36</v>
      </c>
      <c r="I554">
        <f>IF(tbl_main[[#This Row],[Debit]]&lt;&gt;"",-tbl_main[[#This Row],[Debit]],tbl_main[[#This Row],[Credit]])</f>
        <v>-36</v>
      </c>
      <c r="J554">
        <f>YEAR(tbl_main[[#This Row],[Date]])</f>
        <v>2021</v>
      </c>
      <c r="K554" t="str">
        <f>TEXT(tbl_main[[#This Row],[Date]],"mmm")</f>
        <v>Dec</v>
      </c>
    </row>
    <row r="555" spans="1:11" x14ac:dyDescent="0.25">
      <c r="A555" t="s">
        <v>4</v>
      </c>
      <c r="B555" s="1">
        <v>44552</v>
      </c>
      <c r="C555" t="s">
        <v>31</v>
      </c>
      <c r="D555" t="s">
        <v>32</v>
      </c>
      <c r="E555" t="s">
        <v>30</v>
      </c>
      <c r="F555" t="s">
        <v>16</v>
      </c>
      <c r="G555">
        <v>74</v>
      </c>
      <c r="I555">
        <f>IF(tbl_main[[#This Row],[Debit]]&lt;&gt;"",-tbl_main[[#This Row],[Debit]],tbl_main[[#This Row],[Credit]])</f>
        <v>-74</v>
      </c>
      <c r="J555">
        <f>YEAR(tbl_main[[#This Row],[Date]])</f>
        <v>2021</v>
      </c>
      <c r="K555" t="str">
        <f>TEXT(tbl_main[[#This Row],[Date]],"mmm")</f>
        <v>Dec</v>
      </c>
    </row>
    <row r="556" spans="1:11" x14ac:dyDescent="0.25">
      <c r="A556" t="s">
        <v>4</v>
      </c>
      <c r="B556" s="1">
        <v>44553</v>
      </c>
      <c r="C556" t="s">
        <v>33</v>
      </c>
      <c r="D556" t="s">
        <v>34</v>
      </c>
      <c r="E556" t="s">
        <v>15</v>
      </c>
      <c r="F556" t="s">
        <v>16</v>
      </c>
      <c r="G556">
        <v>72</v>
      </c>
      <c r="I556">
        <f>IF(tbl_main[[#This Row],[Debit]]&lt;&gt;"",-tbl_main[[#This Row],[Debit]],tbl_main[[#This Row],[Credit]])</f>
        <v>-72</v>
      </c>
      <c r="J556">
        <f>YEAR(tbl_main[[#This Row],[Date]])</f>
        <v>2021</v>
      </c>
      <c r="K556" t="str">
        <f>TEXT(tbl_main[[#This Row],[Date]],"mmm")</f>
        <v>Dec</v>
      </c>
    </row>
    <row r="557" spans="1:11" x14ac:dyDescent="0.25">
      <c r="A557" t="s">
        <v>4</v>
      </c>
      <c r="B557" s="1">
        <v>44554</v>
      </c>
      <c r="C557" t="s">
        <v>35</v>
      </c>
      <c r="D557" t="s">
        <v>36</v>
      </c>
      <c r="E557" t="s">
        <v>22</v>
      </c>
      <c r="F557" t="s">
        <v>16</v>
      </c>
      <c r="G557">
        <v>28</v>
      </c>
      <c r="I557">
        <f>IF(tbl_main[[#This Row],[Debit]]&lt;&gt;"",-tbl_main[[#This Row],[Debit]],tbl_main[[#This Row],[Credit]])</f>
        <v>-28</v>
      </c>
      <c r="J557">
        <f>YEAR(tbl_main[[#This Row],[Date]])</f>
        <v>2021</v>
      </c>
      <c r="K557" t="str">
        <f>TEXT(tbl_main[[#This Row],[Date]],"mmm")</f>
        <v>Dec</v>
      </c>
    </row>
    <row r="558" spans="1:11" x14ac:dyDescent="0.25">
      <c r="A558" t="s">
        <v>9</v>
      </c>
      <c r="B558" s="1">
        <v>44555</v>
      </c>
      <c r="C558" t="s">
        <v>37</v>
      </c>
      <c r="D558" t="s">
        <v>38</v>
      </c>
      <c r="E558" t="s">
        <v>30</v>
      </c>
      <c r="F558" t="s">
        <v>16</v>
      </c>
      <c r="G558">
        <v>30</v>
      </c>
      <c r="I558">
        <f>IF(tbl_main[[#This Row],[Debit]]&lt;&gt;"",-tbl_main[[#This Row],[Debit]],tbl_main[[#This Row],[Credit]])</f>
        <v>-30</v>
      </c>
      <c r="J558">
        <f>YEAR(tbl_main[[#This Row],[Date]])</f>
        <v>2021</v>
      </c>
      <c r="K558" t="str">
        <f>TEXT(tbl_main[[#This Row],[Date]],"mmm")</f>
        <v>Dec</v>
      </c>
    </row>
    <row r="559" spans="1:11" x14ac:dyDescent="0.25">
      <c r="A559" t="s">
        <v>4</v>
      </c>
      <c r="B559" s="1">
        <v>44556</v>
      </c>
      <c r="C559" t="s">
        <v>13</v>
      </c>
      <c r="D559" t="s">
        <v>14</v>
      </c>
      <c r="E559" t="s">
        <v>15</v>
      </c>
      <c r="F559" t="s">
        <v>16</v>
      </c>
      <c r="G559">
        <v>5</v>
      </c>
      <c r="I559">
        <f>IF(tbl_main[[#This Row],[Debit]]&lt;&gt;"",-tbl_main[[#This Row],[Debit]],tbl_main[[#This Row],[Credit]])</f>
        <v>-5</v>
      </c>
      <c r="J559">
        <f>YEAR(tbl_main[[#This Row],[Date]])</f>
        <v>2021</v>
      </c>
      <c r="K559" t="str">
        <f>TEXT(tbl_main[[#This Row],[Date]],"mmm")</f>
        <v>Dec</v>
      </c>
    </row>
    <row r="560" spans="1:11" x14ac:dyDescent="0.25">
      <c r="A560" t="s">
        <v>4</v>
      </c>
      <c r="B560" s="1">
        <v>44557</v>
      </c>
      <c r="C560" t="s">
        <v>13</v>
      </c>
      <c r="D560" t="s">
        <v>14</v>
      </c>
      <c r="E560" t="s">
        <v>15</v>
      </c>
      <c r="F560" t="s">
        <v>16</v>
      </c>
      <c r="G560">
        <v>5</v>
      </c>
      <c r="I560">
        <f>IF(tbl_main[[#This Row],[Debit]]&lt;&gt;"",-tbl_main[[#This Row],[Debit]],tbl_main[[#This Row],[Credit]])</f>
        <v>-5</v>
      </c>
      <c r="J560">
        <f>YEAR(tbl_main[[#This Row],[Date]])</f>
        <v>2021</v>
      </c>
      <c r="K560" t="str">
        <f>TEXT(tbl_main[[#This Row],[Date]],"mmm")</f>
        <v>Dec</v>
      </c>
    </row>
    <row r="561" spans="1:11" x14ac:dyDescent="0.25">
      <c r="A561" t="s">
        <v>9</v>
      </c>
      <c r="B561" s="1">
        <v>44558</v>
      </c>
      <c r="C561" t="s">
        <v>42</v>
      </c>
      <c r="D561" t="s">
        <v>43</v>
      </c>
      <c r="E561" t="s">
        <v>19</v>
      </c>
      <c r="F561" t="s">
        <v>16</v>
      </c>
      <c r="G561">
        <v>40</v>
      </c>
      <c r="I561">
        <f>IF(tbl_main[[#This Row],[Debit]]&lt;&gt;"",-tbl_main[[#This Row],[Debit]],tbl_main[[#This Row],[Credit]])</f>
        <v>-40</v>
      </c>
      <c r="J561">
        <f>YEAR(tbl_main[[#This Row],[Date]])</f>
        <v>2021</v>
      </c>
      <c r="K561" t="str">
        <f>TEXT(tbl_main[[#This Row],[Date]],"mmm")</f>
        <v>Dec</v>
      </c>
    </row>
    <row r="562" spans="1:11" x14ac:dyDescent="0.25">
      <c r="A562" t="s">
        <v>4</v>
      </c>
      <c r="B562" s="1">
        <v>44559</v>
      </c>
      <c r="C562" t="s">
        <v>46</v>
      </c>
      <c r="D562" t="s">
        <v>21</v>
      </c>
      <c r="E562" t="s">
        <v>30</v>
      </c>
      <c r="F562" t="s">
        <v>16</v>
      </c>
      <c r="G562">
        <v>35</v>
      </c>
      <c r="I562">
        <f>IF(tbl_main[[#This Row],[Debit]]&lt;&gt;"",-tbl_main[[#This Row],[Debit]],tbl_main[[#This Row],[Credit]])</f>
        <v>-35</v>
      </c>
      <c r="J562">
        <f>YEAR(tbl_main[[#This Row],[Date]])</f>
        <v>2021</v>
      </c>
      <c r="K562" t="str">
        <f>TEXT(tbl_main[[#This Row],[Date]],"mmm")</f>
        <v>Dec</v>
      </c>
    </row>
    <row r="563" spans="1:11" x14ac:dyDescent="0.25">
      <c r="A563" t="s">
        <v>4</v>
      </c>
      <c r="B563" s="1">
        <v>44560</v>
      </c>
      <c r="C563" t="s">
        <v>13</v>
      </c>
      <c r="D563" t="s">
        <v>14</v>
      </c>
      <c r="E563" t="s">
        <v>15</v>
      </c>
      <c r="F563" t="s">
        <v>16</v>
      </c>
      <c r="G563">
        <v>5</v>
      </c>
      <c r="I563">
        <f>IF(tbl_main[[#This Row],[Debit]]&lt;&gt;"",-tbl_main[[#This Row],[Debit]],tbl_main[[#This Row],[Credit]])</f>
        <v>-5</v>
      </c>
      <c r="J563">
        <f>YEAR(tbl_main[[#This Row],[Date]])</f>
        <v>2021</v>
      </c>
      <c r="K563" t="str">
        <f>TEXT(tbl_main[[#This Row],[Date]],"mmm")</f>
        <v>Dec</v>
      </c>
    </row>
    <row r="564" spans="1:11" x14ac:dyDescent="0.25">
      <c r="A564" t="s">
        <v>4</v>
      </c>
      <c r="B564" s="1">
        <v>44561</v>
      </c>
      <c r="C564" t="s">
        <v>13</v>
      </c>
      <c r="D564" t="s">
        <v>14</v>
      </c>
      <c r="E564" t="s">
        <v>15</v>
      </c>
      <c r="F564" t="s">
        <v>16</v>
      </c>
      <c r="G564">
        <v>5</v>
      </c>
      <c r="I564">
        <f>IF(tbl_main[[#This Row],[Debit]]&lt;&gt;"",-tbl_main[[#This Row],[Debit]],tbl_main[[#This Row],[Credit]])</f>
        <v>-5</v>
      </c>
      <c r="J564">
        <f>YEAR(tbl_main[[#This Row],[Date]])</f>
        <v>2021</v>
      </c>
      <c r="K564" t="str">
        <f>TEXT(tbl_main[[#This Row],[Date]],"mmm")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80A30-53C4-4B77-A42B-0D43565BBA51}">
  <dimension ref="B2:Q22"/>
  <sheetViews>
    <sheetView showGridLines="0" topLeftCell="D9" workbookViewId="0">
      <selection activeCell="I29" sqref="I29"/>
    </sheetView>
  </sheetViews>
  <sheetFormatPr defaultRowHeight="15" x14ac:dyDescent="0.25"/>
  <cols>
    <col min="2" max="2" width="15" customWidth="1"/>
    <col min="3" max="3" width="43.28515625" bestFit="1" customWidth="1"/>
    <col min="4" max="4" width="9.7109375" bestFit="1" customWidth="1"/>
    <col min="5" max="5" width="9.85546875" bestFit="1" customWidth="1"/>
    <col min="6" max="11" width="10.7109375" bestFit="1" customWidth="1"/>
    <col min="12" max="12" width="11.85546875" bestFit="1" customWidth="1"/>
    <col min="13" max="13" width="10.7109375" bestFit="1" customWidth="1"/>
    <col min="14" max="14" width="11.28515625" customWidth="1"/>
    <col min="15" max="15" width="11.85546875" bestFit="1" customWidth="1"/>
  </cols>
  <sheetData>
    <row r="2" spans="2:17" ht="21" x14ac:dyDescent="0.35">
      <c r="B2" s="2" t="s">
        <v>64</v>
      </c>
      <c r="C2" s="2"/>
      <c r="D2" s="2"/>
      <c r="E2" s="2"/>
      <c r="F2" s="2"/>
      <c r="G2" s="2"/>
      <c r="H2" s="2"/>
      <c r="I2" s="2"/>
      <c r="J2" s="3"/>
      <c r="K2" s="3"/>
      <c r="L2" s="3"/>
      <c r="M2" s="3"/>
      <c r="N2" s="3"/>
      <c r="O2" s="3"/>
    </row>
    <row r="4" spans="2:17" ht="18.75" x14ac:dyDescent="0.3">
      <c r="B4" s="5" t="s">
        <v>65</v>
      </c>
      <c r="C4" s="5"/>
      <c r="D4" s="4" t="str" cm="1">
        <f t="array" ref="D4:O4">_xlfn.LET(_xlpm.x,DATE(2025,_xlfn.SEQUENCE(12),1),
             TRANSPOSE(TEXT(_xlpm.x,"MMMM")))</f>
        <v>January</v>
      </c>
      <c r="E4" s="4" t="str">
        <v>February</v>
      </c>
      <c r="F4" s="4" t="str">
        <v>March</v>
      </c>
      <c r="G4" s="4" t="str">
        <v>April</v>
      </c>
      <c r="H4" s="4" t="str">
        <v>May</v>
      </c>
      <c r="I4" s="4" t="str">
        <v>June</v>
      </c>
      <c r="J4" s="4" t="str">
        <v>July</v>
      </c>
      <c r="K4" s="4" t="str">
        <v>August</v>
      </c>
      <c r="L4" s="4" t="str">
        <v>September</v>
      </c>
      <c r="M4" s="4" t="str">
        <v>October</v>
      </c>
      <c r="N4" s="4" t="str">
        <v>November</v>
      </c>
      <c r="O4" s="4" t="str">
        <v>December</v>
      </c>
      <c r="Q4" s="23" t="s">
        <v>89</v>
      </c>
    </row>
    <row r="5" spans="2:17" ht="15.75" x14ac:dyDescent="0.25">
      <c r="B5" s="6" t="s">
        <v>66</v>
      </c>
      <c r="C5" s="6"/>
      <c r="D5" s="1"/>
    </row>
    <row r="6" spans="2:17" ht="15.75" x14ac:dyDescent="0.25">
      <c r="B6" t="s">
        <v>67</v>
      </c>
      <c r="D6" s="11" cm="1">
        <f t="array" ref="D6">_xlfn._xlws.FILTER('Main Sheet'!$H$2:$H$564,(MONTH('Main Sheet'!$B$2:$B$564)=(COLUMN(D6)-3))*('Main Sheet'!$H$2:$H$564&lt;&gt;""))</f>
        <v>4000</v>
      </c>
      <c r="E6" s="11" cm="1">
        <f t="array" ref="E6">_xlfn._xlws.FILTER('Main Sheet'!$H$2:$H$564,(MONTH('Main Sheet'!$B$2:$B$564)=(COLUMN(E6)-3))*('Main Sheet'!$H$2:$H$564&lt;&gt;""))</f>
        <v>4000</v>
      </c>
      <c r="F6" s="11" cm="1">
        <f t="array" ref="F6">_xlfn._xlws.FILTER('Main Sheet'!$H$2:$H$564,(MONTH('Main Sheet'!$B$2:$B$564)=(COLUMN(F6)-3))*('Main Sheet'!$H$2:$H$564&lt;&gt;""))</f>
        <v>4000</v>
      </c>
      <c r="G6" s="11" cm="1">
        <f t="array" ref="G6">_xlfn._xlws.FILTER('Main Sheet'!$H$2:$H$564,(MONTH('Main Sheet'!$B$2:$B$564)=(COLUMN(G6)-3))*('Main Sheet'!$H$2:$H$564&lt;&gt;""))</f>
        <v>4000</v>
      </c>
      <c r="H6" s="11" cm="1">
        <f t="array" ref="H6">_xlfn._xlws.FILTER('Main Sheet'!$H$2:$H$564,(MONTH('Main Sheet'!$B$2:$B$564)=(COLUMN(H6)-3))*('Main Sheet'!$H$2:$H$564&lt;&gt;""))</f>
        <v>4000</v>
      </c>
      <c r="I6" s="11" cm="1">
        <f t="array" ref="I6">_xlfn._xlws.FILTER('Main Sheet'!$H$2:$H$564,(MONTH('Main Sheet'!$B$2:$B$564)=(COLUMN(I6)-3))*('Main Sheet'!$H$2:$H$564&lt;&gt;""))</f>
        <v>4000</v>
      </c>
      <c r="J6" s="11" cm="1">
        <f t="array" ref="J6">_xlfn._xlws.FILTER('Main Sheet'!$H$2:$H$564,(MONTH('Main Sheet'!$B$2:$B$564)=(COLUMN(J6)-3))*('Main Sheet'!$H$2:$H$564&lt;&gt;""))</f>
        <v>4000</v>
      </c>
      <c r="K6" s="11" cm="1">
        <f t="array" ref="K6">_xlfn._xlws.FILTER('Main Sheet'!$H$2:$H$564,(MONTH('Main Sheet'!$B$2:$B$564)=(COLUMN(K6)-3))*('Main Sheet'!$H$2:$H$564&lt;&gt;""))</f>
        <v>4000</v>
      </c>
      <c r="L6" s="11" cm="1">
        <f t="array" ref="L6">_xlfn._xlws.FILTER('Main Sheet'!$H$2:$H$564,(MONTH('Main Sheet'!$B$2:$B$564)=(COLUMN(L6)-3))*('Main Sheet'!$H$2:$H$564&lt;&gt;""))</f>
        <v>4000</v>
      </c>
      <c r="M6" s="11" cm="1">
        <f t="array" ref="M6">_xlfn._xlws.FILTER('Main Sheet'!$H$2:$H$564,(MONTH('Main Sheet'!$B$2:$B$564)=(COLUMN(M6)-3))*('Main Sheet'!$H$2:$H$564&lt;&gt;""))</f>
        <v>4000</v>
      </c>
      <c r="N6" s="11" cm="1">
        <f t="array" ref="N6">_xlfn._xlws.FILTER('Main Sheet'!$H$2:$H$564,(MONTH('Main Sheet'!$B$2:$B$564)=(COLUMN(N6)-3))*('Main Sheet'!$H$2:$H$564&lt;&gt;""))</f>
        <v>4000</v>
      </c>
      <c r="O6" s="11" cm="1">
        <f t="array" ref="O6">_xlfn._xlws.FILTER('Main Sheet'!$H$2:$H$564,(MONTH('Main Sheet'!$B$2:$B$564)=(COLUMN(O6)-3))*('Main Sheet'!$H$2:$H$564&lt;&gt;""))</f>
        <v>4000</v>
      </c>
      <c r="Q6" s="11">
        <f>IF(ISNUMBER(D6)=TRUE,SUM($D6:$O6),"")</f>
        <v>48000</v>
      </c>
    </row>
    <row r="7" spans="2:17" ht="15.75" x14ac:dyDescent="0.25">
      <c r="B7" t="s">
        <v>68</v>
      </c>
      <c r="D7" s="11">
        <v>0</v>
      </c>
      <c r="E7" s="11">
        <v>0</v>
      </c>
      <c r="F7" s="11">
        <v>0</v>
      </c>
      <c r="G7" s="11">
        <v>0</v>
      </c>
      <c r="H7" s="11">
        <v>0</v>
      </c>
      <c r="I7" s="11">
        <v>0</v>
      </c>
      <c r="J7" s="11">
        <v>0</v>
      </c>
      <c r="K7" s="11">
        <v>0</v>
      </c>
      <c r="L7" s="11">
        <v>0</v>
      </c>
      <c r="M7" s="11">
        <v>0</v>
      </c>
      <c r="N7" s="11">
        <v>0</v>
      </c>
      <c r="O7" s="11">
        <v>0</v>
      </c>
      <c r="Q7" s="11">
        <f t="shared" ref="Q7:Q21" si="0">IF(ISNUMBER(D7)=TRUE,SUM($D7:$O7),"")</f>
        <v>0</v>
      </c>
    </row>
    <row r="8" spans="2:17" ht="15.75" x14ac:dyDescent="0.25">
      <c r="B8" t="s">
        <v>69</v>
      </c>
      <c r="D8" s="11">
        <v>0</v>
      </c>
      <c r="E8" s="11">
        <v>0</v>
      </c>
      <c r="F8" s="11">
        <v>0</v>
      </c>
      <c r="G8" s="11">
        <v>0</v>
      </c>
      <c r="H8" s="11">
        <v>0</v>
      </c>
      <c r="I8" s="11">
        <v>0</v>
      </c>
      <c r="J8" s="11">
        <v>0</v>
      </c>
      <c r="K8" s="11">
        <v>0</v>
      </c>
      <c r="L8" s="11">
        <v>0</v>
      </c>
      <c r="M8" s="11">
        <v>0</v>
      </c>
      <c r="N8" s="11">
        <v>0</v>
      </c>
      <c r="O8" s="11">
        <v>0</v>
      </c>
      <c r="Q8" s="11">
        <f t="shared" si="0"/>
        <v>0</v>
      </c>
    </row>
    <row r="9" spans="2:17" ht="15.75" x14ac:dyDescent="0.25">
      <c r="B9" s="7" t="s">
        <v>70</v>
      </c>
      <c r="C9" s="7"/>
      <c r="D9" s="8">
        <f>SUM(D6:D8)</f>
        <v>4000</v>
      </c>
      <c r="E9" s="8">
        <f t="shared" ref="E9:O9" si="1">SUM(E6:E8)</f>
        <v>4000</v>
      </c>
      <c r="F9" s="8">
        <f t="shared" si="1"/>
        <v>4000</v>
      </c>
      <c r="G9" s="8">
        <f t="shared" si="1"/>
        <v>4000</v>
      </c>
      <c r="H9" s="8">
        <f t="shared" si="1"/>
        <v>4000</v>
      </c>
      <c r="I9" s="8">
        <f t="shared" si="1"/>
        <v>4000</v>
      </c>
      <c r="J9" s="8">
        <f t="shared" si="1"/>
        <v>4000</v>
      </c>
      <c r="K9" s="8">
        <f t="shared" si="1"/>
        <v>4000</v>
      </c>
      <c r="L9" s="8">
        <f t="shared" si="1"/>
        <v>4000</v>
      </c>
      <c r="M9" s="8">
        <f t="shared" si="1"/>
        <v>4000</v>
      </c>
      <c r="N9" s="8">
        <f t="shared" si="1"/>
        <v>4000</v>
      </c>
      <c r="O9" s="8">
        <f t="shared" si="1"/>
        <v>4000</v>
      </c>
      <c r="P9" s="9"/>
      <c r="Q9" s="11">
        <f t="shared" si="0"/>
        <v>48000</v>
      </c>
    </row>
    <row r="10" spans="2:17" ht="15.75" x14ac:dyDescent="0.25">
      <c r="D10" s="1"/>
      <c r="Q10" s="11" t="str">
        <f t="shared" si="0"/>
        <v/>
      </c>
    </row>
    <row r="11" spans="2:17" ht="15.75" x14ac:dyDescent="0.25">
      <c r="B11" s="5" t="s">
        <v>65</v>
      </c>
      <c r="C11" s="5"/>
      <c r="D11" s="4" t="str" cm="1">
        <f t="array" ref="D11:O11">_xlfn.LET(_xlpm.x,DATE(2025,_xlfn.SEQUENCE(12),1),
             TRANSPOSE(TEXT(_xlpm.x,"MMMM")))</f>
        <v>January</v>
      </c>
      <c r="E11" s="4" t="str">
        <v>February</v>
      </c>
      <c r="F11" s="4" t="str">
        <v>March</v>
      </c>
      <c r="G11" s="4" t="str">
        <v>April</v>
      </c>
      <c r="H11" s="4" t="str">
        <v>May</v>
      </c>
      <c r="I11" s="4" t="str">
        <v>June</v>
      </c>
      <c r="J11" s="4" t="str">
        <v>July</v>
      </c>
      <c r="K11" s="4" t="str">
        <v>August</v>
      </c>
      <c r="L11" s="4" t="str">
        <v>September</v>
      </c>
      <c r="M11" s="4" t="str">
        <v>October</v>
      </c>
      <c r="N11" s="4" t="str">
        <v>November</v>
      </c>
      <c r="O11" s="4" t="str">
        <v>December</v>
      </c>
      <c r="Q11" s="11" t="str">
        <f t="shared" si="0"/>
        <v/>
      </c>
    </row>
    <row r="12" spans="2:17" ht="15.75" x14ac:dyDescent="0.25">
      <c r="B12" t="s">
        <v>71</v>
      </c>
      <c r="D12" s="10"/>
      <c r="Q12" s="11" t="str">
        <f t="shared" si="0"/>
        <v/>
      </c>
    </row>
    <row r="13" spans="2:17" ht="15.75" x14ac:dyDescent="0.25">
      <c r="B13" t="str" cm="1">
        <f t="array" ref="B13:B18">_xlfn._xlws.SORT(_xlfn.UNIQUE(_xlfn._xlws.FILTER(tbl_main[Category],tbl_main[Category Type]&lt;&gt;"Income")))</f>
        <v>Charity</v>
      </c>
      <c r="C13" t="str" cm="1">
        <f t="array" ref="C13">_xlfn.LET(_xlpm.x,_xlfn.UNIQUE(_xlfn._xlws.FILTER(tbl_main[Sub-category],tbl_main[Category]='Income &amp; Expenses 2021'!B13)),
            _xlfn.ARRAYTOTEXT(_xlfn._xlws.SORT(_xlpm.x)))</f>
        <v>Donation</v>
      </c>
      <c r="D13" s="11" cm="1">
        <f t="array" ref="D13">_xlfn.LET(_xlpm.x,_xlfn._xlws.FILTER('Main Sheet'!$G$2:$G$564,(MONTH('Main Sheet'!$B$2:$B$564) = (COLUMN('Income &amp; Expenses 2021'!D6) -3)) * ('Main Sheet'!$E$2:$E$564='Income &amp; Expenses 2021'!$B13),0), SUM(_xlpm.x))</f>
        <v>70</v>
      </c>
      <c r="E13" s="11" cm="1">
        <f t="array" ref="E13">_xlfn.LET(_xlpm.x,_xlfn._xlws.FILTER('Main Sheet'!$G$2:$G$564,(MONTH('Main Sheet'!$B$2:$B$564) = (COLUMN('Income &amp; Expenses 2021'!E6) -3)) * ('Main Sheet'!$E$2:$E$564='Income &amp; Expenses 2021'!$B13),0), SUM(_xlpm.x))</f>
        <v>55</v>
      </c>
      <c r="F13" s="11" cm="1">
        <f t="array" ref="F13">_xlfn.LET(_xlpm.x,_xlfn._xlws.FILTER('Main Sheet'!$G$2:$G$564,(MONTH('Main Sheet'!$B$2:$B$564) = (COLUMN('Income &amp; Expenses 2021'!F6) -3)) * ('Main Sheet'!$E$2:$E$564='Income &amp; Expenses 2021'!$B13),0), SUM(_xlpm.x))</f>
        <v>55</v>
      </c>
      <c r="G13" s="11" cm="1">
        <f t="array" ref="G13">_xlfn.LET(_xlpm.x,_xlfn._xlws.FILTER('Main Sheet'!$G$2:$G$564,(MONTH('Main Sheet'!$B$2:$B$564) = (COLUMN('Income &amp; Expenses 2021'!G6) -3)) * ('Main Sheet'!$E$2:$E$564='Income &amp; Expenses 2021'!$B13),0), SUM(_xlpm.x))</f>
        <v>55</v>
      </c>
      <c r="H13" s="11" cm="1">
        <f t="array" ref="H13">_xlfn.LET(_xlpm.x,_xlfn._xlws.FILTER('Main Sheet'!$G$2:$G$564,(MONTH('Main Sheet'!$B$2:$B$564) = (COLUMN('Income &amp; Expenses 2021'!H6) -3)) * ('Main Sheet'!$E$2:$E$564='Income &amp; Expenses 2021'!$B13),0), SUM(_xlpm.x))</f>
        <v>55</v>
      </c>
      <c r="I13" s="11" cm="1">
        <f t="array" ref="I13">_xlfn.LET(_xlpm.x,_xlfn._xlws.FILTER('Main Sheet'!$G$2:$G$564,(MONTH('Main Sheet'!$B$2:$B$564) = (COLUMN('Income &amp; Expenses 2021'!I6) -3)) * ('Main Sheet'!$E$2:$E$564='Income &amp; Expenses 2021'!$B13),0), SUM(_xlpm.x))</f>
        <v>55</v>
      </c>
      <c r="J13" s="11" cm="1">
        <f t="array" ref="J13">_xlfn.LET(_xlpm.x,_xlfn._xlws.FILTER('Main Sheet'!$G$2:$G$564,(MONTH('Main Sheet'!$B$2:$B$564) = (COLUMN('Income &amp; Expenses 2021'!J6) -3)) * ('Main Sheet'!$E$2:$E$564='Income &amp; Expenses 2021'!$B13),0), SUM(_xlpm.x))</f>
        <v>55</v>
      </c>
      <c r="K13" s="11" cm="1">
        <f t="array" ref="K13">_xlfn.LET(_xlpm.x,_xlfn._xlws.FILTER('Main Sheet'!$G$2:$G$564,(MONTH('Main Sheet'!$B$2:$B$564) = (COLUMN('Income &amp; Expenses 2021'!K6) -3)) * ('Main Sheet'!$E$2:$E$564='Income &amp; Expenses 2021'!$B13),0), SUM(_xlpm.x))</f>
        <v>55</v>
      </c>
      <c r="L13" s="11" cm="1">
        <f t="array" ref="L13">_xlfn.LET(_xlpm.x,_xlfn._xlws.FILTER('Main Sheet'!$G$2:$G$564,(MONTH('Main Sheet'!$B$2:$B$564) = (COLUMN('Income &amp; Expenses 2021'!L6) -3)) * ('Main Sheet'!$E$2:$E$564='Income &amp; Expenses 2021'!$B13),0), SUM(_xlpm.x))</f>
        <v>55</v>
      </c>
      <c r="M13" s="11" cm="1">
        <f t="array" ref="M13">_xlfn.LET(_xlpm.x,_xlfn._xlws.FILTER('Main Sheet'!$G$2:$G$564,(MONTH('Main Sheet'!$B$2:$B$564) = (COLUMN('Income &amp; Expenses 2021'!M6) -3)) * ('Main Sheet'!$E$2:$E$564='Income &amp; Expenses 2021'!$B13),0), SUM(_xlpm.x))</f>
        <v>55</v>
      </c>
      <c r="N13" s="11" cm="1">
        <f t="array" ref="N13">_xlfn.LET(_xlpm.x,_xlfn._xlws.FILTER('Main Sheet'!$G$2:$G$564,(MONTH('Main Sheet'!$B$2:$B$564) = (COLUMN('Income &amp; Expenses 2021'!N6) -3)) * ('Main Sheet'!$E$2:$E$564='Income &amp; Expenses 2021'!$B13),0), SUM(_xlpm.x))</f>
        <v>55</v>
      </c>
      <c r="O13" s="11" cm="1">
        <f t="array" ref="O13">_xlfn.LET(_xlpm.x,_xlfn._xlws.FILTER('Main Sheet'!$G$2:$G$564,(MONTH('Main Sheet'!$B$2:$B$564) = (COLUMN('Income &amp; Expenses 2021'!O6) -3)) * ('Main Sheet'!$E$2:$E$564='Income &amp; Expenses 2021'!$B13),0), SUM(_xlpm.x))</f>
        <v>0</v>
      </c>
      <c r="Q13" s="11">
        <f t="shared" si="0"/>
        <v>620</v>
      </c>
    </row>
    <row r="14" spans="2:17" ht="15.75" x14ac:dyDescent="0.25">
      <c r="B14" t="str">
        <v>Dining Out</v>
      </c>
      <c r="C14" t="str" cm="1">
        <f t="array" ref="C14">_xlfn.LET(_xlpm.x,_xlfn.UNIQUE(_xlfn._xlws.FILTER(tbl_main[Sub-category],tbl_main[Category]='Income &amp; Expenses 2021'!B14)),
            _xlfn.ARRAYTOTEXT(_xlfn._xlws.SORT(_xlpm.x)))</f>
        <v>Coffee, Restaurant</v>
      </c>
      <c r="D14" s="11" cm="1">
        <f t="array" ref="D14">_xlfn.LET(_xlpm.x,_xlfn._xlws.FILTER('Main Sheet'!$G$2:$G$564,(MONTH('Main Sheet'!$B$2:$B$564) = (COLUMN('Income &amp; Expenses 2021'!D7) -3)) * ('Main Sheet'!$E$2:$E$564='Income &amp; Expenses 2021'!$B14),0), SUM(_xlpm.x))</f>
        <v>206</v>
      </c>
      <c r="E14" s="11" cm="1">
        <f t="array" ref="E14">_xlfn.LET(_xlpm.x,_xlfn._xlws.FILTER('Main Sheet'!$G$2:$G$564,(MONTH('Main Sheet'!$B$2:$B$564) = (COLUMN('Income &amp; Expenses 2021'!E7) -3)) * ('Main Sheet'!$E$2:$E$564='Income &amp; Expenses 2021'!$B14),0), SUM(_xlpm.x))</f>
        <v>208.8</v>
      </c>
      <c r="F14" s="11" cm="1">
        <f t="array" ref="F14">_xlfn.LET(_xlpm.x,_xlfn._xlws.FILTER('Main Sheet'!$G$2:$G$564,(MONTH('Main Sheet'!$B$2:$B$564) = (COLUMN('Income &amp; Expenses 2021'!F7) -3)) * ('Main Sheet'!$E$2:$E$564='Income &amp; Expenses 2021'!$B14),0), SUM(_xlpm.x))</f>
        <v>237</v>
      </c>
      <c r="G14" s="11" cm="1">
        <f t="array" ref="G14">_xlfn.LET(_xlpm.x,_xlfn._xlws.FILTER('Main Sheet'!$G$2:$G$564,(MONTH('Main Sheet'!$B$2:$B$564) = (COLUMN('Income &amp; Expenses 2021'!G7) -3)) * ('Main Sheet'!$E$2:$E$564='Income &amp; Expenses 2021'!$B14),0), SUM(_xlpm.x))</f>
        <v>240.1</v>
      </c>
      <c r="H14" s="11" cm="1">
        <f t="array" ref="H14">_xlfn.LET(_xlpm.x,_xlfn._xlws.FILTER('Main Sheet'!$G$2:$G$564,(MONTH('Main Sheet'!$B$2:$B$564) = (COLUMN('Income &amp; Expenses 2021'!H7) -3)) * ('Main Sheet'!$E$2:$E$564='Income &amp; Expenses 2021'!$B14),0), SUM(_xlpm.x))</f>
        <v>243.2</v>
      </c>
      <c r="I14" s="11" cm="1">
        <f t="array" ref="I14">_xlfn.LET(_xlpm.x,_xlfn._xlws.FILTER('Main Sheet'!$G$2:$G$564,(MONTH('Main Sheet'!$B$2:$B$564) = (COLUMN('Income &amp; Expenses 2021'!I7) -3)) * ('Main Sheet'!$E$2:$E$564='Income &amp; Expenses 2021'!$B14),0), SUM(_xlpm.x))</f>
        <v>241.1</v>
      </c>
      <c r="J14" s="11" cm="1">
        <f t="array" ref="J14">_xlfn.LET(_xlpm.x,_xlfn._xlws.FILTER('Main Sheet'!$G$2:$G$564,(MONTH('Main Sheet'!$B$2:$B$564) = (COLUMN('Income &amp; Expenses 2021'!J7) -3)) * ('Main Sheet'!$E$2:$E$564='Income &amp; Expenses 2021'!$B14),0), SUM(_xlpm.x))</f>
        <v>259.29999999999995</v>
      </c>
      <c r="K14" s="11" cm="1">
        <f t="array" ref="K14">_xlfn.LET(_xlpm.x,_xlfn._xlws.FILTER('Main Sheet'!$G$2:$G$564,(MONTH('Main Sheet'!$B$2:$B$564) = (COLUMN('Income &amp; Expenses 2021'!K7) -3)) * ('Main Sheet'!$E$2:$E$564='Income &amp; Expenses 2021'!$B14),0), SUM(_xlpm.x))</f>
        <v>252.5</v>
      </c>
      <c r="L14" s="11" cm="1">
        <f t="array" ref="L14">_xlfn.LET(_xlpm.x,_xlfn._xlws.FILTER('Main Sheet'!$G$2:$G$564,(MONTH('Main Sheet'!$B$2:$B$564) = (COLUMN('Income &amp; Expenses 2021'!L7) -3)) * ('Main Sheet'!$E$2:$E$564='Income &amp; Expenses 2021'!$B14),0), SUM(_xlpm.x))</f>
        <v>250.5</v>
      </c>
      <c r="M14" s="11" cm="1">
        <f t="array" ref="M14">_xlfn.LET(_xlpm.x,_xlfn._xlws.FILTER('Main Sheet'!$G$2:$G$564,(MONTH('Main Sheet'!$B$2:$B$564) = (COLUMN('Income &amp; Expenses 2021'!M7) -3)) * ('Main Sheet'!$E$2:$E$564='Income &amp; Expenses 2021'!$B14),0), SUM(_xlpm.x))</f>
        <v>258.39999999999998</v>
      </c>
      <c r="N14" s="11" cm="1">
        <f t="array" ref="N14">_xlfn.LET(_xlpm.x,_xlfn._xlws.FILTER('Main Sheet'!$G$2:$G$564,(MONTH('Main Sheet'!$B$2:$B$564) = (COLUMN('Income &amp; Expenses 2021'!N7) -3)) * ('Main Sheet'!$E$2:$E$564='Income &amp; Expenses 2021'!$B14),0), SUM(_xlpm.x))</f>
        <v>289</v>
      </c>
      <c r="O14" s="11" cm="1">
        <f t="array" ref="O14">_xlfn.LET(_xlpm.x,_xlfn._xlws.FILTER('Main Sheet'!$G$2:$G$564,(MONTH('Main Sheet'!$B$2:$B$564) = (COLUMN('Income &amp; Expenses 2021'!O7) -3)) * ('Main Sheet'!$E$2:$E$564='Income &amp; Expenses 2021'!$B14),0), SUM(_xlpm.x))</f>
        <v>157</v>
      </c>
      <c r="Q14" s="11">
        <f t="shared" si="0"/>
        <v>2842.9</v>
      </c>
    </row>
    <row r="15" spans="2:17" ht="15.75" x14ac:dyDescent="0.25">
      <c r="B15" t="str">
        <v>Discretionary</v>
      </c>
      <c r="C15" t="str" cm="1">
        <f t="array" ref="C15">_xlfn.LET(_xlpm.x,_xlfn.UNIQUE(_xlfn._xlws.FILTER(tbl_main[Sub-category],tbl_main[Category]='Income &amp; Expenses 2021'!B15)),
            _xlfn.ARRAYTOTEXT(_xlfn._xlws.SORT(_xlpm.x)))</f>
        <v>Clothes, Entertainment, Furnishings, Gifts, Gym</v>
      </c>
      <c r="D15" s="11" cm="1">
        <f t="array" ref="D15">_xlfn.LET(_xlpm.x,_xlfn._xlws.FILTER('Main Sheet'!$G$2:$G$564,(MONTH('Main Sheet'!$B$2:$B$564) = (COLUMN('Income &amp; Expenses 2021'!D8) -3)) * ('Main Sheet'!$E$2:$E$564='Income &amp; Expenses 2021'!$B15),0), SUM(_xlpm.x))</f>
        <v>690</v>
      </c>
      <c r="E15" s="11" cm="1">
        <f t="array" ref="E15">_xlfn.LET(_xlpm.x,_xlfn._xlws.FILTER('Main Sheet'!$G$2:$G$564,(MONTH('Main Sheet'!$B$2:$B$564) = (COLUMN('Income &amp; Expenses 2021'!E8) -3)) * ('Main Sheet'!$E$2:$E$564='Income &amp; Expenses 2021'!$B15),0), SUM(_xlpm.x))</f>
        <v>659.80000000000007</v>
      </c>
      <c r="F15" s="11" cm="1">
        <f t="array" ref="F15">_xlfn.LET(_xlpm.x,_xlfn._xlws.FILTER('Main Sheet'!$G$2:$G$564,(MONTH('Main Sheet'!$B$2:$B$564) = (COLUMN('Income &amp; Expenses 2021'!F8) -3)) * ('Main Sheet'!$E$2:$E$564='Income &amp; Expenses 2021'!$B15),0), SUM(_xlpm.x))</f>
        <v>704.80000000000007</v>
      </c>
      <c r="G15" s="11" cm="1">
        <f t="array" ref="G15">_xlfn.LET(_xlpm.x,_xlfn._xlws.FILTER('Main Sheet'!$G$2:$G$564,(MONTH('Main Sheet'!$B$2:$B$564) = (COLUMN('Income &amp; Expenses 2021'!G8) -3)) * ('Main Sheet'!$E$2:$E$564='Income &amp; Expenses 2021'!$B15),0), SUM(_xlpm.x))</f>
        <v>832.6</v>
      </c>
      <c r="H15" s="11" cm="1">
        <f t="array" ref="H15">_xlfn.LET(_xlpm.x,_xlfn._xlws.FILTER('Main Sheet'!$G$2:$G$564,(MONTH('Main Sheet'!$B$2:$B$564) = (COLUMN('Income &amp; Expenses 2021'!H8) -3)) * ('Main Sheet'!$E$2:$E$564='Income &amp; Expenses 2021'!$B15),0), SUM(_xlpm.x))</f>
        <v>772.7</v>
      </c>
      <c r="I15" s="11" cm="1">
        <f t="array" ref="I15">_xlfn.LET(_xlpm.x,_xlfn._xlws.FILTER('Main Sheet'!$G$2:$G$564,(MONTH('Main Sheet'!$B$2:$B$564) = (COLUMN('Income &amp; Expenses 2021'!I8) -3)) * ('Main Sheet'!$E$2:$E$564='Income &amp; Expenses 2021'!$B15),0), SUM(_xlpm.x))</f>
        <v>723.19999999999993</v>
      </c>
      <c r="J15" s="11" cm="1">
        <f t="array" ref="J15">_xlfn.LET(_xlpm.x,_xlfn._xlws.FILTER('Main Sheet'!$G$2:$G$564,(MONTH('Main Sheet'!$B$2:$B$564) = (COLUMN('Income &amp; Expenses 2021'!J8) -3)) * ('Main Sheet'!$E$2:$E$564='Income &amp; Expenses 2021'!$B15),0), SUM(_xlpm.x))</f>
        <v>729.10000000000014</v>
      </c>
      <c r="K15" s="11" cm="1">
        <f t="array" ref="K15">_xlfn.LET(_xlpm.x,_xlfn._xlws.FILTER('Main Sheet'!$G$2:$G$564,(MONTH('Main Sheet'!$B$2:$B$564) = (COLUMN('Income &amp; Expenses 2021'!K8) -3)) * ('Main Sheet'!$E$2:$E$564='Income &amp; Expenses 2021'!$B15),0), SUM(_xlpm.x))</f>
        <v>735.19999999999993</v>
      </c>
      <c r="L15" s="11" cm="1">
        <f t="array" ref="L15">_xlfn.LET(_xlpm.x,_xlfn._xlws.FILTER('Main Sheet'!$G$2:$G$564,(MONTH('Main Sheet'!$B$2:$B$564) = (COLUMN('Income &amp; Expenses 2021'!L8) -3)) * ('Main Sheet'!$E$2:$E$564='Income &amp; Expenses 2021'!$B15),0), SUM(_xlpm.x))</f>
        <v>732.9</v>
      </c>
      <c r="M15" s="11" cm="1">
        <f t="array" ref="M15">_xlfn.LET(_xlpm.x,_xlfn._xlws.FILTER('Main Sheet'!$G$2:$G$564,(MONTH('Main Sheet'!$B$2:$B$564) = (COLUMN('Income &amp; Expenses 2021'!M8) -3)) * ('Main Sheet'!$E$2:$E$564='Income &amp; Expenses 2021'!$B15),0), SUM(_xlpm.x))</f>
        <v>747.3</v>
      </c>
      <c r="N15" s="11" cm="1">
        <f t="array" ref="N15">_xlfn.LET(_xlpm.x,_xlfn._xlws.FILTER('Main Sheet'!$G$2:$G$564,(MONTH('Main Sheet'!$B$2:$B$564) = (COLUMN('Income &amp; Expenses 2021'!N8) -3)) * ('Main Sheet'!$E$2:$E$564='Income &amp; Expenses 2021'!$B15),0), SUM(_xlpm.x))</f>
        <v>414</v>
      </c>
      <c r="O15" s="11" cm="1">
        <f t="array" ref="O15">_xlfn.LET(_xlpm.x,_xlfn._xlws.FILTER('Main Sheet'!$G$2:$G$564,(MONTH('Main Sheet'!$B$2:$B$564) = (COLUMN('Income &amp; Expenses 2021'!O8) -3)) * ('Main Sheet'!$E$2:$E$564='Income &amp; Expenses 2021'!$B15),0), SUM(_xlpm.x))</f>
        <v>175</v>
      </c>
      <c r="Q15" s="11">
        <f t="shared" si="0"/>
        <v>7916.6</v>
      </c>
    </row>
    <row r="16" spans="2:17" ht="15.75" x14ac:dyDescent="0.25">
      <c r="B16" t="str">
        <v>Living Expenses</v>
      </c>
      <c r="C16" t="str" cm="1">
        <f t="array" ref="C16">_xlfn.LET(_xlpm.x,_xlfn.UNIQUE(_xlfn._xlws.FILTER(tbl_main[Sub-category],tbl_main[Category]='Income &amp; Expenses 2021'!B16)),
            _xlfn.ARRAYTOTEXT(_xlfn._xlws.SORT(_xlpm.x)))</f>
        <v>Gas/Electrics, Groceries, Phone, Rent</v>
      </c>
      <c r="D16" s="11" cm="1">
        <f t="array" ref="D16">_xlfn.LET(_xlpm.x,_xlfn._xlws.FILTER('Main Sheet'!$G$2:$G$564,(MONTH('Main Sheet'!$B$2:$B$564) = (COLUMN('Income &amp; Expenses 2021'!D9) -3)) * ('Main Sheet'!$E$2:$E$564='Income &amp; Expenses 2021'!$B16),0), SUM(_xlpm.x))</f>
        <v>1612</v>
      </c>
      <c r="E16" s="11" cm="1">
        <f t="array" ref="E16">_xlfn.LET(_xlpm.x,_xlfn._xlws.FILTER('Main Sheet'!$G$2:$G$564,(MONTH('Main Sheet'!$B$2:$B$564) = (COLUMN('Income &amp; Expenses 2021'!E9) -3)) * ('Main Sheet'!$E$2:$E$564='Income &amp; Expenses 2021'!$B16),0), SUM(_xlpm.x))</f>
        <v>1665.9</v>
      </c>
      <c r="F16" s="11" cm="1">
        <f t="array" ref="F16">_xlfn.LET(_xlpm.x,_xlfn._xlws.FILTER('Main Sheet'!$G$2:$G$564,(MONTH('Main Sheet'!$B$2:$B$564) = (COLUMN('Income &amp; Expenses 2021'!F9) -3)) * ('Main Sheet'!$E$2:$E$564='Income &amp; Expenses 2021'!$B16),0), SUM(_xlpm.x))</f>
        <v>1659</v>
      </c>
      <c r="G16" s="11" cm="1">
        <f t="array" ref="G16">_xlfn.LET(_xlpm.x,_xlfn._xlws.FILTER('Main Sheet'!$G$2:$G$564,(MONTH('Main Sheet'!$B$2:$B$564) = (COLUMN('Income &amp; Expenses 2021'!G9) -3)) * ('Main Sheet'!$E$2:$E$564='Income &amp; Expenses 2021'!$B16),0), SUM(_xlpm.x))</f>
        <v>1587.3000000000002</v>
      </c>
      <c r="H16" s="11" cm="1">
        <f t="array" ref="H16">_xlfn.LET(_xlpm.x,_xlfn._xlws.FILTER('Main Sheet'!$G$2:$G$564,(MONTH('Main Sheet'!$B$2:$B$564) = (COLUMN('Income &amp; Expenses 2021'!H9) -3)) * ('Main Sheet'!$E$2:$E$564='Income &amp; Expenses 2021'!$B16),0), SUM(_xlpm.x))</f>
        <v>1642.9999999999998</v>
      </c>
      <c r="I16" s="11" cm="1">
        <f t="array" ref="I16">_xlfn.LET(_xlpm.x,_xlfn._xlws.FILTER('Main Sheet'!$G$2:$G$564,(MONTH('Main Sheet'!$B$2:$B$564) = (COLUMN('Income &amp; Expenses 2021'!I9) -3)) * ('Main Sheet'!$E$2:$E$564='Income &amp; Expenses 2021'!$B16),0), SUM(_xlpm.x))</f>
        <v>1655.1000000000001</v>
      </c>
      <c r="J16" s="11" cm="1">
        <f t="array" ref="J16">_xlfn.LET(_xlpm.x,_xlfn._xlws.FILTER('Main Sheet'!$G$2:$G$564,(MONTH('Main Sheet'!$B$2:$B$564) = (COLUMN('Income &amp; Expenses 2021'!J9) -3)) * ('Main Sheet'!$E$2:$E$564='Income &amp; Expenses 2021'!$B16),0), SUM(_xlpm.x))</f>
        <v>1686.1999999999998</v>
      </c>
      <c r="K16" s="11" cm="1">
        <f t="array" ref="K16">_xlfn.LET(_xlpm.x,_xlfn._xlws.FILTER('Main Sheet'!$G$2:$G$564,(MONTH('Main Sheet'!$B$2:$B$564) = (COLUMN('Income &amp; Expenses 2021'!K9) -3)) * ('Main Sheet'!$E$2:$E$564='Income &amp; Expenses 2021'!$B16),0), SUM(_xlpm.x))</f>
        <v>1570.1</v>
      </c>
      <c r="L16" s="11" cm="1">
        <f t="array" ref="L16">_xlfn.LET(_xlpm.x,_xlfn._xlws.FILTER('Main Sheet'!$G$2:$G$564,(MONTH('Main Sheet'!$B$2:$B$564) = (COLUMN('Income &amp; Expenses 2021'!L9) -3)) * ('Main Sheet'!$E$2:$E$564='Income &amp; Expenses 2021'!$B16),0), SUM(_xlpm.x))</f>
        <v>1705.4</v>
      </c>
      <c r="M16" s="11" cm="1">
        <f t="array" ref="M16">_xlfn.LET(_xlpm.x,_xlfn._xlws.FILTER('Main Sheet'!$G$2:$G$564,(MONTH('Main Sheet'!$B$2:$B$564) = (COLUMN('Income &amp; Expenses 2021'!M9) -3)) * ('Main Sheet'!$E$2:$E$564='Income &amp; Expenses 2021'!$B16),0), SUM(_xlpm.x))</f>
        <v>1615.8000000000002</v>
      </c>
      <c r="N16" s="11" cm="1">
        <f t="array" ref="N16">_xlfn.LET(_xlpm.x,_xlfn._xlws.FILTER('Main Sheet'!$G$2:$G$564,(MONTH('Main Sheet'!$B$2:$B$564) = (COLUMN('Income &amp; Expenses 2021'!N9) -3)) * ('Main Sheet'!$E$2:$E$564='Income &amp; Expenses 2021'!$B16),0), SUM(_xlpm.x))</f>
        <v>1733</v>
      </c>
      <c r="O16" s="11" cm="1">
        <f t="array" ref="O16">_xlfn.LET(_xlpm.x,_xlfn._xlws.FILTER('Main Sheet'!$G$2:$G$564,(MONTH('Main Sheet'!$B$2:$B$564) = (COLUMN('Income &amp; Expenses 2021'!O9) -3)) * ('Main Sheet'!$E$2:$E$564='Income &amp; Expenses 2021'!$B16),0), SUM(_xlpm.x))</f>
        <v>1309</v>
      </c>
      <c r="Q16" s="11">
        <f t="shared" si="0"/>
        <v>19441.8</v>
      </c>
    </row>
    <row r="17" spans="2:17" ht="15.75" x14ac:dyDescent="0.25">
      <c r="B17" t="str">
        <v>Medical</v>
      </c>
      <c r="C17" t="str" cm="1">
        <f t="array" ref="C17">_xlfn.LET(_xlpm.x,_xlfn.UNIQUE(_xlfn._xlws.FILTER(tbl_main[Sub-category],tbl_main[Category]='Income &amp; Expenses 2021'!B17)),
            _xlfn.ARRAYTOTEXT(_xlfn._xlws.SORT(_xlpm.x)))</f>
        <v>Doctor</v>
      </c>
      <c r="D17" s="11" cm="1">
        <f t="array" ref="D17">_xlfn.LET(_xlpm.x,_xlfn._xlws.FILTER('Main Sheet'!$G$2:$G$564,(MONTH('Main Sheet'!$B$2:$B$564) = (COLUMN('Income &amp; Expenses 2021'!D10) -3)) * ('Main Sheet'!$E$2:$E$564='Income &amp; Expenses 2021'!$B17),0), SUM(_xlpm.x))</f>
        <v>1504</v>
      </c>
      <c r="E17" s="11" cm="1">
        <f t="array" ref="E17">_xlfn.LET(_xlpm.x,_xlfn._xlws.FILTER('Main Sheet'!$G$2:$G$564,(MONTH('Main Sheet'!$B$2:$B$564) = (COLUMN('Income &amp; Expenses 2021'!E10) -3)) * ('Main Sheet'!$E$2:$E$564='Income &amp; Expenses 2021'!$B17),0), SUM(_xlpm.x))</f>
        <v>0</v>
      </c>
      <c r="F17" s="11" cm="1">
        <f t="array" ref="F17">_xlfn.LET(_xlpm.x,_xlfn._xlws.FILTER('Main Sheet'!$G$2:$G$564,(MONTH('Main Sheet'!$B$2:$B$564) = (COLUMN('Income &amp; Expenses 2021'!F10) -3)) * ('Main Sheet'!$E$2:$E$564='Income &amp; Expenses 2021'!$B17),0), SUM(_xlpm.x))</f>
        <v>75</v>
      </c>
      <c r="G17" s="11" cm="1">
        <f t="array" ref="G17">_xlfn.LET(_xlpm.x,_xlfn._xlws.FILTER('Main Sheet'!$G$2:$G$564,(MONTH('Main Sheet'!$B$2:$B$564) = (COLUMN('Income &amp; Expenses 2021'!G10) -3)) * ('Main Sheet'!$E$2:$E$564='Income &amp; Expenses 2021'!$B17),0), SUM(_xlpm.x))</f>
        <v>0</v>
      </c>
      <c r="H17" s="11" cm="1">
        <f t="array" ref="H17">_xlfn.LET(_xlpm.x,_xlfn._xlws.FILTER('Main Sheet'!$G$2:$G$564,(MONTH('Main Sheet'!$B$2:$B$564) = (COLUMN('Income &amp; Expenses 2021'!H10) -3)) * ('Main Sheet'!$E$2:$E$564='Income &amp; Expenses 2021'!$B17),0), SUM(_xlpm.x))</f>
        <v>75</v>
      </c>
      <c r="I17" s="11" cm="1">
        <f t="array" ref="I17">_xlfn.LET(_xlpm.x,_xlfn._xlws.FILTER('Main Sheet'!$G$2:$G$564,(MONTH('Main Sheet'!$B$2:$B$564) = (COLUMN('Income &amp; Expenses 2021'!I10) -3)) * ('Main Sheet'!$E$2:$E$564='Income &amp; Expenses 2021'!$B17),0), SUM(_xlpm.x))</f>
        <v>0</v>
      </c>
      <c r="J17" s="11" cm="1">
        <f t="array" ref="J17">_xlfn.LET(_xlpm.x,_xlfn._xlws.FILTER('Main Sheet'!$G$2:$G$564,(MONTH('Main Sheet'!$B$2:$B$564) = (COLUMN('Income &amp; Expenses 2021'!J10) -3)) * ('Main Sheet'!$E$2:$E$564='Income &amp; Expenses 2021'!$B17),0), SUM(_xlpm.x))</f>
        <v>0</v>
      </c>
      <c r="K17" s="11" cm="1">
        <f t="array" ref="K17">_xlfn.LET(_xlpm.x,_xlfn._xlws.FILTER('Main Sheet'!$G$2:$G$564,(MONTH('Main Sheet'!$B$2:$B$564) = (COLUMN('Income &amp; Expenses 2021'!K10) -3)) * ('Main Sheet'!$E$2:$E$564='Income &amp; Expenses 2021'!$B17),0), SUM(_xlpm.x))</f>
        <v>0</v>
      </c>
      <c r="L17" s="11" cm="1">
        <f t="array" ref="L17">_xlfn.LET(_xlpm.x,_xlfn._xlws.FILTER('Main Sheet'!$G$2:$G$564,(MONTH('Main Sheet'!$B$2:$B$564) = (COLUMN('Income &amp; Expenses 2021'!L10) -3)) * ('Main Sheet'!$E$2:$E$564='Income &amp; Expenses 2021'!$B17),0), SUM(_xlpm.x))</f>
        <v>0</v>
      </c>
      <c r="M17" s="11" cm="1">
        <f t="array" ref="M17">_xlfn.LET(_xlpm.x,_xlfn._xlws.FILTER('Main Sheet'!$G$2:$G$564,(MONTH('Main Sheet'!$B$2:$B$564) = (COLUMN('Income &amp; Expenses 2021'!M10) -3)) * ('Main Sheet'!$E$2:$E$564='Income &amp; Expenses 2021'!$B17),0), SUM(_xlpm.x))</f>
        <v>75</v>
      </c>
      <c r="N17" s="11" cm="1">
        <f t="array" ref="N17">_xlfn.LET(_xlpm.x,_xlfn._xlws.FILTER('Main Sheet'!$G$2:$G$564,(MONTH('Main Sheet'!$B$2:$B$564) = (COLUMN('Income &amp; Expenses 2021'!N10) -3)) * ('Main Sheet'!$E$2:$E$564='Income &amp; Expenses 2021'!$B17),0), SUM(_xlpm.x))</f>
        <v>0</v>
      </c>
      <c r="O17" s="11" cm="1">
        <f t="array" ref="O17">_xlfn.LET(_xlpm.x,_xlfn._xlws.FILTER('Main Sheet'!$G$2:$G$564,(MONTH('Main Sheet'!$B$2:$B$564) = (COLUMN('Income &amp; Expenses 2021'!O10) -3)) * ('Main Sheet'!$E$2:$E$564='Income &amp; Expenses 2021'!$B17),0), SUM(_xlpm.x))</f>
        <v>0</v>
      </c>
      <c r="Q17" s="11">
        <f t="shared" si="0"/>
        <v>1729</v>
      </c>
    </row>
    <row r="18" spans="2:17" ht="15.75" x14ac:dyDescent="0.25">
      <c r="B18" t="str">
        <v>Transport</v>
      </c>
      <c r="C18" t="str" cm="1">
        <f t="array" ref="C18">_xlfn.LET(_xlpm.x,_xlfn.UNIQUE(_xlfn._xlws.FILTER(tbl_main[Sub-category],tbl_main[Category]='Income &amp; Expenses 2021'!B18)),
            _xlfn.ARRAYTOTEXT(_xlfn._xlws.SORT(_xlpm.x)))</f>
        <v>Entertainment, MV Fuel, Taxi</v>
      </c>
      <c r="D18" s="11" cm="1">
        <f t="array" ref="D18">_xlfn.LET(_xlpm.x,_xlfn._xlws.FILTER('Main Sheet'!$G$2:$G$564,(MONTH('Main Sheet'!$B$2:$B$564) = (COLUMN('Income &amp; Expenses 2021'!D11) -3)) * ('Main Sheet'!$E$2:$E$564='Income &amp; Expenses 2021'!$B18),0), SUM(_xlpm.x))</f>
        <v>341</v>
      </c>
      <c r="E18" s="11" cm="1">
        <f t="array" ref="E18">_xlfn.LET(_xlpm.x,_xlfn._xlws.FILTER('Main Sheet'!$G$2:$G$564,(MONTH('Main Sheet'!$B$2:$B$564) = (COLUMN('Income &amp; Expenses 2021'!E11) -3)) * ('Main Sheet'!$E$2:$E$564='Income &amp; Expenses 2021'!$B18),0), SUM(_xlpm.x))</f>
        <v>345.1</v>
      </c>
      <c r="F18" s="11" cm="1">
        <f t="array" ref="F18">_xlfn.LET(_xlpm.x,_xlfn._xlws.FILTER('Main Sheet'!$G$2:$G$564,(MONTH('Main Sheet'!$B$2:$B$564) = (COLUMN('Income &amp; Expenses 2021'!F11) -3)) * ('Main Sheet'!$E$2:$E$564='Income &amp; Expenses 2021'!$B18),0), SUM(_xlpm.x))</f>
        <v>348.9</v>
      </c>
      <c r="G18" s="11" cm="1">
        <f t="array" ref="G18">_xlfn.LET(_xlpm.x,_xlfn._xlws.FILTER('Main Sheet'!$G$2:$G$564,(MONTH('Main Sheet'!$B$2:$B$564) = (COLUMN('Income &amp; Expenses 2021'!G11) -3)) * ('Main Sheet'!$E$2:$E$564='Income &amp; Expenses 2021'!$B18),0), SUM(_xlpm.x))</f>
        <v>353</v>
      </c>
      <c r="H18" s="11" cm="1">
        <f t="array" ref="H18">_xlfn.LET(_xlpm.x,_xlfn._xlws.FILTER('Main Sheet'!$G$2:$G$564,(MONTH('Main Sheet'!$B$2:$B$564) = (COLUMN('Income &amp; Expenses 2021'!H11) -3)) * ('Main Sheet'!$E$2:$E$564='Income &amp; Expenses 2021'!$B18),0), SUM(_xlpm.x))</f>
        <v>357.2</v>
      </c>
      <c r="I18" s="11" cm="1">
        <f t="array" ref="I18">_xlfn.LET(_xlpm.x,_xlfn._xlws.FILTER('Main Sheet'!$G$2:$G$564,(MONTH('Main Sheet'!$B$2:$B$564) = (COLUMN('Income &amp; Expenses 2021'!I11) -3)) * ('Main Sheet'!$E$2:$E$564='Income &amp; Expenses 2021'!$B18),0), SUM(_xlpm.x))</f>
        <v>361.3</v>
      </c>
      <c r="J18" s="11" cm="1">
        <f t="array" ref="J18">_xlfn.LET(_xlpm.x,_xlfn._xlws.FILTER('Main Sheet'!$G$2:$G$564,(MONTH('Main Sheet'!$B$2:$B$564) = (COLUMN('Income &amp; Expenses 2021'!J11) -3)) * ('Main Sheet'!$E$2:$E$564='Income &amp; Expenses 2021'!$B18),0), SUM(_xlpm.x))</f>
        <v>365.40000000000003</v>
      </c>
      <c r="K18" s="11" cm="1">
        <f t="array" ref="K18">_xlfn.LET(_xlpm.x,_xlfn._xlws.FILTER('Main Sheet'!$G$2:$G$564,(MONTH('Main Sheet'!$B$2:$B$564) = (COLUMN('Income &amp; Expenses 2021'!K11) -3)) * ('Main Sheet'!$E$2:$E$564='Income &amp; Expenses 2021'!$B18),0), SUM(_xlpm.x))</f>
        <v>369.3</v>
      </c>
      <c r="L18" s="11" cm="1">
        <f t="array" ref="L18">_xlfn.LET(_xlpm.x,_xlfn._xlws.FILTER('Main Sheet'!$G$2:$G$564,(MONTH('Main Sheet'!$B$2:$B$564) = (COLUMN('Income &amp; Expenses 2021'!L11) -3)) * ('Main Sheet'!$E$2:$E$564='Income &amp; Expenses 2021'!$B18),0), SUM(_xlpm.x))</f>
        <v>373.3</v>
      </c>
      <c r="M18" s="11" cm="1">
        <f t="array" ref="M18">_xlfn.LET(_xlpm.x,_xlfn._xlws.FILTER('Main Sheet'!$G$2:$G$564,(MONTH('Main Sheet'!$B$2:$B$564) = (COLUMN('Income &amp; Expenses 2021'!M11) -3)) * ('Main Sheet'!$E$2:$E$564='Income &amp; Expenses 2021'!$B18),0), SUM(_xlpm.x))</f>
        <v>377.20000000000005</v>
      </c>
      <c r="N18" s="11" cm="1">
        <f t="array" ref="N18">_xlfn.LET(_xlpm.x,_xlfn._xlws.FILTER('Main Sheet'!$G$2:$G$564,(MONTH('Main Sheet'!$B$2:$B$564) = (COLUMN('Income &amp; Expenses 2021'!N11) -3)) * ('Main Sheet'!$E$2:$E$564='Income &amp; Expenses 2021'!$B18),0), SUM(_xlpm.x))</f>
        <v>381</v>
      </c>
      <c r="O18" s="11" cm="1">
        <f t="array" ref="O18">_xlfn.LET(_xlpm.x,_xlfn._xlws.FILTER('Main Sheet'!$G$2:$G$564,(MONTH('Main Sheet'!$B$2:$B$564) = (COLUMN('Income &amp; Expenses 2021'!O11) -3)) * ('Main Sheet'!$E$2:$E$564='Income &amp; Expenses 2021'!$B18),0), SUM(_xlpm.x))</f>
        <v>272</v>
      </c>
      <c r="Q18" s="11">
        <f t="shared" si="0"/>
        <v>4244.7000000000007</v>
      </c>
    </row>
    <row r="19" spans="2:17" ht="15.75" x14ac:dyDescent="0.25">
      <c r="B19" s="15" t="s">
        <v>86</v>
      </c>
      <c r="C19" s="16"/>
      <c r="D19" s="16">
        <f>SUM(D13:D18)</f>
        <v>4423</v>
      </c>
      <c r="E19" s="16">
        <f t="shared" ref="E19:O19" si="2">SUM(E13:E18)</f>
        <v>2934.6</v>
      </c>
      <c r="F19" s="16">
        <f t="shared" si="2"/>
        <v>3079.7000000000003</v>
      </c>
      <c r="G19" s="16">
        <f t="shared" si="2"/>
        <v>3068</v>
      </c>
      <c r="H19" s="16">
        <f t="shared" si="2"/>
        <v>3146.0999999999995</v>
      </c>
      <c r="I19" s="16">
        <f t="shared" si="2"/>
        <v>3035.7000000000003</v>
      </c>
      <c r="J19" s="16">
        <f t="shared" si="2"/>
        <v>3095</v>
      </c>
      <c r="K19" s="16">
        <f t="shared" si="2"/>
        <v>2982.1</v>
      </c>
      <c r="L19" s="16">
        <f t="shared" si="2"/>
        <v>3117.1000000000004</v>
      </c>
      <c r="M19" s="16">
        <f t="shared" si="2"/>
        <v>3128.7</v>
      </c>
      <c r="N19" s="16">
        <f t="shared" si="2"/>
        <v>2872</v>
      </c>
      <c r="O19" s="16">
        <f t="shared" si="2"/>
        <v>1913</v>
      </c>
      <c r="Q19" s="11">
        <f t="shared" si="0"/>
        <v>36795</v>
      </c>
    </row>
    <row r="20" spans="2:17" ht="15.75" x14ac:dyDescent="0.25">
      <c r="D20" s="11"/>
      <c r="E20" s="11"/>
      <c r="F20" s="11"/>
      <c r="G20" s="11"/>
      <c r="H20" s="11"/>
      <c r="I20" s="11"/>
      <c r="J20" s="11"/>
      <c r="K20" s="11"/>
      <c r="L20" s="11"/>
      <c r="M20" s="11"/>
      <c r="N20" s="11"/>
      <c r="O20" s="11"/>
      <c r="Q20" s="11" t="str">
        <f t="shared" si="0"/>
        <v/>
      </c>
    </row>
    <row r="21" spans="2:17" ht="15.75" x14ac:dyDescent="0.25">
      <c r="B21" s="17" t="s">
        <v>87</v>
      </c>
      <c r="C21" s="18"/>
      <c r="D21" s="22">
        <f>D9-D19</f>
        <v>-423</v>
      </c>
      <c r="E21" s="22">
        <f t="shared" ref="E21:O21" si="3">E9-E19</f>
        <v>1065.4000000000001</v>
      </c>
      <c r="F21" s="22">
        <f t="shared" si="3"/>
        <v>920.29999999999973</v>
      </c>
      <c r="G21" s="22">
        <f t="shared" si="3"/>
        <v>932</v>
      </c>
      <c r="H21" s="22">
        <f t="shared" si="3"/>
        <v>853.90000000000055</v>
      </c>
      <c r="I21" s="22">
        <f t="shared" si="3"/>
        <v>964.29999999999973</v>
      </c>
      <c r="J21" s="22">
        <f t="shared" si="3"/>
        <v>905</v>
      </c>
      <c r="K21" s="22">
        <f t="shared" si="3"/>
        <v>1017.9000000000001</v>
      </c>
      <c r="L21" s="22">
        <f t="shared" si="3"/>
        <v>882.89999999999964</v>
      </c>
      <c r="M21" s="22">
        <f t="shared" si="3"/>
        <v>871.30000000000018</v>
      </c>
      <c r="N21" s="22">
        <f t="shared" si="3"/>
        <v>1128</v>
      </c>
      <c r="O21" s="22">
        <f t="shared" si="3"/>
        <v>2087</v>
      </c>
      <c r="Q21" s="11">
        <f t="shared" si="0"/>
        <v>11205</v>
      </c>
    </row>
    <row r="22" spans="2:17" ht="15.75" x14ac:dyDescent="0.25">
      <c r="B22" s="19" t="s">
        <v>88</v>
      </c>
      <c r="C22" s="20"/>
      <c r="D22" s="21">
        <f>D21</f>
        <v>-423</v>
      </c>
      <c r="E22" s="21">
        <f>SUM(D22,E21)</f>
        <v>642.40000000000009</v>
      </c>
      <c r="F22" s="21">
        <f t="shared" ref="F22:O22" si="4">SUM(E22,F21)</f>
        <v>1562.6999999999998</v>
      </c>
      <c r="G22" s="21">
        <f t="shared" si="4"/>
        <v>2494.6999999999998</v>
      </c>
      <c r="H22" s="21">
        <f t="shared" si="4"/>
        <v>3348.6000000000004</v>
      </c>
      <c r="I22" s="21">
        <f t="shared" si="4"/>
        <v>4312.8999999999996</v>
      </c>
      <c r="J22" s="21">
        <f t="shared" si="4"/>
        <v>5217.8999999999996</v>
      </c>
      <c r="K22" s="21">
        <f t="shared" si="4"/>
        <v>6235.7999999999993</v>
      </c>
      <c r="L22" s="21">
        <f t="shared" si="4"/>
        <v>7118.6999999999989</v>
      </c>
      <c r="M22" s="21">
        <f t="shared" si="4"/>
        <v>7989.9999999999991</v>
      </c>
      <c r="N22" s="21">
        <f t="shared" si="4"/>
        <v>9118</v>
      </c>
      <c r="O22" s="21">
        <f t="shared" si="4"/>
        <v>11205</v>
      </c>
      <c r="Q22" s="11">
        <f>O22</f>
        <v>11205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7B0B6-A49C-40AF-A7A1-AC498EC9BF26}">
  <dimension ref="A1:T37"/>
  <sheetViews>
    <sheetView showGridLines="0" workbookViewId="0">
      <selection activeCell="A13" sqref="A13"/>
    </sheetView>
  </sheetViews>
  <sheetFormatPr defaultRowHeight="15" x14ac:dyDescent="0.25"/>
  <cols>
    <col min="1" max="1" width="14.85546875" bestFit="1" customWidth="1"/>
    <col min="2" max="2" width="15" customWidth="1"/>
    <col min="3" max="3" width="1.140625" style="25" customWidth="1"/>
    <col min="4" max="4" width="13.42578125" bestFit="1" customWidth="1"/>
    <col min="5" max="5" width="13.5703125" bestFit="1" customWidth="1"/>
    <col min="6" max="6" width="12.7109375" bestFit="1" customWidth="1"/>
    <col min="7" max="7" width="13.7109375" bestFit="1" customWidth="1"/>
    <col min="8" max="8" width="1.140625" style="25" customWidth="1"/>
    <col min="9" max="9" width="13.42578125" bestFit="1" customWidth="1"/>
    <col min="10" max="10" width="14.85546875" bestFit="1" customWidth="1"/>
    <col min="11" max="11" width="1.140625" style="25" customWidth="1"/>
    <col min="12" max="12" width="14.7109375" bestFit="1" customWidth="1"/>
    <col min="13" max="13" width="12.7109375" bestFit="1" customWidth="1"/>
    <col min="14" max="14" width="17.42578125" customWidth="1"/>
    <col min="15" max="15" width="1.140625" style="25" customWidth="1"/>
    <col min="16" max="16" width="13.42578125" bestFit="1" customWidth="1"/>
    <col min="17" max="17" width="12.7109375" bestFit="1" customWidth="1"/>
    <col min="18" max="18" width="1.140625" style="25" customWidth="1"/>
    <col min="19" max="19" width="15.42578125" bestFit="1" customWidth="1"/>
    <col min="20" max="20" width="12.7109375" bestFit="1" customWidth="1"/>
  </cols>
  <sheetData>
    <row r="1" spans="1:20" ht="15" customHeight="1" x14ac:dyDescent="0.5">
      <c r="A1" s="29" t="s">
        <v>89</v>
      </c>
      <c r="B1" s="29"/>
      <c r="D1" s="28" t="s">
        <v>92</v>
      </c>
      <c r="E1" s="28"/>
      <c r="F1" s="28"/>
      <c r="G1" s="28"/>
      <c r="H1" s="26"/>
      <c r="I1" s="28" t="s">
        <v>94</v>
      </c>
      <c r="J1" s="28"/>
      <c r="K1" s="26"/>
      <c r="L1" s="28" t="s">
        <v>95</v>
      </c>
      <c r="M1" s="28"/>
      <c r="N1" s="28"/>
      <c r="O1" s="26"/>
      <c r="P1" s="28" t="s">
        <v>96</v>
      </c>
      <c r="Q1" s="28"/>
      <c r="R1" s="26"/>
      <c r="S1" s="28" t="s">
        <v>96</v>
      </c>
      <c r="T1" s="28"/>
    </row>
    <row r="2" spans="1:20" ht="15" customHeight="1" x14ac:dyDescent="0.5">
      <c r="A2" s="29"/>
      <c r="B2" s="29"/>
      <c r="D2" s="28"/>
      <c r="E2" s="28"/>
      <c r="F2" s="28"/>
      <c r="G2" s="28"/>
      <c r="H2" s="26"/>
      <c r="I2" s="28"/>
      <c r="J2" s="28"/>
      <c r="K2" s="26"/>
      <c r="L2" s="28"/>
      <c r="M2" s="28"/>
      <c r="N2" s="28"/>
      <c r="O2" s="26"/>
      <c r="P2" s="28"/>
      <c r="Q2" s="28"/>
      <c r="R2" s="26"/>
      <c r="S2" s="28"/>
      <c r="T2" s="28"/>
    </row>
    <row r="4" spans="1:20" x14ac:dyDescent="0.25">
      <c r="A4" t="s">
        <v>90</v>
      </c>
      <c r="D4" s="12" t="s">
        <v>72</v>
      </c>
      <c r="E4" t="s">
        <v>90</v>
      </c>
      <c r="F4" t="s">
        <v>85</v>
      </c>
      <c r="G4" t="s">
        <v>93</v>
      </c>
      <c r="I4" s="12" t="s">
        <v>72</v>
      </c>
      <c r="J4" t="s">
        <v>91</v>
      </c>
      <c r="L4" s="12" t="s">
        <v>72</v>
      </c>
      <c r="M4" t="s">
        <v>85</v>
      </c>
      <c r="P4" s="12" t="s">
        <v>72</v>
      </c>
      <c r="Q4" t="s">
        <v>85</v>
      </c>
      <c r="S4" s="12" t="s">
        <v>72</v>
      </c>
      <c r="T4" t="s">
        <v>85</v>
      </c>
    </row>
    <row r="5" spans="1:20" x14ac:dyDescent="0.25">
      <c r="A5" s="24">
        <v>48000</v>
      </c>
      <c r="D5" s="13" t="s">
        <v>73</v>
      </c>
      <c r="E5" s="24">
        <v>4000</v>
      </c>
      <c r="F5" s="24">
        <v>4423</v>
      </c>
      <c r="G5" s="24">
        <v>-423</v>
      </c>
      <c r="I5" s="13" t="s">
        <v>12</v>
      </c>
      <c r="J5" s="24">
        <v>48000</v>
      </c>
      <c r="L5" s="13" t="s">
        <v>51</v>
      </c>
      <c r="M5" s="27">
        <v>1.6850115504824025E-2</v>
      </c>
      <c r="N5" s="24"/>
      <c r="P5" s="13" t="s">
        <v>32</v>
      </c>
      <c r="Q5" s="24">
        <v>4690.6000000000004</v>
      </c>
      <c r="S5" s="13" t="s">
        <v>58</v>
      </c>
      <c r="T5" s="24">
        <v>300</v>
      </c>
    </row>
    <row r="6" spans="1:20" x14ac:dyDescent="0.25">
      <c r="D6" s="13" t="s">
        <v>74</v>
      </c>
      <c r="E6" s="24">
        <v>4000</v>
      </c>
      <c r="F6" s="24">
        <v>2934.6000000000004</v>
      </c>
      <c r="G6" s="24">
        <v>642.39999999999964</v>
      </c>
      <c r="I6" s="13" t="s">
        <v>16</v>
      </c>
      <c r="J6" s="24">
        <v>-36794.999999999985</v>
      </c>
      <c r="L6" s="13" t="s">
        <v>15</v>
      </c>
      <c r="M6" s="27">
        <v>7.7263215110748726E-2</v>
      </c>
      <c r="N6" s="24"/>
      <c r="P6" s="13" t="s">
        <v>14</v>
      </c>
      <c r="Q6" s="24">
        <v>1315</v>
      </c>
      <c r="S6" s="13" t="s">
        <v>25</v>
      </c>
      <c r="T6" s="24">
        <v>643.70000000000005</v>
      </c>
    </row>
    <row r="7" spans="1:20" x14ac:dyDescent="0.25">
      <c r="A7" t="s">
        <v>85</v>
      </c>
      <c r="D7" s="13" t="s">
        <v>75</v>
      </c>
      <c r="E7" s="24">
        <v>4000</v>
      </c>
      <c r="F7" s="24">
        <v>3079.7</v>
      </c>
      <c r="G7" s="24">
        <v>1562.6999999999998</v>
      </c>
      <c r="L7" s="13" t="s">
        <v>30</v>
      </c>
      <c r="M7" s="27">
        <v>0.21515423291208047</v>
      </c>
      <c r="N7" s="24"/>
      <c r="P7" s="13" t="s">
        <v>40</v>
      </c>
      <c r="Q7" s="24">
        <v>1729</v>
      </c>
      <c r="S7" s="13" t="s">
        <v>17</v>
      </c>
      <c r="T7" s="24">
        <v>10854</v>
      </c>
    </row>
    <row r="8" spans="1:20" x14ac:dyDescent="0.25">
      <c r="A8" s="24">
        <v>36794.999999999985</v>
      </c>
      <c r="D8" s="13" t="s">
        <v>76</v>
      </c>
      <c r="E8" s="24">
        <v>4000</v>
      </c>
      <c r="F8" s="24">
        <v>3068</v>
      </c>
      <c r="G8" s="24">
        <v>2494.6999999999998</v>
      </c>
      <c r="L8" s="13" t="s">
        <v>19</v>
      </c>
      <c r="M8" s="27">
        <v>0.52838157358336735</v>
      </c>
      <c r="N8" s="24"/>
      <c r="P8" s="13" t="s">
        <v>50</v>
      </c>
      <c r="Q8" s="24">
        <v>620</v>
      </c>
      <c r="S8" s="13" t="s">
        <v>29</v>
      </c>
      <c r="T8" s="24">
        <v>515.5</v>
      </c>
    </row>
    <row r="9" spans="1:20" x14ac:dyDescent="0.25">
      <c r="D9" s="13" t="s">
        <v>77</v>
      </c>
      <c r="E9" s="24">
        <v>4000</v>
      </c>
      <c r="F9" s="24">
        <v>3146.1</v>
      </c>
      <c r="G9" s="24">
        <v>3348.6</v>
      </c>
      <c r="L9" s="13" t="s">
        <v>41</v>
      </c>
      <c r="M9" s="27">
        <v>4.6990080173936674E-2</v>
      </c>
      <c r="N9" s="24"/>
      <c r="P9" s="13" t="s">
        <v>21</v>
      </c>
      <c r="Q9" s="24">
        <v>3754.6000000000008</v>
      </c>
      <c r="S9" s="13" t="s">
        <v>31</v>
      </c>
      <c r="T9" s="24">
        <v>2907.5</v>
      </c>
    </row>
    <row r="10" spans="1:20" x14ac:dyDescent="0.25">
      <c r="A10" t="s">
        <v>91</v>
      </c>
      <c r="D10" s="13" t="s">
        <v>78</v>
      </c>
      <c r="E10" s="24">
        <v>4000</v>
      </c>
      <c r="F10" s="24">
        <v>3035.7</v>
      </c>
      <c r="G10" s="24">
        <v>4312.8999999999996</v>
      </c>
      <c r="L10" s="13" t="s">
        <v>11</v>
      </c>
      <c r="M10" s="27">
        <v>0</v>
      </c>
      <c r="N10" s="24"/>
      <c r="P10" s="13" t="s">
        <v>60</v>
      </c>
      <c r="Q10" s="24">
        <v>416.4</v>
      </c>
      <c r="S10" s="13" t="s">
        <v>20</v>
      </c>
      <c r="T10" s="24">
        <v>1800</v>
      </c>
    </row>
    <row r="11" spans="1:20" x14ac:dyDescent="0.25">
      <c r="A11" s="24">
        <v>11204.999999999996</v>
      </c>
      <c r="D11" s="13" t="s">
        <v>79</v>
      </c>
      <c r="E11" s="24">
        <v>4000</v>
      </c>
      <c r="F11" s="24">
        <v>3095</v>
      </c>
      <c r="G11" s="24">
        <v>5217.8999999999996</v>
      </c>
      <c r="L11" s="13" t="s">
        <v>22</v>
      </c>
      <c r="M11" s="27">
        <v>0.11536078271504277</v>
      </c>
      <c r="P11" s="13" t="s">
        <v>26</v>
      </c>
      <c r="Q11" s="24">
        <v>643.70000000000005</v>
      </c>
      <c r="S11" s="13" t="s">
        <v>61</v>
      </c>
      <c r="T11" s="24">
        <v>15</v>
      </c>
    </row>
    <row r="12" spans="1:20" x14ac:dyDescent="0.25">
      <c r="D12" s="13" t="s">
        <v>80</v>
      </c>
      <c r="E12" s="24">
        <v>4000</v>
      </c>
      <c r="F12" s="24">
        <v>2982.0999999999995</v>
      </c>
      <c r="G12" s="24">
        <v>6235.8</v>
      </c>
      <c r="P12" s="13" t="s">
        <v>45</v>
      </c>
      <c r="Q12" s="24">
        <v>495.00000000000006</v>
      </c>
      <c r="S12" s="13" t="s">
        <v>57</v>
      </c>
      <c r="T12" s="24">
        <v>150</v>
      </c>
    </row>
    <row r="13" spans="1:20" x14ac:dyDescent="0.25">
      <c r="A13" s="14" t="s">
        <v>97</v>
      </c>
      <c r="D13" s="13" t="s">
        <v>81</v>
      </c>
      <c r="E13" s="24">
        <v>4000</v>
      </c>
      <c r="F13" s="24">
        <v>3117.1</v>
      </c>
      <c r="G13" s="24">
        <v>7118.7000000000007</v>
      </c>
      <c r="P13" s="13" t="s">
        <v>24</v>
      </c>
      <c r="Q13" s="24">
        <v>7464.0999999999995</v>
      </c>
      <c r="S13" s="13" t="s">
        <v>27</v>
      </c>
      <c r="T13" s="24">
        <v>1746.5</v>
      </c>
    </row>
    <row r="14" spans="1:20" x14ac:dyDescent="0.25">
      <c r="A14" s="27">
        <f>A11/A5</f>
        <v>0.23343749999999994</v>
      </c>
      <c r="D14" s="13" t="s">
        <v>82</v>
      </c>
      <c r="E14" s="24">
        <v>4000</v>
      </c>
      <c r="F14" s="24">
        <v>3128.7</v>
      </c>
      <c r="G14" s="24">
        <v>7990.0000000000009</v>
      </c>
      <c r="P14" s="13" t="s">
        <v>38</v>
      </c>
      <c r="Q14" s="24">
        <v>360</v>
      </c>
      <c r="S14" s="13" t="s">
        <v>54</v>
      </c>
      <c r="T14" s="24">
        <v>312</v>
      </c>
    </row>
    <row r="15" spans="1:20" x14ac:dyDescent="0.25">
      <c r="D15" s="13" t="s">
        <v>83</v>
      </c>
      <c r="E15" s="24">
        <v>4000</v>
      </c>
      <c r="F15" s="24">
        <v>2872</v>
      </c>
      <c r="G15" s="24">
        <v>9118</v>
      </c>
      <c r="P15" s="13" t="s">
        <v>28</v>
      </c>
      <c r="Q15" s="24">
        <v>1746.5</v>
      </c>
      <c r="S15" s="13" t="s">
        <v>48</v>
      </c>
      <c r="T15" s="24">
        <v>178.9</v>
      </c>
    </row>
    <row r="16" spans="1:20" x14ac:dyDescent="0.25">
      <c r="D16" s="13" t="s">
        <v>84</v>
      </c>
      <c r="E16" s="24">
        <v>4000</v>
      </c>
      <c r="F16" s="24">
        <v>1913</v>
      </c>
      <c r="G16" s="24">
        <v>11205</v>
      </c>
      <c r="P16" s="13" t="s">
        <v>43</v>
      </c>
      <c r="Q16" s="24">
        <v>480</v>
      </c>
      <c r="S16" s="13" t="s">
        <v>23</v>
      </c>
      <c r="T16" s="24">
        <v>7464.0999999999995</v>
      </c>
    </row>
    <row r="17" spans="4:20" x14ac:dyDescent="0.25">
      <c r="P17" s="13" t="s">
        <v>18</v>
      </c>
      <c r="Q17" s="24">
        <v>10854</v>
      </c>
      <c r="S17" s="13" t="s">
        <v>13</v>
      </c>
      <c r="T17" s="24">
        <v>1315</v>
      </c>
    </row>
    <row r="18" spans="4:20" x14ac:dyDescent="0.25">
      <c r="P18" s="13" t="s">
        <v>34</v>
      </c>
      <c r="Q18" s="24">
        <v>1527.8999999999999</v>
      </c>
      <c r="S18" s="13" t="s">
        <v>59</v>
      </c>
      <c r="T18" s="24">
        <v>416.4</v>
      </c>
    </row>
    <row r="19" spans="4:20" x14ac:dyDescent="0.25">
      <c r="P19" s="13" t="s">
        <v>36</v>
      </c>
      <c r="Q19" s="24">
        <v>698.20000000000016</v>
      </c>
      <c r="S19" s="13" t="s">
        <v>33</v>
      </c>
      <c r="T19" s="24">
        <v>709</v>
      </c>
    </row>
    <row r="20" spans="4:20" x14ac:dyDescent="0.25">
      <c r="D20" t="s">
        <v>63</v>
      </c>
      <c r="E20" t="s">
        <v>11</v>
      </c>
      <c r="F20" t="s">
        <v>98</v>
      </c>
      <c r="S20" s="13" t="s">
        <v>37</v>
      </c>
      <c r="T20" s="24">
        <v>360</v>
      </c>
    </row>
    <row r="21" spans="4:20" x14ac:dyDescent="0.25">
      <c r="D21" t="str" cm="1">
        <f t="array" ref="D21:F32">D5:F16</f>
        <v>Jan</v>
      </c>
      <c r="E21" s="24">
        <v>4000</v>
      </c>
      <c r="F21" s="24">
        <v>4423</v>
      </c>
      <c r="S21" s="13" t="s">
        <v>42</v>
      </c>
      <c r="T21" s="24">
        <v>480</v>
      </c>
    </row>
    <row r="22" spans="4:20" x14ac:dyDescent="0.25">
      <c r="D22" t="str">
        <v>Feb</v>
      </c>
      <c r="E22" s="24">
        <v>4000</v>
      </c>
      <c r="F22" s="24">
        <v>2934.6000000000004</v>
      </c>
      <c r="S22" s="13" t="s">
        <v>47</v>
      </c>
      <c r="T22" s="24">
        <v>475</v>
      </c>
    </row>
    <row r="23" spans="4:20" x14ac:dyDescent="0.25">
      <c r="D23" t="str">
        <v>Mar</v>
      </c>
      <c r="E23" s="24">
        <v>4000</v>
      </c>
      <c r="F23" s="24">
        <v>3079.7</v>
      </c>
      <c r="P23" t="str" cm="1">
        <f t="array" ref="P23:Q37">P5:Q19</f>
        <v>Clothes</v>
      </c>
      <c r="Q23" s="24">
        <v>4690.6000000000004</v>
      </c>
      <c r="S23" s="13" t="s">
        <v>44</v>
      </c>
      <c r="T23" s="24">
        <v>495.00000000000006</v>
      </c>
    </row>
    <row r="24" spans="4:20" x14ac:dyDescent="0.25">
      <c r="D24" t="str">
        <v>Apr</v>
      </c>
      <c r="E24" s="24">
        <v>4000</v>
      </c>
      <c r="F24" s="24">
        <v>3068</v>
      </c>
      <c r="P24" t="str">
        <v>Coffee</v>
      </c>
      <c r="Q24" s="24">
        <v>1315</v>
      </c>
      <c r="S24" s="13" t="s">
        <v>39</v>
      </c>
      <c r="T24" s="24">
        <v>1504</v>
      </c>
    </row>
    <row r="25" spans="4:20" x14ac:dyDescent="0.25">
      <c r="D25" t="str">
        <v>May</v>
      </c>
      <c r="E25" s="24">
        <v>4000</v>
      </c>
      <c r="F25" s="24">
        <v>3146.1</v>
      </c>
      <c r="P25" t="str">
        <v>Doctor</v>
      </c>
      <c r="Q25" s="24">
        <v>1729</v>
      </c>
      <c r="S25" s="13" t="s">
        <v>56</v>
      </c>
      <c r="T25" s="24">
        <v>177.2</v>
      </c>
    </row>
    <row r="26" spans="4:20" x14ac:dyDescent="0.25">
      <c r="D26" t="str">
        <v>Jun</v>
      </c>
      <c r="E26" s="24">
        <v>4000</v>
      </c>
      <c r="F26" s="24">
        <v>3035.7</v>
      </c>
      <c r="P26" t="str">
        <v>Donation</v>
      </c>
      <c r="Q26" s="24">
        <v>620</v>
      </c>
      <c r="S26" s="13" t="s">
        <v>46</v>
      </c>
      <c r="T26" s="24">
        <v>417</v>
      </c>
    </row>
    <row r="27" spans="4:20" x14ac:dyDescent="0.25">
      <c r="D27" t="str">
        <v>Jul</v>
      </c>
      <c r="E27" s="24">
        <v>4000</v>
      </c>
      <c r="F27" s="24">
        <v>3095</v>
      </c>
      <c r="P27" t="str">
        <v>Entertainment</v>
      </c>
      <c r="Q27" s="24">
        <v>3754.6000000000008</v>
      </c>
      <c r="S27" s="13" t="s">
        <v>35</v>
      </c>
      <c r="T27" s="24">
        <v>698.20000000000016</v>
      </c>
    </row>
    <row r="28" spans="4:20" x14ac:dyDescent="0.25">
      <c r="D28" t="str">
        <v>Aug</v>
      </c>
      <c r="E28" s="24">
        <v>4000</v>
      </c>
      <c r="F28" s="24">
        <v>2982.0999999999995</v>
      </c>
      <c r="P28" t="str">
        <v>Furnishings</v>
      </c>
      <c r="Q28" s="24">
        <v>416.4</v>
      </c>
      <c r="S28" s="13" t="s">
        <v>52</v>
      </c>
      <c r="T28" s="24">
        <v>1293.9000000000001</v>
      </c>
    </row>
    <row r="29" spans="4:20" x14ac:dyDescent="0.25">
      <c r="D29" t="str">
        <v>Sep</v>
      </c>
      <c r="E29" s="24">
        <v>4000</v>
      </c>
      <c r="F29" s="24">
        <v>3117.1</v>
      </c>
      <c r="P29" t="str">
        <v>Gas/Electrics</v>
      </c>
      <c r="Q29" s="24">
        <v>643.70000000000005</v>
      </c>
      <c r="S29" s="13" t="s">
        <v>53</v>
      </c>
      <c r="T29" s="24">
        <v>722.09999999999991</v>
      </c>
    </row>
    <row r="30" spans="4:20" x14ac:dyDescent="0.25">
      <c r="D30" t="str">
        <v>Oct</v>
      </c>
      <c r="E30" s="24">
        <v>4000</v>
      </c>
      <c r="F30" s="24">
        <v>3128.7</v>
      </c>
      <c r="P30" t="str">
        <v>Gifts</v>
      </c>
      <c r="Q30" s="24">
        <v>495.00000000000006</v>
      </c>
      <c r="S30" s="13" t="s">
        <v>55</v>
      </c>
      <c r="T30" s="24">
        <v>225</v>
      </c>
    </row>
    <row r="31" spans="4:20" x14ac:dyDescent="0.25">
      <c r="D31" t="str">
        <v>Nov</v>
      </c>
      <c r="E31" s="24">
        <v>4000</v>
      </c>
      <c r="F31" s="24">
        <v>2872</v>
      </c>
      <c r="P31" t="str">
        <v>Groceries</v>
      </c>
      <c r="Q31" s="24">
        <v>7464.0999999999995</v>
      </c>
      <c r="S31" s="13" t="s">
        <v>49</v>
      </c>
      <c r="T31" s="24">
        <v>620</v>
      </c>
    </row>
    <row r="32" spans="4:20" x14ac:dyDescent="0.25">
      <c r="D32" t="str">
        <v>Dec</v>
      </c>
      <c r="E32" s="24">
        <v>4000</v>
      </c>
      <c r="F32" s="24">
        <v>1913</v>
      </c>
      <c r="P32" t="str">
        <v>Gym</v>
      </c>
      <c r="Q32" s="24">
        <v>360</v>
      </c>
    </row>
    <row r="33" spans="16:17" x14ac:dyDescent="0.25">
      <c r="P33" t="str">
        <v>MV Fuel</v>
      </c>
      <c r="Q33" s="24">
        <v>1746.5</v>
      </c>
    </row>
    <row r="34" spans="16:17" x14ac:dyDescent="0.25">
      <c r="P34" t="str">
        <v>Phone</v>
      </c>
      <c r="Q34" s="24">
        <v>480</v>
      </c>
    </row>
    <row r="35" spans="16:17" x14ac:dyDescent="0.25">
      <c r="P35" t="str">
        <v>Rent</v>
      </c>
      <c r="Q35" s="24">
        <v>10854</v>
      </c>
    </row>
    <row r="36" spans="16:17" x14ac:dyDescent="0.25">
      <c r="P36" t="str">
        <v>Restaurant</v>
      </c>
      <c r="Q36" s="24">
        <v>1527.8999999999999</v>
      </c>
    </row>
    <row r="37" spans="16:17" x14ac:dyDescent="0.25">
      <c r="P37" t="str">
        <v>Taxi</v>
      </c>
      <c r="Q37" s="24">
        <v>698.20000000000016</v>
      </c>
    </row>
  </sheetData>
  <mergeCells count="6">
    <mergeCell ref="P1:Q2"/>
    <mergeCell ref="S1:T2"/>
    <mergeCell ref="L1:N2"/>
    <mergeCell ref="A1:B2"/>
    <mergeCell ref="D1:G2"/>
    <mergeCell ref="I1:J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1E268-1EB6-4E59-A4FD-B19074EAA31F}">
  <dimension ref="A1"/>
  <sheetViews>
    <sheetView showGridLines="0" tabSelected="1" workbookViewId="0">
      <selection activeCell="U18" sqref="U18"/>
    </sheetView>
  </sheetViews>
  <sheetFormatPr defaultRowHeight="15" x14ac:dyDescent="0.25"/>
  <cols>
    <col min="20" max="20" width="5.85546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2d182cbf4e0c58d1bc53e5a2471e0746">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d8b321db6dbd9435439cdb1372e753de"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Props1.xml><?xml version="1.0" encoding="utf-8"?>
<ds:datastoreItem xmlns:ds="http://schemas.openxmlformats.org/officeDocument/2006/customXml" ds:itemID="{6497BB6F-9771-446D-B8AC-0D08CF847989}">
  <ds:schemaRefs>
    <ds:schemaRef ds:uri="http://schemas.microsoft.com/sharepoint/v3/contenttype/forms"/>
  </ds:schemaRefs>
</ds:datastoreItem>
</file>

<file path=customXml/itemProps2.xml><?xml version="1.0" encoding="utf-8"?>
<ds:datastoreItem xmlns:ds="http://schemas.openxmlformats.org/officeDocument/2006/customXml" ds:itemID="{C1D87AA3-B74D-4D51-9F2C-839842FC59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B7C8241-58FC-43B8-BA26-5CB655B320F0}">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 Sheet</vt:lpstr>
      <vt:lpstr>Income &amp; Expenses 2021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ADMIN</cp:lastModifiedBy>
  <dcterms:created xsi:type="dcterms:W3CDTF">2025-02-01T11:41:15Z</dcterms:created>
  <dcterms:modified xsi:type="dcterms:W3CDTF">2026-04-12T07:22:20Z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