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VCE\Sagar BCC\2) Pratice Project Dashboard\1) Excel\6) HR Analytics Management\"/>
    </mc:Choice>
  </mc:AlternateContent>
  <xr:revisionPtr revIDLastSave="0" documentId="13_ncr:1_{73834FF2-AF15-4E95-90A4-1117F3656AA2}" xr6:coauthVersionLast="47" xr6:coauthVersionMax="47" xr10:uidLastSave="{00000000-0000-0000-0000-000000000000}"/>
  <bookViews>
    <workbookView xWindow="-120" yWindow="-120" windowWidth="20730" windowHeight="11160" xr2:uid="{00000000-000D-0000-FFFF-FFFF00000000}"/>
  </bookViews>
  <sheets>
    <sheet name="Main Sheet" sheetId="1" r:id="rId1"/>
    <sheet name="Pivot" sheetId="3" r:id="rId2"/>
    <sheet name="Dashboard" sheetId="4" r:id="rId3"/>
  </sheets>
  <definedNames>
    <definedName name="_xlchart.v1.3" hidden="1">Pivot!$AH$20:$AH$26</definedName>
    <definedName name="_xlchart.v1.4" hidden="1">Pivot!$AI$19</definedName>
    <definedName name="_xlchart.v1.5" hidden="1">Pivot!$AI$20:$AI$26</definedName>
    <definedName name="_xlchart.v2.0" hidden="1">Pivot!$P$20:$P$26</definedName>
    <definedName name="_xlchart.v2.1" hidden="1">Pivot!$Q$19</definedName>
    <definedName name="_xlchart.v2.2" hidden="1">Pivot!$Q$20:$Q$26</definedName>
    <definedName name="Slicer_Department">#N/A</definedName>
    <definedName name="Slicer_Grade">#N/A</definedName>
    <definedName name="Slicer_Reporting_Manager">#N/A</definedName>
    <definedName name="Slicer_Years_of_Servic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L20" i="3" l="1" a="1"/>
  <c r="AL20" i="3" s="1"/>
  <c r="T20" i="3" a="1"/>
  <c r="T20" i="3" s="1"/>
  <c r="P20" i="3" a="1"/>
  <c r="P20" i="3" s="1"/>
  <c r="AD20" i="3" a="1"/>
  <c r="AD20" i="3" s="1"/>
  <c r="AH20" i="3" a="1"/>
  <c r="AH20" i="3" s="1"/>
  <c r="AA22" i="3"/>
  <c r="M6" i="3"/>
  <c r="M7" i="3"/>
  <c r="M8" i="3"/>
  <c r="M9" i="3"/>
  <c r="M10" i="3"/>
  <c r="M11" i="3"/>
  <c r="B9" i="3"/>
  <c r="B10" i="3"/>
  <c r="B11" i="3"/>
  <c r="B8" i="3"/>
  <c r="A180" i="1"/>
  <c r="P2" i="1" a="1"/>
  <c r="P2" i="1" s="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s="1"/>
  <c r="P127" i="1" a="1"/>
  <c r="P127" i="1" s="1"/>
  <c r="P128" i="1" a="1"/>
  <c r="P128" i="1" s="1"/>
  <c r="P129" i="1" a="1"/>
  <c r="P129" i="1" s="1"/>
  <c r="P130" i="1" a="1"/>
  <c r="P130" i="1" s="1"/>
  <c r="P131" i="1" a="1"/>
  <c r="P131" i="1" s="1"/>
  <c r="P132" i="1" a="1"/>
  <c r="P132" i="1" s="1"/>
  <c r="P133" i="1" a="1"/>
  <c r="P133" i="1" s="1"/>
  <c r="P134" i="1" a="1"/>
  <c r="P134" i="1" s="1"/>
  <c r="P135" i="1" a="1"/>
  <c r="P135" i="1" s="1"/>
  <c r="P136" i="1" a="1"/>
  <c r="P136" i="1" s="1"/>
  <c r="P137" i="1" a="1"/>
  <c r="P137" i="1" s="1"/>
  <c r="P138" i="1" a="1"/>
  <c r="P138" i="1" s="1"/>
  <c r="P139" i="1" a="1"/>
  <c r="P139" i="1" s="1"/>
  <c r="P140" i="1" a="1"/>
  <c r="P140" i="1" s="1"/>
  <c r="P141" i="1" a="1"/>
  <c r="P141" i="1" s="1"/>
  <c r="P142" i="1" a="1"/>
  <c r="P142" i="1" s="1"/>
  <c r="P143" i="1" a="1"/>
  <c r="P143" i="1" s="1"/>
  <c r="P144" i="1" a="1"/>
  <c r="P144" i="1" s="1"/>
  <c r="P145" i="1" a="1"/>
  <c r="P145" i="1" s="1"/>
  <c r="P146" i="1" a="1"/>
  <c r="P146" i="1" s="1"/>
  <c r="P147" i="1" a="1"/>
  <c r="P147" i="1" s="1"/>
  <c r="P148" i="1" a="1"/>
  <c r="P148" i="1" s="1"/>
  <c r="P149" i="1" a="1"/>
  <c r="P149" i="1" s="1"/>
  <c r="P150" i="1" a="1"/>
  <c r="P150" i="1" s="1"/>
  <c r="P151" i="1" a="1"/>
  <c r="P151" i="1" s="1"/>
  <c r="P152" i="1" a="1"/>
  <c r="P152" i="1" s="1"/>
  <c r="P153" i="1" a="1"/>
  <c r="P153" i="1" s="1"/>
  <c r="P154" i="1" a="1"/>
  <c r="P154" i="1" s="1"/>
  <c r="P155" i="1" a="1"/>
  <c r="P155" i="1" s="1"/>
  <c r="P156" i="1" a="1"/>
  <c r="P156" i="1" s="1"/>
  <c r="P157" i="1" a="1"/>
  <c r="P157" i="1" s="1"/>
  <c r="P158" i="1" a="1"/>
  <c r="P158" i="1" s="1"/>
  <c r="P159" i="1" a="1"/>
  <c r="P159" i="1" s="1"/>
  <c r="P160" i="1" a="1"/>
  <c r="P160" i="1" s="1"/>
  <c r="P161" i="1" a="1"/>
  <c r="P161" i="1" s="1"/>
  <c r="P162" i="1" a="1"/>
  <c r="P162" i="1" s="1"/>
  <c r="P163" i="1" a="1"/>
  <c r="P163" i="1" s="1"/>
  <c r="P164" i="1" a="1"/>
  <c r="P164" i="1" s="1"/>
  <c r="P165" i="1" a="1"/>
  <c r="P165" i="1" s="1"/>
  <c r="P166" i="1" a="1"/>
  <c r="P166" i="1" s="1"/>
  <c r="P167" i="1" a="1"/>
  <c r="P167" i="1" s="1"/>
  <c r="P168" i="1" a="1"/>
  <c r="P168" i="1" s="1"/>
  <c r="P169" i="1" a="1"/>
  <c r="P169" i="1" s="1"/>
  <c r="P170" i="1" a="1"/>
  <c r="P170" i="1" s="1"/>
  <c r="P171" i="1" a="1"/>
  <c r="P171" i="1" s="1"/>
  <c r="P172" i="1" a="1"/>
  <c r="P172" i="1" s="1"/>
  <c r="N79"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I20" i="3" l="1" a="1"/>
  <c r="I20" i="3" s="1"/>
  <c r="B13"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<sst xmlns="http://schemas.openxmlformats.org/spreadsheetml/2006/main" count="1523" uniqueCount="258">
  <si>
    <t>Emp Status</t>
  </si>
  <si>
    <t>Movement</t>
  </si>
  <si>
    <t>Emp Id</t>
  </si>
  <si>
    <t>Name</t>
  </si>
  <si>
    <t>Date of Joining</t>
  </si>
  <si>
    <t>Data of Relieving</t>
  </si>
  <si>
    <t>Reporting Manager</t>
  </si>
  <si>
    <t>Emp Type</t>
  </si>
  <si>
    <t>Marital status</t>
  </si>
  <si>
    <t>Grade</t>
  </si>
  <si>
    <t>Department</t>
  </si>
  <si>
    <t>Total Experience</t>
  </si>
  <si>
    <t>On-Board</t>
  </si>
  <si>
    <t>IJP</t>
  </si>
  <si>
    <t>CT18807</t>
  </si>
  <si>
    <t>Adrian Odonnell</t>
  </si>
  <si>
    <t>Roberta Moyer</t>
  </si>
  <si>
    <t>Contract</t>
  </si>
  <si>
    <t>Male</t>
  </si>
  <si>
    <t>Single</t>
  </si>
  <si>
    <t>Operations</t>
  </si>
  <si>
    <t>Attrition</t>
  </si>
  <si>
    <t>CT12674</t>
  </si>
  <si>
    <t>Marina Velazquez</t>
  </si>
  <si>
    <t>Married</t>
  </si>
  <si>
    <t>Trainees</t>
  </si>
  <si>
    <t>Accounting</t>
  </si>
  <si>
    <t>CT11735</t>
  </si>
  <si>
    <t>Regina Schaefer</t>
  </si>
  <si>
    <t>CT10131</t>
  </si>
  <si>
    <t>Donna Sparks</t>
  </si>
  <si>
    <t>Legal</t>
  </si>
  <si>
    <t>CT16953</t>
  </si>
  <si>
    <t>Sal Glass</t>
  </si>
  <si>
    <t>Ryan Simmons</t>
  </si>
  <si>
    <t>Female</t>
  </si>
  <si>
    <t>Marketing</t>
  </si>
  <si>
    <t>CT11213</t>
  </si>
  <si>
    <t>Malik Schneider</t>
  </si>
  <si>
    <t>Darryl Leon</t>
  </si>
  <si>
    <t>Finance</t>
  </si>
  <si>
    <t>CT17933</t>
  </si>
  <si>
    <t>Fanny Hampton</t>
  </si>
  <si>
    <t>CT17253</t>
  </si>
  <si>
    <t>Edison York</t>
  </si>
  <si>
    <t>HR</t>
  </si>
  <si>
    <t>CT14693</t>
  </si>
  <si>
    <t>Geraldo Pugh</t>
  </si>
  <si>
    <t>Geneva Hardy</t>
  </si>
  <si>
    <t>CT11465</t>
  </si>
  <si>
    <t>Ellis Best</t>
  </si>
  <si>
    <t>CT12948</t>
  </si>
  <si>
    <t>Olen Walter</t>
  </si>
  <si>
    <t>Janelle Wiley</t>
  </si>
  <si>
    <t>CT11145</t>
  </si>
  <si>
    <t>Mckinley Baird</t>
  </si>
  <si>
    <t>CT18269</t>
  </si>
  <si>
    <t>Maura Huynh</t>
  </si>
  <si>
    <t>Sales</t>
  </si>
  <si>
    <t>CT13931</t>
  </si>
  <si>
    <t>Buster Joyce</t>
  </si>
  <si>
    <t>Alejandra Mack</t>
  </si>
  <si>
    <t>CT15252</t>
  </si>
  <si>
    <t>Rosanna Bauer</t>
  </si>
  <si>
    <t>CT13664</t>
  </si>
  <si>
    <t>Marion Harmon</t>
  </si>
  <si>
    <t>CT10043</t>
  </si>
  <si>
    <t>Shawn Ross</t>
  </si>
  <si>
    <t>CT16547</t>
  </si>
  <si>
    <t>Houston Wilson</t>
  </si>
  <si>
    <t>CT11188</t>
  </si>
  <si>
    <t>Maricela Gates</t>
  </si>
  <si>
    <t>CT14537</t>
  </si>
  <si>
    <t>Fletcher Tate</t>
  </si>
  <si>
    <t>CT14690</t>
  </si>
  <si>
    <t>Emily Davis</t>
  </si>
  <si>
    <t>Jefferson Perry</t>
  </si>
  <si>
    <t>CT16195</t>
  </si>
  <si>
    <t>Penelope Jordan</t>
  </si>
  <si>
    <t>CT16735</t>
  </si>
  <si>
    <t>Alfredo Mcclain</t>
  </si>
  <si>
    <t>Preston Case</t>
  </si>
  <si>
    <t>Permanent</t>
  </si>
  <si>
    <t>Branden Kaiser</t>
  </si>
  <si>
    <t>Julia Bell</t>
  </si>
  <si>
    <t>Management</t>
  </si>
  <si>
    <t>Sammy Hancock</t>
  </si>
  <si>
    <t>Mabel Cuevas</t>
  </si>
  <si>
    <t>Norris Madden</t>
  </si>
  <si>
    <t>Vincenzo Mcdowell</t>
  </si>
  <si>
    <t>Chris Mcbride</t>
  </si>
  <si>
    <t>Wesley Berger</t>
  </si>
  <si>
    <t>Bart Sims</t>
  </si>
  <si>
    <t>Professional</t>
  </si>
  <si>
    <t>Tricia Arroyo</t>
  </si>
  <si>
    <t>Kennith Barber</t>
  </si>
  <si>
    <t>Alonzo Harrison</t>
  </si>
  <si>
    <t>Kirk Wagner</t>
  </si>
  <si>
    <t>Zackary Tucker</t>
  </si>
  <si>
    <t>Roberto Ford</t>
  </si>
  <si>
    <t>Sadie Mcmahon</t>
  </si>
  <si>
    <t>Darla Parks</t>
  </si>
  <si>
    <t>Letitia Church</t>
  </si>
  <si>
    <t>Collin Paul</t>
  </si>
  <si>
    <t>Frances Leblanc</t>
  </si>
  <si>
    <t>Alexis Conway</t>
  </si>
  <si>
    <t>Chi Preston</t>
  </si>
  <si>
    <t>Randolph Reilly</t>
  </si>
  <si>
    <t>Howard Wiggins</t>
  </si>
  <si>
    <t>Palmer Hart</t>
  </si>
  <si>
    <t>Lesa Terrell</t>
  </si>
  <si>
    <t>Celeste Moses</t>
  </si>
  <si>
    <t>Leanne Mosley</t>
  </si>
  <si>
    <t>Renaldo Navarro</t>
  </si>
  <si>
    <t>Sonia Ortiz</t>
  </si>
  <si>
    <t>Faith Lopez</t>
  </si>
  <si>
    <t>Kim Ramirez</t>
  </si>
  <si>
    <t>Mariana Chavez</t>
  </si>
  <si>
    <t>Tracey Burch</t>
  </si>
  <si>
    <t>Gabriela Juarez</t>
  </si>
  <si>
    <t>Katheryn Trevino</t>
  </si>
  <si>
    <t>Angelita Townsend</t>
  </si>
  <si>
    <t>Damon Burgess</t>
  </si>
  <si>
    <t>Olen Watts</t>
  </si>
  <si>
    <t>Raymond Levine</t>
  </si>
  <si>
    <t>Sally Hinton</t>
  </si>
  <si>
    <t>Katelyn Ware</t>
  </si>
  <si>
    <t>Jessie Bowen</t>
  </si>
  <si>
    <t>Mac Marquez</t>
  </si>
  <si>
    <t>OnRoll</t>
  </si>
  <si>
    <t>Spencer Webb</t>
  </si>
  <si>
    <t>Valentin Mcdonald</t>
  </si>
  <si>
    <t>Transfer</t>
  </si>
  <si>
    <t>Royce Schneider</t>
  </si>
  <si>
    <t>Kara Mclean</t>
  </si>
  <si>
    <t>Damian Mckee</t>
  </si>
  <si>
    <t>Mohamed Duran</t>
  </si>
  <si>
    <t>Vera Harvey</t>
  </si>
  <si>
    <t>Cristina David</t>
  </si>
  <si>
    <t>Florence Randall</t>
  </si>
  <si>
    <t>Andrea Logan</t>
  </si>
  <si>
    <t>Barrett Wallace</t>
  </si>
  <si>
    <t>Claude Ramsey</t>
  </si>
  <si>
    <t>Mason Wells</t>
  </si>
  <si>
    <t>Whitney Vance</t>
  </si>
  <si>
    <t>Bobbie Harvey</t>
  </si>
  <si>
    <t>Russel Fox</t>
  </si>
  <si>
    <t>Benita Holland</t>
  </si>
  <si>
    <t>Cory Leblanc</t>
  </si>
  <si>
    <t>Isaiah George</t>
  </si>
  <si>
    <t>Brad Nichols</t>
  </si>
  <si>
    <t>Quentin Mcdonald</t>
  </si>
  <si>
    <t>Johnie Pruitt</t>
  </si>
  <si>
    <t>Walker Whitney</t>
  </si>
  <si>
    <t>Alexander Fowler</t>
  </si>
  <si>
    <t>Susanna Humphrey</t>
  </si>
  <si>
    <t>Beth Lowe</t>
  </si>
  <si>
    <t>Casandra Aguilar</t>
  </si>
  <si>
    <t>Lynn Andersen</t>
  </si>
  <si>
    <t>Leola Vega</t>
  </si>
  <si>
    <t>Hillary Spencer</t>
  </si>
  <si>
    <t>Joesph Jones</t>
  </si>
  <si>
    <t>Otha May</t>
  </si>
  <si>
    <t>Ophelia Black</t>
  </si>
  <si>
    <t>Helena Williamson</t>
  </si>
  <si>
    <t>Megan Kent</t>
  </si>
  <si>
    <t>Rufus Escobar</t>
  </si>
  <si>
    <t>Ericka Hurst</t>
  </si>
  <si>
    <t>Johnny Cisneros</t>
  </si>
  <si>
    <t>Alba Norton</t>
  </si>
  <si>
    <t>Sanford Patterson</t>
  </si>
  <si>
    <t>Blanche Greer</t>
  </si>
  <si>
    <t>Nita Powers</t>
  </si>
  <si>
    <t>Francesco Blanchard</t>
  </si>
  <si>
    <t>Elias Davis</t>
  </si>
  <si>
    <t>Lucio Christian</t>
  </si>
  <si>
    <t>Greg Schaefer</t>
  </si>
  <si>
    <t>Adriana Little</t>
  </si>
  <si>
    <t>Abdul Khan</t>
  </si>
  <si>
    <t>Marissa Mckee</t>
  </si>
  <si>
    <t>Ashlee Ortega</t>
  </si>
  <si>
    <t>Edmund Lawson</t>
  </si>
  <si>
    <t>Linda Jacobs</t>
  </si>
  <si>
    <t>Kelley Harding</t>
  </si>
  <si>
    <t>Rose Carney</t>
  </si>
  <si>
    <t>Emery Goodwin</t>
  </si>
  <si>
    <t>Derick Singh</t>
  </si>
  <si>
    <t>Hassan Wilcox</t>
  </si>
  <si>
    <t>Natalie Serrano</t>
  </si>
  <si>
    <t>Sandy Singleton</t>
  </si>
  <si>
    <t>Josiah Hart</t>
  </si>
  <si>
    <t>Wayne Hartman</t>
  </si>
  <si>
    <t>Sallie Carpenter</t>
  </si>
  <si>
    <t>Allen Walters</t>
  </si>
  <si>
    <t>Flora Bass</t>
  </si>
  <si>
    <t>Roberto Harper</t>
  </si>
  <si>
    <t>Isabella Miles</t>
  </si>
  <si>
    <t>Consuelo Beck</t>
  </si>
  <si>
    <t>Barney Velasquez</t>
  </si>
  <si>
    <t>Jamaal Delgado</t>
  </si>
  <si>
    <t>Glenda Ayers</t>
  </si>
  <si>
    <t>Vonda Chandler</t>
  </si>
  <si>
    <t>Elma Perkins</t>
  </si>
  <si>
    <t>Irving Good</t>
  </si>
  <si>
    <t>Carlo Stephens</t>
  </si>
  <si>
    <t>Fermin Maddox</t>
  </si>
  <si>
    <t>Wendell Bonilla</t>
  </si>
  <si>
    <t>Hank Copeland</t>
  </si>
  <si>
    <t>Luciano Arnold</t>
  </si>
  <si>
    <t>Aimee Freeman</t>
  </si>
  <si>
    <t>Jarrett Henson</t>
  </si>
  <si>
    <t>Garland Barber</t>
  </si>
  <si>
    <t>Filiberto Baird</t>
  </si>
  <si>
    <t>Reed Pena</t>
  </si>
  <si>
    <t>Cecile Garner</t>
  </si>
  <si>
    <t>Art Kim</t>
  </si>
  <si>
    <t>Grover Kramer</t>
  </si>
  <si>
    <t>Milan Pope</t>
  </si>
  <si>
    <t>Randal Mata</t>
  </si>
  <si>
    <t>Pete Arroyo</t>
  </si>
  <si>
    <t>Luna Sanders</t>
  </si>
  <si>
    <t>Santos Mooney</t>
  </si>
  <si>
    <t>Theodore Dinh</t>
  </si>
  <si>
    <t>Austin Vo</t>
  </si>
  <si>
    <t>Jermaine Benitez</t>
  </si>
  <si>
    <t>Joshua Gupta</t>
  </si>
  <si>
    <t>Dave Armstrong</t>
  </si>
  <si>
    <t>Year of Joining</t>
  </si>
  <si>
    <t>Years of Service</t>
  </si>
  <si>
    <t>Employee Tenure Group</t>
  </si>
  <si>
    <t>TOTAL</t>
  </si>
  <si>
    <t>Count of Emp Status</t>
  </si>
  <si>
    <t>Row Labels</t>
  </si>
  <si>
    <t>Employee Status</t>
  </si>
  <si>
    <t>Total Employee</t>
  </si>
  <si>
    <t>Active Employee</t>
  </si>
  <si>
    <t>% Attrition</t>
  </si>
  <si>
    <t>Employee Joined in Year</t>
  </si>
  <si>
    <t>Column Labels</t>
  </si>
  <si>
    <t>Gender</t>
  </si>
  <si>
    <t>Count of Emp Status2</t>
  </si>
  <si>
    <t>Employee Department</t>
  </si>
  <si>
    <t>Employee Grade</t>
  </si>
  <si>
    <t>1+ Years</t>
  </si>
  <si>
    <t>2+ Years</t>
  </si>
  <si>
    <t>5+ Years</t>
  </si>
  <si>
    <t>3+ Years</t>
  </si>
  <si>
    <t>4+ Years</t>
  </si>
  <si>
    <t>Under 1 Year</t>
  </si>
  <si>
    <t>Year</t>
  </si>
  <si>
    <t>Diversity %</t>
  </si>
  <si>
    <t>Employee</t>
  </si>
  <si>
    <t>Level</t>
  </si>
  <si>
    <t>Manager</t>
  </si>
  <si>
    <t>Employee Type</t>
  </si>
  <si>
    <t xml:space="preserve"> Gender Status</t>
  </si>
  <si>
    <t>Tenure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</si>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</sst>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8"/>
      <name val="Calibri"/>
      <family val="2"/>
      <scheme val="minor"/>
    </font>
    <font>
      <b/>
      <sz val="22"/>
      <color theme="1"/>
      <name val="Calibri"/>
      <family val="2"/>
      <scheme val="minor"/>
    </font>
    <font>
      <b/>
      <sz val="24"/>
      <color theme="1"/>
      <name val="Calibri"/>
      <family val="2"/>
      <scheme val="minor"/>
    </font>
    <font>
      <b/>
      <sz val="28"/>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6">
    <xf numFmtId="0" fontId="0" fillId="0" borderId="0" xfId="0"/>
    <xf numFmtId="14" fontId="0" fillId="0" borderId="0" xfId="0" applyNumberFormat="1"/>
    <xf numFmtId="0" fontId="0" fillId="0" borderId="0" xfId="0" applyNumberFormat="1"/>
    <xf numFmtId="0" fontId="0" fillId="3" borderId="0" xfId="0" applyFill="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9" fontId="0" fillId="0" borderId="0" xfId="0" applyNumberFormat="1"/>
    <xf numFmtId="0" fontId="3" fillId="2" borderId="0" xfId="0" applyFont="1" applyFill="1" applyAlignment="1">
      <alignment horizontal="center" vertical="center"/>
    </xf>
    <xf numFmtId="0" fontId="0" fillId="0" borderId="0" xfId="0" applyAlignment="1">
      <alignment horizontal="center" vertical="center"/>
    </xf>
    <xf numFmtId="0" fontId="0" fillId="3" borderId="0" xfId="0" applyFill="1" applyAlignment="1">
      <alignment horizontal="center" vertical="center"/>
    </xf>
    <xf numFmtId="0" fontId="0" fillId="0" borderId="0" xfId="0" applyNumberFormat="1" applyAlignment="1">
      <alignment horizontal="center" vertical="center"/>
    </xf>
    <xf numFmtId="0" fontId="3" fillId="2" borderId="0" xfId="0" applyFont="1" applyFill="1" applyAlignment="1">
      <alignment horizontal="center" vertical="center"/>
    </xf>
    <xf numFmtId="0" fontId="4" fillId="2" borderId="0" xfId="0" applyFont="1" applyFill="1" applyAlignment="1">
      <alignment horizontal="center" vertical="center"/>
    </xf>
    <xf numFmtId="0" fontId="2" fillId="2" borderId="0" xfId="0" applyFont="1" applyFill="1" applyAlignment="1">
      <alignment horizontal="center" vertical="center"/>
    </xf>
  </cellXfs>
  <cellStyles count="1">
    <cellStyle name="Normal" xfId="0" builtinId="0"/>
  </cellStyles>
  <dxfs count="9">
    <dxf>
      <numFmt numFmtId="13" formatCode="0%"/>
    </dxf>
    <dxf>
      <numFmt numFmtId="0" formatCode="General"/>
    </dxf>
    <dxf>
      <numFmt numFmtId="13" formatCode="0%"/>
    </dxf>
    <dxf>
      <numFmt numFmtId="0" formatCode="General"/>
    </dxf>
    <dxf>
      <numFmt numFmtId="0" formatCode="General"/>
    </dxf>
    <dxf>
      <numFmt numFmtId="0" formatCode="General"/>
    </dxf>
    <dxf>
      <numFmt numFmtId="19" formatCode="dd/mm/yyyy"/>
    </dxf>
    <dxf>
      <numFmt numFmtId="19" formatCode="dd/mm/yyyy"/>
    </dxf>
    <dxf>
      <font>
        <b/>
        <i val="0"/>
        <color theme="0"/>
      </font>
      <fill>
        <patternFill>
          <bgColor rgb="FF002060"/>
        </patternFill>
      </fill>
      <border>
        <left style="medium">
          <color theme="0"/>
        </left>
        <right style="medium">
          <color theme="0"/>
        </right>
        <top style="medium">
          <color theme="0"/>
        </top>
        <bottom style="medium">
          <color theme="0"/>
        </bottom>
      </border>
    </dxf>
  </dxfs>
  <tableStyles count="1" defaultTableStyle="TableStyleMedium2" defaultPivotStyle="PivotStyleLight16">
    <tableStyle name="Slicer Style 1" pivot="0" table="0" count="2" xr9:uid="{41C48641-52A2-4185-9649-9957292CEBC6}">
      <tableStyleElement type="wholeTable" dxfId="8"/>
    </tableStyle>
  </tableStyles>
  <colors>
    <mruColors>
      <color rgb="FF065DEA"/>
      <color rgb="FFEB05A9"/>
    </mruColors>
  </colors>
  <extLst>
    <ext xmlns:x14="http://schemas.microsoft.com/office/spreadsheetml/2009/9/main" uri="{46F421CA-312F-682f-3DD2-61675219B42D}">
      <x14:dxfs count="1">
        <dxf>
          <font>
            <b/>
            <i val="0"/>
            <color rgb="FF002060"/>
          </font>
          <fill>
            <patternFill>
              <bgColor rgb="FF002060"/>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r>
              <a:rPr lang="en-US" sz="1800">
                <a:solidFill>
                  <a:sysClr val="windowText" lastClr="000000"/>
                </a:solidFill>
              </a:rPr>
              <a:t>Employee</a:t>
            </a:r>
            <a:r>
              <a:rPr lang="en-US" sz="1800" baseline="0">
                <a:solidFill>
                  <a:sysClr val="windowText" lastClr="000000"/>
                </a:solidFill>
              </a:rPr>
              <a:t> Growth</a:t>
            </a:r>
            <a:endParaRPr lang="en-US" sz="1800">
              <a:solidFill>
                <a:sysClr val="windowText" lastClr="000000"/>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title>
    <c:autoTitleDeleted val="0"/>
    <c:plotArea>
      <c:layout/>
      <c:barChart>
        <c:barDir val="col"/>
        <c:grouping val="stacked"/>
        <c:varyColors val="0"/>
        <c:ser>
          <c:idx val="0"/>
          <c:order val="0"/>
          <c:tx>
            <c:strRef>
              <c:f>Pivot!$J$19</c:f>
              <c:strCache>
                <c:ptCount val="1"/>
                <c:pt idx="0">
                  <c:v>Attrition</c:v>
                </c:pt>
              </c:strCache>
            </c:strRef>
          </c:tx>
          <c:spPr>
            <a:solidFill>
              <a:srgbClr val="FF0000"/>
            </a:solidFill>
            <a:ln>
              <a:noFill/>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28A-4381-9A60-44E249E8C0A4}"/>
                </c:ext>
              </c:extLst>
            </c:dLbl>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Pivot!$I$20:$I$25</c:f>
              <c:numCache>
                <c:formatCode>General</c:formatCode>
                <c:ptCount val="6"/>
                <c:pt idx="0">
                  <c:v>2020</c:v>
                </c:pt>
                <c:pt idx="1">
                  <c:v>2021</c:v>
                </c:pt>
                <c:pt idx="2">
                  <c:v>2022</c:v>
                </c:pt>
                <c:pt idx="3">
                  <c:v>2023</c:v>
                </c:pt>
                <c:pt idx="4">
                  <c:v>2024</c:v>
                </c:pt>
                <c:pt idx="5">
                  <c:v>2025</c:v>
                </c:pt>
              </c:numCache>
            </c:numRef>
          </c:cat>
          <c:val>
            <c:numRef>
              <c:f>Pivot!$J$20:$J$25</c:f>
              <c:numCache>
                <c:formatCode>General</c:formatCode>
                <c:ptCount val="6"/>
                <c:pt idx="0">
                  <c:v>20</c:v>
                </c:pt>
                <c:pt idx="1">
                  <c:v>12</c:v>
                </c:pt>
                <c:pt idx="2">
                  <c:v>10</c:v>
                </c:pt>
                <c:pt idx="3">
                  <c:v>4</c:v>
                </c:pt>
                <c:pt idx="4">
                  <c:v>0</c:v>
                </c:pt>
                <c:pt idx="5">
                  <c:v>1</c:v>
                </c:pt>
              </c:numCache>
            </c:numRef>
          </c:val>
          <c:extLst>
            <c:ext xmlns:c16="http://schemas.microsoft.com/office/drawing/2014/chart" uri="{C3380CC4-5D6E-409C-BE32-E72D297353CC}">
              <c16:uniqueId val="{00000001-E28A-4381-9A60-44E249E8C0A4}"/>
            </c:ext>
          </c:extLst>
        </c:ser>
        <c:ser>
          <c:idx val="1"/>
          <c:order val="1"/>
          <c:tx>
            <c:strRef>
              <c:f>Pivot!$K$19</c:f>
              <c:strCache>
                <c:ptCount val="1"/>
                <c:pt idx="0">
                  <c:v>On-Board</c:v>
                </c:pt>
              </c:strCache>
            </c:strRef>
          </c:tx>
          <c:spPr>
            <a:solidFill>
              <a:srgbClr val="00B050"/>
            </a:solidFill>
            <a:ln>
              <a:noFill/>
            </a:ln>
            <a:effectLst/>
          </c:spPr>
          <c:invertIfNegative val="0"/>
          <c:dLbls>
            <c:dLbl>
              <c:idx val="2"/>
              <c:layout>
                <c:manualLayout>
                  <c:x val="-2.5078372657157854E-2"/>
                  <c:y val="-6.6388519616866079E-2"/>
                </c:manualLayout>
              </c:layout>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8A-4381-9A60-44E249E8C0A4}"/>
                </c:ext>
              </c:extLst>
            </c:dLbl>
            <c:dLbl>
              <c:idx val="3"/>
              <c:layout>
                <c:manualLayout>
                  <c:x val="5.5729717015906228E-3"/>
                  <c:y val="-5.22098374066878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9F4-44C3-B16A-27C90FD287A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Pivot!$I$20:$I$25</c:f>
              <c:numCache>
                <c:formatCode>General</c:formatCode>
                <c:ptCount val="6"/>
                <c:pt idx="0">
                  <c:v>2020</c:v>
                </c:pt>
                <c:pt idx="1">
                  <c:v>2021</c:v>
                </c:pt>
                <c:pt idx="2">
                  <c:v>2022</c:v>
                </c:pt>
                <c:pt idx="3">
                  <c:v>2023</c:v>
                </c:pt>
                <c:pt idx="4">
                  <c:v>2024</c:v>
                </c:pt>
                <c:pt idx="5">
                  <c:v>2025</c:v>
                </c:pt>
              </c:numCache>
            </c:numRef>
          </c:cat>
          <c:val>
            <c:numRef>
              <c:f>Pivot!$K$20:$K$25</c:f>
              <c:numCache>
                <c:formatCode>General</c:formatCode>
                <c:ptCount val="6"/>
                <c:pt idx="0">
                  <c:v>24</c:v>
                </c:pt>
                <c:pt idx="1">
                  <c:v>11</c:v>
                </c:pt>
                <c:pt idx="2">
                  <c:v>19</c:v>
                </c:pt>
                <c:pt idx="3">
                  <c:v>30</c:v>
                </c:pt>
                <c:pt idx="4">
                  <c:v>25</c:v>
                </c:pt>
                <c:pt idx="5">
                  <c:v>9</c:v>
                </c:pt>
              </c:numCache>
            </c:numRef>
          </c:val>
          <c:extLst>
            <c:ext xmlns:c16="http://schemas.microsoft.com/office/drawing/2014/chart" uri="{C3380CC4-5D6E-409C-BE32-E72D297353CC}">
              <c16:uniqueId val="{00000003-E28A-4381-9A60-44E249E8C0A4}"/>
            </c:ext>
          </c:extLst>
        </c:ser>
        <c:dLbls>
          <c:showLegendKey val="0"/>
          <c:showVal val="0"/>
          <c:showCatName val="0"/>
          <c:showSerName val="0"/>
          <c:showPercent val="0"/>
          <c:showBubbleSize val="0"/>
        </c:dLbls>
        <c:gapWidth val="36"/>
        <c:overlap val="100"/>
        <c:axId val="1185485055"/>
        <c:axId val="1185496575"/>
      </c:barChart>
      <c:barChart>
        <c:barDir val="col"/>
        <c:grouping val="stacked"/>
        <c:varyColors val="0"/>
        <c:ser>
          <c:idx val="2"/>
          <c:order val="2"/>
          <c:tx>
            <c:strRef>
              <c:f>Pivot!$L$19</c:f>
              <c:strCache>
                <c:ptCount val="1"/>
                <c:pt idx="0">
                  <c:v>Transfer</c:v>
                </c:pt>
              </c:strCache>
            </c:strRef>
          </c:tx>
          <c:spPr>
            <a:solidFill>
              <a:schemeClr val="tx1"/>
            </a:solidFill>
            <a:ln>
              <a:noFill/>
            </a:ln>
            <a:effectLst/>
          </c:spPr>
          <c:invertIfNegative val="0"/>
          <c:cat>
            <c:numRef>
              <c:f>Pivot!$I$20:$I$25</c:f>
              <c:numCache>
                <c:formatCode>General</c:formatCode>
                <c:ptCount val="6"/>
                <c:pt idx="0">
                  <c:v>2020</c:v>
                </c:pt>
                <c:pt idx="1">
                  <c:v>2021</c:v>
                </c:pt>
                <c:pt idx="2">
                  <c:v>2022</c:v>
                </c:pt>
                <c:pt idx="3">
                  <c:v>2023</c:v>
                </c:pt>
                <c:pt idx="4">
                  <c:v>2024</c:v>
                </c:pt>
                <c:pt idx="5">
                  <c:v>2025</c:v>
                </c:pt>
              </c:numCache>
            </c:numRef>
          </c:cat>
          <c:val>
            <c:numRef>
              <c:f>Pivot!$L$20:$L$25</c:f>
              <c:numCache>
                <c:formatCode>General</c:formatCode>
                <c:ptCount val="6"/>
                <c:pt idx="0">
                  <c:v>0</c:v>
                </c:pt>
                <c:pt idx="1">
                  <c:v>1</c:v>
                </c:pt>
                <c:pt idx="2">
                  <c:v>4</c:v>
                </c:pt>
                <c:pt idx="3">
                  <c:v>1</c:v>
                </c:pt>
                <c:pt idx="4">
                  <c:v>0</c:v>
                </c:pt>
                <c:pt idx="5">
                  <c:v>0</c:v>
                </c:pt>
              </c:numCache>
            </c:numRef>
          </c:val>
          <c:extLst>
            <c:ext xmlns:c16="http://schemas.microsoft.com/office/drawing/2014/chart" uri="{C3380CC4-5D6E-409C-BE32-E72D297353CC}">
              <c16:uniqueId val="{00000004-E28A-4381-9A60-44E249E8C0A4}"/>
            </c:ext>
          </c:extLst>
        </c:ser>
        <c:dLbls>
          <c:showLegendKey val="0"/>
          <c:showVal val="0"/>
          <c:showCatName val="0"/>
          <c:showSerName val="0"/>
          <c:showPercent val="0"/>
          <c:showBubbleSize val="0"/>
        </c:dLbls>
        <c:gapWidth val="36"/>
        <c:overlap val="100"/>
        <c:axId val="1188175919"/>
        <c:axId val="1188181679"/>
      </c:barChart>
      <c:lineChart>
        <c:grouping val="standard"/>
        <c:varyColors val="0"/>
        <c:ser>
          <c:idx val="3"/>
          <c:order val="3"/>
          <c:tx>
            <c:strRef>
              <c:f>Pivot!$M$19</c:f>
              <c:strCache>
                <c:ptCount val="1"/>
                <c:pt idx="0">
                  <c:v>Total Employee</c:v>
                </c:pt>
              </c:strCache>
            </c:strRef>
          </c:tx>
          <c:spPr>
            <a:ln w="28575" cap="rnd">
              <a:solidFill>
                <a:srgbClr val="7030A0"/>
              </a:solidFill>
              <a:round/>
            </a:ln>
            <a:effectLst/>
          </c:spPr>
          <c:marker>
            <c:symbol val="none"/>
          </c:marker>
          <c:dLbls>
            <c:spPr>
              <a:solidFill>
                <a:srgbClr val="0070C0"/>
              </a:solidFill>
              <a:ln>
                <a:solidFill>
                  <a:srgbClr val="0070C0"/>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oundRectCallout">
                    <a:avLst/>
                  </a:prstGeom>
                  <a:noFill/>
                  <a:ln>
                    <a:noFill/>
                  </a:ln>
                </c15:spPr>
                <c15:showLeaderLines val="1"/>
                <c15:leaderLines>
                  <c:spPr>
                    <a:ln w="9525">
                      <a:solidFill>
                        <a:schemeClr val="tx2">
                          <a:lumMod val="35000"/>
                          <a:lumOff val="65000"/>
                        </a:schemeClr>
                      </a:solidFill>
                    </a:ln>
                    <a:effectLst/>
                  </c:spPr>
                </c15:leaderLines>
              </c:ext>
            </c:extLst>
          </c:dLbls>
          <c:cat>
            <c:numRef>
              <c:f>Pivot!$I$20:$I$25</c:f>
              <c:numCache>
                <c:formatCode>General</c:formatCode>
                <c:ptCount val="6"/>
                <c:pt idx="0">
                  <c:v>2020</c:v>
                </c:pt>
                <c:pt idx="1">
                  <c:v>2021</c:v>
                </c:pt>
                <c:pt idx="2">
                  <c:v>2022</c:v>
                </c:pt>
                <c:pt idx="3">
                  <c:v>2023</c:v>
                </c:pt>
                <c:pt idx="4">
                  <c:v>2024</c:v>
                </c:pt>
                <c:pt idx="5">
                  <c:v>2025</c:v>
                </c:pt>
              </c:numCache>
            </c:numRef>
          </c:cat>
          <c:val>
            <c:numRef>
              <c:f>Pivot!$M$20:$M$25</c:f>
              <c:numCache>
                <c:formatCode>General</c:formatCode>
                <c:ptCount val="6"/>
                <c:pt idx="0">
                  <c:v>24</c:v>
                </c:pt>
                <c:pt idx="1">
                  <c:v>36</c:v>
                </c:pt>
                <c:pt idx="2">
                  <c:v>59</c:v>
                </c:pt>
                <c:pt idx="3">
                  <c:v>90</c:v>
                </c:pt>
                <c:pt idx="4">
                  <c:v>115</c:v>
                </c:pt>
                <c:pt idx="5">
                  <c:v>124</c:v>
                </c:pt>
              </c:numCache>
            </c:numRef>
          </c:val>
          <c:smooth val="0"/>
          <c:extLst>
            <c:ext xmlns:c16="http://schemas.microsoft.com/office/drawing/2014/chart" uri="{C3380CC4-5D6E-409C-BE32-E72D297353CC}">
              <c16:uniqueId val="{00000005-E28A-4381-9A60-44E249E8C0A4}"/>
            </c:ext>
          </c:extLst>
        </c:ser>
        <c:dLbls>
          <c:showLegendKey val="0"/>
          <c:showVal val="0"/>
          <c:showCatName val="0"/>
          <c:showSerName val="0"/>
          <c:showPercent val="0"/>
          <c:showBubbleSize val="0"/>
        </c:dLbls>
        <c:marker val="1"/>
        <c:smooth val="0"/>
        <c:axId val="1188175919"/>
        <c:axId val="1188181679"/>
      </c:lineChart>
      <c:catAx>
        <c:axId val="11854850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85496575"/>
        <c:crosses val="autoZero"/>
        <c:auto val="1"/>
        <c:lblAlgn val="ctr"/>
        <c:lblOffset val="100"/>
        <c:noMultiLvlLbl val="0"/>
      </c:catAx>
      <c:valAx>
        <c:axId val="11854965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5485055"/>
        <c:crosses val="autoZero"/>
        <c:crossBetween val="between"/>
      </c:valAx>
      <c:valAx>
        <c:axId val="1188181679"/>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88175919"/>
        <c:crosses val="max"/>
        <c:crossBetween val="between"/>
      </c:valAx>
      <c:catAx>
        <c:axId val="1188175919"/>
        <c:scaling>
          <c:orientation val="minMax"/>
        </c:scaling>
        <c:delete val="1"/>
        <c:axPos val="b"/>
        <c:numFmt formatCode="General" sourceLinked="1"/>
        <c:majorTickMark val="none"/>
        <c:minorTickMark val="none"/>
        <c:tickLblPos val="nextTo"/>
        <c:crossAx val="118818167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6344059886404873"/>
          <c:y val="4.3715831946703858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8749204580938636"/>
          <c:y val="0.17088518707966541"/>
          <c:w val="0.67646285371884796"/>
          <c:h val="0.68977008226149239"/>
        </c:manualLayout>
      </c:layout>
      <c:doughnutChart>
        <c:varyColors val="1"/>
        <c:ser>
          <c:idx val="0"/>
          <c:order val="0"/>
          <c:tx>
            <c:strRef>
              <c:f>Pivot!$Z$19</c:f>
              <c:strCache>
                <c:ptCount val="1"/>
                <c:pt idx="0">
                  <c:v>Diversity %</c:v>
                </c:pt>
              </c:strCache>
            </c:strRef>
          </c:tx>
          <c:spPr>
            <a:solidFill>
              <a:srgbClr val="EB05A9"/>
            </a:solidFill>
            <a:ln>
              <a:solidFill>
                <a:srgbClr val="EB05A9"/>
              </a:solidFill>
            </a:ln>
          </c:spPr>
          <c:dPt>
            <c:idx val="0"/>
            <c:bubble3D val="0"/>
            <c:spPr>
              <a:solidFill>
                <a:srgbClr val="EB05A9"/>
              </a:solidFill>
              <a:ln w="19050">
                <a:solidFill>
                  <a:srgbClr val="EB05A9"/>
                </a:solidFill>
              </a:ln>
              <a:effectLst/>
            </c:spPr>
            <c:extLst>
              <c:ext xmlns:c16="http://schemas.microsoft.com/office/drawing/2014/chart" uri="{C3380CC4-5D6E-409C-BE32-E72D297353CC}">
                <c16:uniqueId val="{00000001-73D9-4DCB-B7FD-78B6C105490D}"/>
              </c:ext>
            </c:extLst>
          </c:dPt>
          <c:dPt>
            <c:idx val="1"/>
            <c:bubble3D val="0"/>
            <c:spPr>
              <a:solidFill>
                <a:srgbClr val="065DEA"/>
              </a:solidFill>
              <a:ln w="19050">
                <a:solidFill>
                  <a:srgbClr val="065DEA"/>
                </a:solidFill>
              </a:ln>
              <a:effectLst/>
            </c:spPr>
            <c:extLst>
              <c:ext xmlns:c16="http://schemas.microsoft.com/office/drawing/2014/chart" uri="{C3380CC4-5D6E-409C-BE32-E72D297353CC}">
                <c16:uniqueId val="{00000003-73D9-4DCB-B7FD-78B6C105490D}"/>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Pivot!$Y$20:$Y$21</c:f>
              <c:strCache>
                <c:ptCount val="2"/>
                <c:pt idx="0">
                  <c:v>Female</c:v>
                </c:pt>
                <c:pt idx="1">
                  <c:v>Male</c:v>
                </c:pt>
              </c:strCache>
            </c:strRef>
          </c:cat>
          <c:val>
            <c:numRef>
              <c:f>Pivot!$Z$20:$Z$21</c:f>
              <c:numCache>
                <c:formatCode>0%</c:formatCode>
                <c:ptCount val="2"/>
                <c:pt idx="0">
                  <c:v>0.38135593220338981</c:v>
                </c:pt>
                <c:pt idx="1">
                  <c:v>0.61864406779661019</c:v>
                </c:pt>
              </c:numCache>
            </c:numRef>
          </c:val>
          <c:extLst>
            <c:ext xmlns:c16="http://schemas.microsoft.com/office/drawing/2014/chart" uri="{C3380CC4-5D6E-409C-BE32-E72D297353CC}">
              <c16:uniqueId val="{00000004-73D9-4DCB-B7FD-78B6C105490D}"/>
            </c:ext>
          </c:extLst>
        </c:ser>
        <c:dLbls>
          <c:showLegendKey val="0"/>
          <c:showVal val="0"/>
          <c:showCatName val="0"/>
          <c:showSerName val="0"/>
          <c:showPercent val="0"/>
          <c:showBubbleSize val="0"/>
          <c:showLeaderLines val="1"/>
        </c:dLbls>
        <c:firstSliceAng val="150"/>
        <c:holeSize val="56"/>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600" b="1" i="0" u="none" strike="noStrike" kern="1200" spc="0" baseline="0">
                <a:solidFill>
                  <a:sysClr val="windowText" lastClr="000000"/>
                </a:solidFill>
                <a:latin typeface="+mn-lt"/>
                <a:ea typeface="+mn-ea"/>
                <a:cs typeface="+mn-cs"/>
              </a:defRPr>
            </a:pPr>
            <a:r>
              <a:rPr lang="en-US" sz="1600" b="1" i="0" u="none" strike="noStrike" kern="1200" spc="0" baseline="0">
                <a:solidFill>
                  <a:sysClr val="windowText" lastClr="000000"/>
                </a:solidFill>
                <a:latin typeface="+mn-lt"/>
                <a:ea typeface="+mn-ea"/>
                <a:cs typeface="+mn-cs"/>
              </a:rPr>
              <a:t>Employee Level</a:t>
            </a:r>
          </a:p>
        </c:rich>
      </c:tx>
      <c:layout>
        <c:manualLayout>
          <c:xMode val="edge"/>
          <c:yMode val="edge"/>
          <c:x val="0.32612716763005778"/>
          <c:y val="6.3960456117696837E-2"/>
        </c:manualLayout>
      </c:layout>
      <c:overlay val="0"/>
      <c:spPr>
        <a:noFill/>
        <a:ln>
          <a:noFill/>
        </a:ln>
        <a:effectLst/>
      </c:spPr>
      <c:txPr>
        <a:bodyPr rot="0" spcFirstLastPara="1" vertOverflow="ellipsis" vert="horz" wrap="square" anchor="ctr" anchorCtr="1"/>
        <a:lstStyle/>
        <a:p>
          <a:pPr algn="ctr" rtl="0">
            <a:defRPr lang="en-US" sz="16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8739818999048766"/>
          <c:y val="0.16207576317919342"/>
          <c:w val="0.67905370243521068"/>
          <c:h val="0.66562648564630267"/>
        </c:manualLayout>
      </c:layout>
      <c:pieChart>
        <c:varyColors val="1"/>
        <c:ser>
          <c:idx val="0"/>
          <c:order val="0"/>
          <c:tx>
            <c:strRef>
              <c:f>Pivot!$AE$19</c:f>
              <c:strCache>
                <c:ptCount val="1"/>
                <c:pt idx="0">
                  <c:v>Employee</c:v>
                </c:pt>
              </c:strCache>
            </c:strRef>
          </c:tx>
          <c:spPr>
            <a:solidFill>
              <a:srgbClr val="002060"/>
            </a:solidFill>
            <a:ln>
              <a:solidFill>
                <a:srgbClr val="002060"/>
              </a:solidFill>
            </a:ln>
          </c:spPr>
          <c:dPt>
            <c:idx val="0"/>
            <c:bubble3D val="0"/>
            <c:spPr>
              <a:solidFill>
                <a:schemeClr val="bg2">
                  <a:lumMod val="90000"/>
                </a:schemeClr>
              </a:solidFill>
              <a:ln>
                <a:solidFill>
                  <a:schemeClr val="bg2">
                    <a:lumMod val="90000"/>
                  </a:schemeClr>
                </a:solidFill>
              </a:ln>
              <a:effectLst/>
            </c:spPr>
            <c:extLst>
              <c:ext xmlns:c16="http://schemas.microsoft.com/office/drawing/2014/chart" uri="{C3380CC4-5D6E-409C-BE32-E72D297353CC}">
                <c16:uniqueId val="{00000001-41FB-4643-B271-928FFE4438EF}"/>
              </c:ext>
            </c:extLst>
          </c:dPt>
          <c:dPt>
            <c:idx val="1"/>
            <c:bubble3D val="0"/>
            <c:spPr>
              <a:solidFill>
                <a:srgbClr val="00B0F0"/>
              </a:solidFill>
              <a:ln>
                <a:solidFill>
                  <a:srgbClr val="00B0F0"/>
                </a:solidFill>
              </a:ln>
              <a:effectLst/>
            </c:spPr>
            <c:extLst>
              <c:ext xmlns:c16="http://schemas.microsoft.com/office/drawing/2014/chart" uri="{C3380CC4-5D6E-409C-BE32-E72D297353CC}">
                <c16:uniqueId val="{00000003-41FB-4643-B271-928FFE4438EF}"/>
              </c:ext>
            </c:extLst>
          </c:dPt>
          <c:dPt>
            <c:idx val="2"/>
            <c:bubble3D val="0"/>
            <c:spPr>
              <a:solidFill>
                <a:srgbClr val="002060"/>
              </a:solidFill>
              <a:ln>
                <a:solidFill>
                  <a:srgbClr val="002060"/>
                </a:solidFill>
              </a:ln>
              <a:effectLst/>
            </c:spPr>
            <c:extLst>
              <c:ext xmlns:c16="http://schemas.microsoft.com/office/drawing/2014/chart" uri="{C3380CC4-5D6E-409C-BE32-E72D297353CC}">
                <c16:uniqueId val="{00000005-41FB-4643-B271-928FFE4438EF}"/>
              </c:ext>
            </c:extLst>
          </c:dPt>
          <c:dPt>
            <c:idx val="3"/>
            <c:bubble3D val="0"/>
            <c:spPr>
              <a:solidFill>
                <a:srgbClr val="065DEA"/>
              </a:solidFill>
              <a:ln>
                <a:solidFill>
                  <a:srgbClr val="065DEA"/>
                </a:solidFill>
              </a:ln>
              <a:effectLst/>
            </c:spPr>
            <c:extLst>
              <c:ext xmlns:c16="http://schemas.microsoft.com/office/drawing/2014/chart" uri="{C3380CC4-5D6E-409C-BE32-E72D297353CC}">
                <c16:uniqueId val="{00000007-41FB-4643-B271-928FFE4438EF}"/>
              </c:ext>
            </c:extLst>
          </c:dPt>
          <c:dLbls>
            <c:dLbl>
              <c:idx val="0"/>
              <c:layout>
                <c:manualLayout>
                  <c:x val="-0.13999768847407829"/>
                  <c:y val="0.15958929358936297"/>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4240161492156545"/>
                      <c:h val="0.14677970454786082"/>
                    </c:manualLayout>
                  </c15:layout>
                </c:ext>
                <c:ext xmlns:c16="http://schemas.microsoft.com/office/drawing/2014/chart" uri="{C3380CC4-5D6E-409C-BE32-E72D297353CC}">
                  <c16:uniqueId val="{00000001-41FB-4643-B271-928FFE4438EF}"/>
                </c:ext>
              </c:extLst>
            </c:dLbl>
            <c:dLbl>
              <c:idx val="1"/>
              <c:layout>
                <c:manualLayout>
                  <c:x val="-0.13470719864842301"/>
                  <c:y val="9.0145644125819394E-2"/>
                </c:manualLayout>
              </c:layout>
              <c:dLblPos val="bestFit"/>
              <c:showLegendKey val="0"/>
              <c:showVal val="0"/>
              <c:showCatName val="1"/>
              <c:showSerName val="0"/>
              <c:showPercent val="1"/>
              <c:showBubbleSize val="0"/>
              <c:extLst>
                <c:ext xmlns:c15="http://schemas.microsoft.com/office/drawing/2012/chart" uri="{CE6537A1-D6FC-4f65-9D91-7224C49458BB}">
                  <c15:layout>
                    <c:manualLayout>
                      <c:w val="0.27754074215714986"/>
                      <c:h val="0.13542391726319891"/>
                    </c:manualLayout>
                  </c15:layout>
                </c:ext>
                <c:ext xmlns:c16="http://schemas.microsoft.com/office/drawing/2014/chart" uri="{C3380CC4-5D6E-409C-BE32-E72D297353CC}">
                  <c16:uniqueId val="{00000003-41FB-4643-B271-928FFE4438EF}"/>
                </c:ext>
              </c:extLst>
            </c:dLbl>
            <c:dLbl>
              <c:idx val="2"/>
              <c:layout>
                <c:manualLayout>
                  <c:x val="-0.13832092451355088"/>
                  <c:y val="-0.22363160390634337"/>
                </c:manualLayout>
              </c:layout>
              <c:spPr>
                <a:noFill/>
                <a:ln>
                  <a:noFill/>
                </a:ln>
                <a:effectLst/>
              </c:spPr>
              <c:txPr>
                <a:bodyPr rot="0" spcFirstLastPara="1" vertOverflow="ellipsis" vert="horz" wrap="square" lIns="38100" tIns="19050" rIns="38100" bIns="19050" anchor="ctr" anchorCtr="1">
                  <a:noAutofit/>
                </a:bodyPr>
                <a:lstStyle/>
                <a:p>
                  <a:pPr>
                    <a:defRPr sz="1100" b="1" i="0" u="none" strike="noStrike"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40766543143239575"/>
                      <c:h val="0.15551793689456439"/>
                    </c:manualLayout>
                  </c15:layout>
                </c:ext>
                <c:ext xmlns:c16="http://schemas.microsoft.com/office/drawing/2014/chart" uri="{C3380CC4-5D6E-409C-BE32-E72D297353CC}">
                  <c16:uniqueId val="{00000005-41FB-4643-B271-928FFE4438EF}"/>
                </c:ext>
              </c:extLst>
            </c:dLbl>
            <c:dLbl>
              <c:idx val="3"/>
              <c:layout>
                <c:manualLayout>
                  <c:x val="0.2054165950618061"/>
                  <c:y val="0.1073025512115162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1FB-4643-B271-928FFE4438E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baseline="0">
                    <a:solidFill>
                      <a:schemeClr val="bg1"/>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extLst>
          </c:dLbls>
          <c:cat>
            <c:strRef>
              <c:f>Pivot!$AD$20:$AD$23</c:f>
              <c:strCache>
                <c:ptCount val="4"/>
                <c:pt idx="0">
                  <c:v>Contract</c:v>
                </c:pt>
                <c:pt idx="1">
                  <c:v>Management</c:v>
                </c:pt>
                <c:pt idx="2">
                  <c:v>Professional</c:v>
                </c:pt>
                <c:pt idx="3">
                  <c:v>Trainees</c:v>
                </c:pt>
              </c:strCache>
            </c:strRef>
          </c:cat>
          <c:val>
            <c:numRef>
              <c:f>Pivot!$AE$20:$AE$23</c:f>
              <c:numCache>
                <c:formatCode>General</c:formatCode>
                <c:ptCount val="4"/>
                <c:pt idx="0">
                  <c:v>13</c:v>
                </c:pt>
                <c:pt idx="1">
                  <c:v>21</c:v>
                </c:pt>
                <c:pt idx="2">
                  <c:v>43</c:v>
                </c:pt>
                <c:pt idx="3">
                  <c:v>41</c:v>
                </c:pt>
              </c:numCache>
            </c:numRef>
          </c:val>
          <c:extLst>
            <c:ext xmlns:c16="http://schemas.microsoft.com/office/drawing/2014/chart" uri="{C3380CC4-5D6E-409C-BE32-E72D297353CC}">
              <c16:uniqueId val="{00000008-41FB-4643-B271-928FFE4438E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r>
              <a:rPr lang="en-US" sz="1600" b="1" i="0" u="none" strike="noStrike" baseline="0" dirty="0">
                <a:solidFill>
                  <a:sysClr val="windowText" lastClr="000000"/>
                </a:solidFill>
                <a:latin typeface="Calibri" panose="020F0502020204030204"/>
                <a:ea typeface="Calibri" panose="020F0502020204030204" pitchFamily="34" charset="0"/>
                <a:cs typeface="Calibri" panose="020F0502020204030204" pitchFamily="34" charset="0"/>
              </a:rPr>
              <a:t>Employee Type</a:t>
            </a:r>
          </a:p>
        </c:rich>
      </c:tx>
      <c:layout>
        <c:manualLayout>
          <c:xMode val="edge"/>
          <c:yMode val="edge"/>
          <c:x val="0.25143055118110241"/>
          <c:y val="8.6396009009512109E-2"/>
        </c:manualLayout>
      </c:layout>
      <c:overlay val="0"/>
      <c:spPr>
        <a:noFill/>
        <a:ln>
          <a:noFill/>
        </a:ln>
        <a:effectLst/>
      </c:spPr>
      <c:txPr>
        <a:bodyPr rot="0" spcFirstLastPara="1" vertOverflow="ellipsis" vert="horz" wrap="square" anchor="ctr" anchorCtr="1"/>
        <a:lstStyle/>
        <a:p>
          <a:pPr>
            <a:defRPr lang="en-US" sz="16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title>
    <c:autoTitleDeleted val="0"/>
    <c:plotArea>
      <c:layout>
        <c:manualLayout>
          <c:layoutTarget val="inner"/>
          <c:xMode val="edge"/>
          <c:yMode val="edge"/>
          <c:x val="1.7322834645669292E-3"/>
          <c:y val="0.19149407460431084"/>
          <c:w val="0.7604806983396738"/>
          <c:h val="0.67650839099658"/>
        </c:manualLayout>
      </c:layout>
      <c:barChart>
        <c:barDir val="col"/>
        <c:grouping val="clustered"/>
        <c:varyColors val="0"/>
        <c:ser>
          <c:idx val="0"/>
          <c:order val="0"/>
          <c:tx>
            <c:strRef>
              <c:f>Pivot!$T$20</c:f>
              <c:strCache>
                <c:ptCount val="1"/>
                <c:pt idx="0">
                  <c:v>Permanent</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Pivot!$T$21</c:f>
              <c:numCache>
                <c:formatCode>0%</c:formatCode>
                <c:ptCount val="1"/>
                <c:pt idx="0">
                  <c:v>0.88983050847457623</c:v>
                </c:pt>
              </c:numCache>
            </c:numRef>
          </c:val>
          <c:extLst>
            <c:ext xmlns:c16="http://schemas.microsoft.com/office/drawing/2014/chart" uri="{C3380CC4-5D6E-409C-BE32-E72D297353CC}">
              <c16:uniqueId val="{00000000-92A9-4E22-992A-E1AAA216B491}"/>
            </c:ext>
          </c:extLst>
        </c:ser>
        <c:ser>
          <c:idx val="1"/>
          <c:order val="1"/>
          <c:tx>
            <c:strRef>
              <c:f>Pivot!$U$20</c:f>
              <c:strCache>
                <c:ptCount val="1"/>
                <c:pt idx="0">
                  <c:v>Contract</c:v>
                </c:pt>
              </c:strCache>
            </c:strRef>
          </c:tx>
          <c:spPr>
            <a:solidFill>
              <a:srgbClr val="FFC000"/>
            </a:solidFill>
            <a:ln>
              <a:noFill/>
            </a:ln>
            <a:effectLst/>
          </c:spPr>
          <c:invertIfNegative val="0"/>
          <c:dLbls>
            <c:dLbl>
              <c:idx val="0"/>
              <c:layout>
                <c:manualLayout>
                  <c:x val="-6.8663376582579738E-17"/>
                  <c:y val="8.968225562713742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A9-4E22-992A-E1AAA216B491}"/>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Pivot!$U$21</c:f>
              <c:numCache>
                <c:formatCode>0%</c:formatCode>
                <c:ptCount val="1"/>
                <c:pt idx="0">
                  <c:v>0.11016949152542373</c:v>
                </c:pt>
              </c:numCache>
            </c:numRef>
          </c:val>
          <c:extLst>
            <c:ext xmlns:c16="http://schemas.microsoft.com/office/drawing/2014/chart" uri="{C3380CC4-5D6E-409C-BE32-E72D297353CC}">
              <c16:uniqueId val="{00000001-92A9-4E22-992A-E1AAA216B491}"/>
            </c:ext>
          </c:extLst>
        </c:ser>
        <c:dLbls>
          <c:showLegendKey val="0"/>
          <c:showVal val="0"/>
          <c:showCatName val="0"/>
          <c:showSerName val="0"/>
          <c:showPercent val="0"/>
          <c:showBubbleSize val="0"/>
        </c:dLbls>
        <c:gapWidth val="145"/>
        <c:overlap val="100"/>
        <c:axId val="1332386751"/>
        <c:axId val="1332387231"/>
      </c:barChart>
      <c:catAx>
        <c:axId val="1332386751"/>
        <c:scaling>
          <c:orientation val="minMax"/>
        </c:scaling>
        <c:delete val="1"/>
        <c:axPos val="b"/>
        <c:numFmt formatCode="General" sourceLinked="1"/>
        <c:majorTickMark val="none"/>
        <c:minorTickMark val="none"/>
        <c:tickLblPos val="nextTo"/>
        <c:crossAx val="1332387231"/>
        <c:crosses val="autoZero"/>
        <c:auto val="1"/>
        <c:lblAlgn val="ctr"/>
        <c:lblOffset val="100"/>
        <c:noMultiLvlLbl val="0"/>
      </c:catAx>
      <c:valAx>
        <c:axId val="1332387231"/>
        <c:scaling>
          <c:orientation val="minMax"/>
        </c:scaling>
        <c:delete val="1"/>
        <c:axPos val="l"/>
        <c:numFmt formatCode="0%" sourceLinked="1"/>
        <c:majorTickMark val="none"/>
        <c:minorTickMark val="none"/>
        <c:tickLblPos val="nextTo"/>
        <c:crossAx val="1332386751"/>
        <c:crosses val="autoZero"/>
        <c:crossBetween val="between"/>
      </c:valAx>
      <c:spPr>
        <a:noFill/>
        <a:ln>
          <a:noFill/>
        </a:ln>
        <a:effectLst/>
      </c:spPr>
    </c:plotArea>
    <c:legend>
      <c:legendPos val="b"/>
      <c:layout>
        <c:manualLayout>
          <c:xMode val="edge"/>
          <c:yMode val="edge"/>
          <c:x val="0.13104125984251969"/>
          <c:y val="0.89962061560486761"/>
          <c:w val="0.84002890088177185"/>
          <c:h val="8.5227869243617277E-2"/>
        </c:manualLayout>
      </c:layou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r>
              <a:rPr lang="en-US" sz="1400" b="1" i="0" u="none" strike="noStrike" baseline="0" dirty="0">
                <a:solidFill>
                  <a:sysClr val="windowText" lastClr="000000"/>
                </a:solidFill>
                <a:latin typeface="Calibri" panose="020F0502020204030204"/>
                <a:ea typeface="Calibri" panose="020F0502020204030204" pitchFamily="34" charset="0"/>
                <a:cs typeface="Calibri" panose="020F0502020204030204" pitchFamily="34" charset="0"/>
              </a:rPr>
              <a:t>Tenure Distribution</a:t>
            </a:r>
          </a:p>
        </c:rich>
      </c:tx>
      <c:overlay val="0"/>
      <c:spPr>
        <a:noFill/>
        <a:ln>
          <a:noFill/>
        </a:ln>
        <a:effectLst/>
      </c:spPr>
      <c:txPr>
        <a:bodyPr rot="0" spcFirstLastPara="1" vertOverflow="ellipsis" vert="horz" wrap="square" anchor="ctr" anchorCtr="1"/>
        <a:lstStyle/>
        <a:p>
          <a:pPr>
            <a:defRPr lang="en-US" sz="1400" b="1" i="0" u="none" strike="noStrike" kern="1200" spc="0" baseline="0">
              <a:solidFill>
                <a:sysClr val="windowText" lastClr="000000"/>
              </a:solidFill>
              <a:latin typeface="Calibri" panose="020F0502020204030204"/>
              <a:ea typeface="Calibri" panose="020F0502020204030204" pitchFamily="34" charset="0"/>
              <a:cs typeface="Calibri" panose="020F0502020204030204" pitchFamily="34" charset="0"/>
            </a:defRPr>
          </a:pPr>
          <a:endParaRPr lang="en-US"/>
        </a:p>
      </c:txPr>
    </c:title>
    <c:autoTitleDeleted val="0"/>
    <c:plotArea>
      <c:layout/>
      <c:barChart>
        <c:barDir val="bar"/>
        <c:grouping val="clustered"/>
        <c:varyColors val="0"/>
        <c:ser>
          <c:idx val="0"/>
          <c:order val="0"/>
          <c:tx>
            <c:strRef>
              <c:f>Pivot!$AM$19</c:f>
              <c:strCache>
                <c:ptCount val="1"/>
                <c:pt idx="0">
                  <c:v>Employee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Pivot!$AL$20:$AL$25</c:f>
              <c:strCache>
                <c:ptCount val="6"/>
                <c:pt idx="0">
                  <c:v>1+ Years</c:v>
                </c:pt>
                <c:pt idx="1">
                  <c:v>2+ Years</c:v>
                </c:pt>
                <c:pt idx="2">
                  <c:v>3+ Years</c:v>
                </c:pt>
                <c:pt idx="3">
                  <c:v>4+ Years</c:v>
                </c:pt>
                <c:pt idx="4">
                  <c:v>5+ Years</c:v>
                </c:pt>
                <c:pt idx="5">
                  <c:v>Under 1 Year</c:v>
                </c:pt>
              </c:strCache>
            </c:strRef>
          </c:cat>
          <c:val>
            <c:numRef>
              <c:f>Pivot!$AM$20:$AM$25</c:f>
              <c:numCache>
                <c:formatCode>General</c:formatCode>
                <c:ptCount val="6"/>
                <c:pt idx="0">
                  <c:v>13</c:v>
                </c:pt>
                <c:pt idx="1">
                  <c:v>46</c:v>
                </c:pt>
                <c:pt idx="2">
                  <c:v>13</c:v>
                </c:pt>
                <c:pt idx="3">
                  <c:v>15</c:v>
                </c:pt>
                <c:pt idx="4">
                  <c:v>27</c:v>
                </c:pt>
                <c:pt idx="5">
                  <c:v>4</c:v>
                </c:pt>
              </c:numCache>
            </c:numRef>
          </c:val>
          <c:extLst>
            <c:ext xmlns:c16="http://schemas.microsoft.com/office/drawing/2014/chart" uri="{C3380CC4-5D6E-409C-BE32-E72D297353CC}">
              <c16:uniqueId val="{00000000-38B6-4124-9B0C-B60B7200B2B0}"/>
            </c:ext>
          </c:extLst>
        </c:ser>
        <c:dLbls>
          <c:showLegendKey val="0"/>
          <c:showVal val="0"/>
          <c:showCatName val="0"/>
          <c:showSerName val="0"/>
          <c:showPercent val="0"/>
          <c:showBubbleSize val="0"/>
        </c:dLbls>
        <c:gapWidth val="52"/>
        <c:overlap val="100"/>
        <c:axId val="1305864831"/>
        <c:axId val="1305866751"/>
      </c:barChart>
      <c:catAx>
        <c:axId val="130586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305866751"/>
        <c:crosses val="autoZero"/>
        <c:auto val="1"/>
        <c:lblAlgn val="ctr"/>
        <c:lblOffset val="100"/>
        <c:noMultiLvlLbl val="0"/>
      </c:catAx>
      <c:valAx>
        <c:axId val="1305866751"/>
        <c:scaling>
          <c:orientation val="minMax"/>
        </c:scaling>
        <c:delete val="1"/>
        <c:axPos val="b"/>
        <c:numFmt formatCode="General" sourceLinked="1"/>
        <c:majorTickMark val="none"/>
        <c:minorTickMark val="none"/>
        <c:tickLblPos val="nextTo"/>
        <c:crossAx val="13058648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Department</cx:v>
        </cx:txData>
      </cx:tx>
      <cx:txPr>
        <a:bodyPr spcFirstLastPara="1" vertOverflow="ellipsis" horzOverflow="overflow" wrap="square" lIns="0" tIns="0" rIns="0" bIns="0" anchor="ctr" anchorCtr="1"/>
        <a:lstStyle/>
        <a:p>
          <a:pPr algn="ctr" rtl="0">
            <a:defRPr/>
          </a:pPr>
          <a:r>
            <a:rPr lang="en-US" sz="1800" b="1" i="0" u="none" strike="noStrike" kern="1200" baseline="0">
              <a:solidFill>
                <a:sysClr val="windowText" lastClr="000000"/>
              </a:solidFill>
              <a:latin typeface="+mn-lt"/>
              <a:ea typeface="+mn-ea"/>
              <a:cs typeface="+mn-cs"/>
            </a:rPr>
            <a:t>Department</a:t>
          </a:r>
        </a:p>
      </cx:txPr>
    </cx:title>
    <cx:plotArea>
      <cx:plotAreaRegion>
        <cx:series layoutId="sunburst" uniqueId="{18236D98-9581-4445-BA74-C48A4A08518C}">
          <cx:tx>
            <cx:txData>
              <cx:f>_xlchart.v1.4</cx:f>
              <cx:v>Employee</cx:v>
            </cx:txData>
          </cx:tx>
          <cx:spPr>
            <a:ln>
              <a:noFill/>
            </a:ln>
          </cx:spPr>
          <cx:dataLabels pos="ctr">
            <cx:txPr>
              <a:bodyPr spcFirstLastPara="1" vertOverflow="ellipsis" horzOverflow="overflow" wrap="square" lIns="0" tIns="0" rIns="0" bIns="0" anchor="ctr" anchorCtr="1"/>
              <a:lstStyle/>
              <a:p>
                <a:pPr algn="ctr" rtl="0">
                  <a:defRPr sz="1400" b="1"/>
                </a:pPr>
                <a:endParaRPr lang="en-US" sz="1400" b="1" i="0" u="none" strike="noStrike" baseline="0">
                  <a:solidFill>
                    <a:sysClr val="window" lastClr="FFFFFF"/>
                  </a:solidFill>
                  <a:latin typeface="Calibri" panose="020F0502020204030204"/>
                </a:endParaRPr>
              </a:p>
            </cx:txPr>
            <cx:visibility seriesName="0" categoryName="0" value="1"/>
            <cx:separator>, </cx:separator>
          </cx:dataLabels>
          <cx:dataId val="0"/>
        </cx:series>
      </cx:plotAreaRegion>
    </cx:plotArea>
    <cx:legend pos="r" align="ctr" overlay="0"/>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Reporting Manager</cx:v>
        </cx:txData>
      </cx:tx>
      <cx:txPr>
        <a:bodyPr spcFirstLastPara="1" vertOverflow="ellipsis" horzOverflow="overflow" wrap="square" lIns="0" tIns="0" rIns="0" bIns="0" anchor="ctr" anchorCtr="1"/>
        <a:lstStyle/>
        <a:p>
          <a:pPr algn="ctr" rtl="0">
            <a:defRPr b="1">
              <a:solidFill>
                <a:sysClr val="windowText" lastClr="000000"/>
              </a:solidFill>
            </a:defRPr>
          </a:pPr>
          <a:r>
            <a:rPr lang="en-US" sz="1400" b="1" i="0" u="none" strike="noStrike" baseline="0">
              <a:solidFill>
                <a:sysClr val="windowText" lastClr="000000"/>
              </a:solidFill>
              <a:latin typeface="Calibri" panose="020F0502020204030204"/>
            </a:rPr>
            <a:t>Reporting Manager</a:t>
          </a:r>
        </a:p>
      </cx:txPr>
    </cx:title>
    <cx:plotArea>
      <cx:plotAreaRegion>
        <cx:series layoutId="funnel" uniqueId="{BAE22CB8-F5C4-4EDF-A761-965E9984DD92}">
          <cx:tx>
            <cx:txData>
              <cx:f>_xlchart.v2.1</cx:f>
              <cx:v>Employee</cx:v>
            </cx:txData>
          </cx:tx>
          <cx:spPr>
            <a:solidFill>
              <a:srgbClr val="065DEA"/>
            </a:solidFill>
          </cx:spPr>
          <cx:data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solidFill>
                  <a:sysClr val="windowText" lastClr="000000"/>
                </a:solidFill>
              </a:defRPr>
            </a:pPr>
            <a:endParaRPr lang="en-US" sz="900" b="1" i="0" u="none" strike="noStrike" baseline="0">
              <a:solidFill>
                <a:sysClr val="windowText" lastClr="000000"/>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7.png"/><Relationship Id="rId18" Type="http://schemas.openxmlformats.org/officeDocument/2006/relationships/image" Target="../media/image11.png"/><Relationship Id="rId26" Type="http://schemas.openxmlformats.org/officeDocument/2006/relationships/image" Target="../media/image19.png"/><Relationship Id="rId3" Type="http://schemas.openxmlformats.org/officeDocument/2006/relationships/image" Target="../media/image1.png"/><Relationship Id="rId21" Type="http://schemas.openxmlformats.org/officeDocument/2006/relationships/image" Target="../media/image14.svg"/><Relationship Id="rId7" Type="http://schemas.openxmlformats.org/officeDocument/2006/relationships/chart" Target="../charts/chart3.xml"/><Relationship Id="rId12" Type="http://schemas.openxmlformats.org/officeDocument/2006/relationships/chart" Target="../charts/chart4.xml"/><Relationship Id="rId17" Type="http://schemas.openxmlformats.org/officeDocument/2006/relationships/image" Target="../media/image10.svg"/><Relationship Id="rId25" Type="http://schemas.openxmlformats.org/officeDocument/2006/relationships/image" Target="../media/image18.svg"/><Relationship Id="rId2" Type="http://schemas.openxmlformats.org/officeDocument/2006/relationships/chart" Target="../charts/chart2.xml"/><Relationship Id="rId16" Type="http://schemas.openxmlformats.org/officeDocument/2006/relationships/image" Target="../media/image9.png"/><Relationship Id="rId20" Type="http://schemas.openxmlformats.org/officeDocument/2006/relationships/image" Target="../media/image13.png"/><Relationship Id="rId1" Type="http://schemas.openxmlformats.org/officeDocument/2006/relationships/chart" Target="../charts/chart1.xml"/><Relationship Id="rId6" Type="http://schemas.openxmlformats.org/officeDocument/2006/relationships/image" Target="../media/image4.svg"/><Relationship Id="rId11" Type="http://schemas.microsoft.com/office/2014/relationships/chartEx" Target="../charts/chartEx2.xml"/><Relationship Id="rId24" Type="http://schemas.openxmlformats.org/officeDocument/2006/relationships/image" Target="../media/image17.png"/><Relationship Id="rId5" Type="http://schemas.openxmlformats.org/officeDocument/2006/relationships/image" Target="../media/image3.png"/><Relationship Id="rId15" Type="http://schemas.openxmlformats.org/officeDocument/2006/relationships/chart" Target="../charts/chart5.xml"/><Relationship Id="rId23" Type="http://schemas.openxmlformats.org/officeDocument/2006/relationships/image" Target="../media/image16.svg"/><Relationship Id="rId10" Type="http://schemas.microsoft.com/office/2014/relationships/chartEx" Target="../charts/chartEx1.xml"/><Relationship Id="rId19" Type="http://schemas.openxmlformats.org/officeDocument/2006/relationships/image" Target="../media/image12.svg"/><Relationship Id="rId4" Type="http://schemas.openxmlformats.org/officeDocument/2006/relationships/image" Target="../media/image2.svg"/><Relationship Id="rId9" Type="http://schemas.openxmlformats.org/officeDocument/2006/relationships/image" Target="../media/image6.svg"/><Relationship Id="rId14" Type="http://schemas.openxmlformats.org/officeDocument/2006/relationships/image" Target="../media/image8.svg"/><Relationship Id="rId22" Type="http://schemas.openxmlformats.org/officeDocument/2006/relationships/image" Target="../media/image15.png"/><Relationship Id="rId27" Type="http://schemas.openxmlformats.org/officeDocument/2006/relationships/image" Target="../media/image20.svg"/></Relationships>
</file>

<file path=xl/drawings/drawing1.xml><?xml version="1.0" encoding="utf-8"?>
<xdr:wsDr xmlns:xdr="http://schemas.openxmlformats.org/drawingml/2006/spreadsheetDrawing" xmlns:a="http://schemas.openxmlformats.org/drawingml/2006/main">
  <xdr:twoCellAnchor>
    <xdr:from>
      <xdr:col>0</xdr:col>
      <xdr:colOff>47625</xdr:colOff>
      <xdr:row>0</xdr:row>
      <xdr:rowOff>47625</xdr:rowOff>
    </xdr:from>
    <xdr:to>
      <xdr:col>2</xdr:col>
      <xdr:colOff>142875</xdr:colOff>
      <xdr:row>4</xdr:row>
      <xdr:rowOff>161925</xdr:rowOff>
    </xdr:to>
    <xdr:sp macro="" textlink="">
      <xdr:nvSpPr>
        <xdr:cNvPr id="2" name="Rectangle: Rounded Corners 1">
          <a:extLst>
            <a:ext uri="{FF2B5EF4-FFF2-40B4-BE49-F238E27FC236}">
              <a16:creationId xmlns:a16="http://schemas.microsoft.com/office/drawing/2014/main" id="{E6037E82-0B49-294C-9C4A-11B504311449}"/>
            </a:ext>
          </a:extLst>
        </xdr:cNvPr>
        <xdr:cNvSpPr/>
      </xdr:nvSpPr>
      <xdr:spPr>
        <a:xfrm>
          <a:off x="47625" y="47625"/>
          <a:ext cx="1314450" cy="8763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47625</xdr:colOff>
      <xdr:row>5</xdr:row>
      <xdr:rowOff>66674</xdr:rowOff>
    </xdr:from>
    <xdr:to>
      <xdr:col>2</xdr:col>
      <xdr:colOff>142875</xdr:colOff>
      <xdr:row>40</xdr:row>
      <xdr:rowOff>142876</xdr:rowOff>
    </xdr:to>
    <xdr:sp macro="" textlink="">
      <xdr:nvSpPr>
        <xdr:cNvPr id="3" name="Rectangle: Rounded Corners 2">
          <a:extLst>
            <a:ext uri="{FF2B5EF4-FFF2-40B4-BE49-F238E27FC236}">
              <a16:creationId xmlns:a16="http://schemas.microsoft.com/office/drawing/2014/main" id="{57169469-8B57-CBC3-6CBC-DAA0A87019A9}"/>
            </a:ext>
          </a:extLst>
        </xdr:cNvPr>
        <xdr:cNvSpPr/>
      </xdr:nvSpPr>
      <xdr:spPr>
        <a:xfrm>
          <a:off x="47625" y="1019174"/>
          <a:ext cx="1314450" cy="6743702"/>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219075</xdr:colOff>
      <xdr:row>0</xdr:row>
      <xdr:rowOff>66675</xdr:rowOff>
    </xdr:from>
    <xdr:to>
      <xdr:col>19</xdr:col>
      <xdr:colOff>266701</xdr:colOff>
      <xdr:row>4</xdr:row>
      <xdr:rowOff>180975</xdr:rowOff>
    </xdr:to>
    <xdr:sp macro="" textlink="">
      <xdr:nvSpPr>
        <xdr:cNvPr id="4" name="Rectangle: Rounded Corners 3">
          <a:extLst>
            <a:ext uri="{FF2B5EF4-FFF2-40B4-BE49-F238E27FC236}">
              <a16:creationId xmlns:a16="http://schemas.microsoft.com/office/drawing/2014/main" id="{D7791922-F669-0848-3DFF-9FBC58373807}"/>
            </a:ext>
          </a:extLst>
        </xdr:cNvPr>
        <xdr:cNvSpPr/>
      </xdr:nvSpPr>
      <xdr:spPr>
        <a:xfrm>
          <a:off x="1438275" y="66675"/>
          <a:ext cx="10410826" cy="8763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323850</xdr:colOff>
      <xdr:row>5</xdr:row>
      <xdr:rowOff>85725</xdr:rowOff>
    </xdr:from>
    <xdr:to>
      <xdr:col>5</xdr:col>
      <xdr:colOff>361950</xdr:colOff>
      <xdr:row>10</xdr:row>
      <xdr:rowOff>104775</xdr:rowOff>
    </xdr:to>
    <xdr:sp macro="" textlink="">
      <xdr:nvSpPr>
        <xdr:cNvPr id="5" name="Rectangle: Rounded Corners 4">
          <a:extLst>
            <a:ext uri="{FF2B5EF4-FFF2-40B4-BE49-F238E27FC236}">
              <a16:creationId xmlns:a16="http://schemas.microsoft.com/office/drawing/2014/main" id="{B877065B-90E1-0388-F291-F34D5E3AD245}"/>
            </a:ext>
          </a:extLst>
        </xdr:cNvPr>
        <xdr:cNvSpPr/>
      </xdr:nvSpPr>
      <xdr:spPr>
        <a:xfrm>
          <a:off x="1543050" y="1038225"/>
          <a:ext cx="1866900" cy="971550"/>
        </a:xfrm>
        <a:prstGeom prst="roundRect">
          <a:avLst/>
        </a:prstGeom>
        <a:solidFill>
          <a:schemeClr val="bg1"/>
        </a:solidFill>
        <a:ln w="28575">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228599</xdr:colOff>
      <xdr:row>11</xdr:row>
      <xdr:rowOff>47625</xdr:rowOff>
    </xdr:from>
    <xdr:to>
      <xdr:col>9</xdr:col>
      <xdr:colOff>590550</xdr:colOff>
      <xdr:row>26</xdr:row>
      <xdr:rowOff>85725</xdr:rowOff>
    </xdr:to>
    <xdr:sp macro="" textlink="">
      <xdr:nvSpPr>
        <xdr:cNvPr id="12" name="Rectangle: Rounded Corners 11">
          <a:extLst>
            <a:ext uri="{FF2B5EF4-FFF2-40B4-BE49-F238E27FC236}">
              <a16:creationId xmlns:a16="http://schemas.microsoft.com/office/drawing/2014/main" id="{65F6090D-F332-3930-3AE3-2C5A080B0E26}"/>
            </a:ext>
          </a:extLst>
        </xdr:cNvPr>
        <xdr:cNvSpPr/>
      </xdr:nvSpPr>
      <xdr:spPr>
        <a:xfrm>
          <a:off x="1447799" y="2143125"/>
          <a:ext cx="4629151" cy="2895600"/>
        </a:xfrm>
        <a:prstGeom prst="roundRect">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252413</xdr:colOff>
      <xdr:row>10</xdr:row>
      <xdr:rowOff>133350</xdr:rowOff>
    </xdr:from>
    <xdr:to>
      <xdr:col>9</xdr:col>
      <xdr:colOff>542925</xdr:colOff>
      <xdr:row>26</xdr:row>
      <xdr:rowOff>19050</xdr:rowOff>
    </xdr:to>
    <xdr:graphicFrame macro="">
      <xdr:nvGraphicFramePr>
        <xdr:cNvPr id="11" name="Chart 10">
          <a:extLst>
            <a:ext uri="{FF2B5EF4-FFF2-40B4-BE49-F238E27FC236}">
              <a16:creationId xmlns:a16="http://schemas.microsoft.com/office/drawing/2014/main" id="{9FF31973-27DE-4B32-8D0C-5C53CFF83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57149</xdr:colOff>
      <xdr:row>11</xdr:row>
      <xdr:rowOff>19050</xdr:rowOff>
    </xdr:from>
    <xdr:to>
      <xdr:col>14</xdr:col>
      <xdr:colOff>457200</xdr:colOff>
      <xdr:row>26</xdr:row>
      <xdr:rowOff>57150</xdr:rowOff>
    </xdr:to>
    <xdr:sp macro="" textlink="">
      <xdr:nvSpPr>
        <xdr:cNvPr id="13" name="Rectangle: Rounded Corners 12">
          <a:extLst>
            <a:ext uri="{FF2B5EF4-FFF2-40B4-BE49-F238E27FC236}">
              <a16:creationId xmlns:a16="http://schemas.microsoft.com/office/drawing/2014/main" id="{A76EAE7E-0EF8-FBC6-AB2E-8667588D5C2B}"/>
            </a:ext>
          </a:extLst>
        </xdr:cNvPr>
        <xdr:cNvSpPr/>
      </xdr:nvSpPr>
      <xdr:spPr>
        <a:xfrm>
          <a:off x="6153149" y="2114550"/>
          <a:ext cx="2838451" cy="2895600"/>
        </a:xfrm>
        <a:prstGeom prst="roundRect">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552450</xdr:colOff>
      <xdr:row>10</xdr:row>
      <xdr:rowOff>180974</xdr:rowOff>
    </xdr:from>
    <xdr:to>
      <xdr:col>14</xdr:col>
      <xdr:colOff>466725</xdr:colOff>
      <xdr:row>26</xdr:row>
      <xdr:rowOff>38100</xdr:rowOff>
    </xdr:to>
    <xdr:graphicFrame macro="">
      <xdr:nvGraphicFramePr>
        <xdr:cNvPr id="14" name="Chart 13">
          <a:extLst>
            <a:ext uri="{FF2B5EF4-FFF2-40B4-BE49-F238E27FC236}">
              <a16:creationId xmlns:a16="http://schemas.microsoft.com/office/drawing/2014/main" id="{F2D16E01-E918-4B6D-B009-C0F412B09D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123825</xdr:colOff>
      <xdr:row>11</xdr:row>
      <xdr:rowOff>161925</xdr:rowOff>
    </xdr:from>
    <xdr:to>
      <xdr:col>11</xdr:col>
      <xdr:colOff>47625</xdr:colOff>
      <xdr:row>14</xdr:row>
      <xdr:rowOff>123825</xdr:rowOff>
    </xdr:to>
    <xdr:pic>
      <xdr:nvPicPr>
        <xdr:cNvPr id="16" name="Graphic 15" descr="Female Profile with solid fill">
          <a:extLst>
            <a:ext uri="{FF2B5EF4-FFF2-40B4-BE49-F238E27FC236}">
              <a16:creationId xmlns:a16="http://schemas.microsoft.com/office/drawing/2014/main" id="{0FDAB675-1A2A-4EA3-0AC8-36F14D20943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219825" y="2257425"/>
          <a:ext cx="533400" cy="533400"/>
        </a:xfrm>
        <a:prstGeom prst="rect">
          <a:avLst/>
        </a:prstGeom>
      </xdr:spPr>
    </xdr:pic>
    <xdr:clientData/>
  </xdr:twoCellAnchor>
  <xdr:twoCellAnchor editAs="oneCell">
    <xdr:from>
      <xdr:col>13</xdr:col>
      <xdr:colOff>550050</xdr:colOff>
      <xdr:row>11</xdr:row>
      <xdr:rowOff>140475</xdr:rowOff>
    </xdr:from>
    <xdr:to>
      <xdr:col>14</xdr:col>
      <xdr:colOff>473250</xdr:colOff>
      <xdr:row>14</xdr:row>
      <xdr:rowOff>101775</xdr:rowOff>
    </xdr:to>
    <xdr:pic>
      <xdr:nvPicPr>
        <xdr:cNvPr id="18" name="Graphic 17" descr="Male profile with solid fill">
          <a:extLst>
            <a:ext uri="{FF2B5EF4-FFF2-40B4-BE49-F238E27FC236}">
              <a16:creationId xmlns:a16="http://schemas.microsoft.com/office/drawing/2014/main" id="{8E23E23E-18C4-DA79-B83E-8C68F265D36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474850" y="2235975"/>
          <a:ext cx="532800" cy="532800"/>
        </a:xfrm>
        <a:prstGeom prst="rect">
          <a:avLst/>
        </a:prstGeom>
      </xdr:spPr>
    </xdr:pic>
    <xdr:clientData/>
  </xdr:twoCellAnchor>
  <xdr:twoCellAnchor>
    <xdr:from>
      <xdr:col>10</xdr:col>
      <xdr:colOff>123825</xdr:colOff>
      <xdr:row>14</xdr:row>
      <xdr:rowOff>85724</xdr:rowOff>
    </xdr:from>
    <xdr:to>
      <xdr:col>11</xdr:col>
      <xdr:colOff>85725</xdr:colOff>
      <xdr:row>16</xdr:row>
      <xdr:rowOff>190499</xdr:rowOff>
    </xdr:to>
    <xdr:sp macro="" textlink="Pivot!AA20">
      <xdr:nvSpPr>
        <xdr:cNvPr id="19" name="TextBox 18">
          <a:extLst>
            <a:ext uri="{FF2B5EF4-FFF2-40B4-BE49-F238E27FC236}">
              <a16:creationId xmlns:a16="http://schemas.microsoft.com/office/drawing/2014/main" id="{AC4DE59A-53F5-9424-4E13-570ACA4DE228}"/>
            </a:ext>
          </a:extLst>
        </xdr:cNvPr>
        <xdr:cNvSpPr txBox="1"/>
      </xdr:nvSpPr>
      <xdr:spPr>
        <a:xfrm>
          <a:off x="6219825" y="2752724"/>
          <a:ext cx="5715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64D543A-16E1-415F-B119-BA2CB26CF460}" type="TxLink">
            <a:rPr lang="en-US" sz="2000" b="0" i="0" u="none" strike="noStrike">
              <a:solidFill>
                <a:srgbClr val="EB05A9"/>
              </a:solidFill>
              <a:latin typeface="Calibri"/>
              <a:cs typeface="Calibri"/>
            </a:rPr>
            <a:pPr/>
            <a:t>45</a:t>
          </a:fld>
          <a:endParaRPr lang="en-US" sz="2000" b="0">
            <a:solidFill>
              <a:srgbClr val="EB05A9"/>
            </a:solidFill>
          </a:endParaRPr>
        </a:p>
      </xdr:txBody>
    </xdr:sp>
    <xdr:clientData/>
  </xdr:twoCellAnchor>
  <xdr:twoCellAnchor>
    <xdr:from>
      <xdr:col>11</xdr:col>
      <xdr:colOff>542925</xdr:colOff>
      <xdr:row>18</xdr:row>
      <xdr:rowOff>95249</xdr:rowOff>
    </xdr:from>
    <xdr:to>
      <xdr:col>13</xdr:col>
      <xdr:colOff>390525</xdr:colOff>
      <xdr:row>22</xdr:row>
      <xdr:rowOff>19050</xdr:rowOff>
    </xdr:to>
    <xdr:sp macro="" textlink="Pivot!AA22">
      <xdr:nvSpPr>
        <xdr:cNvPr id="21" name="TextBox 20">
          <a:extLst>
            <a:ext uri="{FF2B5EF4-FFF2-40B4-BE49-F238E27FC236}">
              <a16:creationId xmlns:a16="http://schemas.microsoft.com/office/drawing/2014/main" id="{2BAC43FD-6035-F259-FEDF-78AC91313B78}"/>
            </a:ext>
          </a:extLst>
        </xdr:cNvPr>
        <xdr:cNvSpPr txBox="1"/>
      </xdr:nvSpPr>
      <xdr:spPr>
        <a:xfrm>
          <a:off x="7248525" y="3524249"/>
          <a:ext cx="1066800" cy="6858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3187D52-8DA2-439E-A533-DC6624F33FF8}" type="TxLink">
            <a:rPr lang="en-US" sz="2400" b="1" i="0" u="none" strike="noStrike">
              <a:solidFill>
                <a:srgbClr val="00B050"/>
              </a:solidFill>
              <a:latin typeface="Calibri"/>
              <a:ea typeface="+mn-ea"/>
              <a:cs typeface="Calibri"/>
            </a:rPr>
            <a:pPr marL="0" indent="0"/>
            <a:t>118</a:t>
          </a:fld>
          <a:endParaRPr lang="en-US" sz="4400" b="1" i="0" u="none" strike="noStrike">
            <a:solidFill>
              <a:srgbClr val="00B050"/>
            </a:solidFill>
            <a:latin typeface="Calibri"/>
            <a:ea typeface="+mn-ea"/>
            <a:cs typeface="Calibri"/>
          </a:endParaRPr>
        </a:p>
      </xdr:txBody>
    </xdr:sp>
    <xdr:clientData/>
  </xdr:twoCellAnchor>
  <xdr:twoCellAnchor>
    <xdr:from>
      <xdr:col>14</xdr:col>
      <xdr:colOff>523875</xdr:colOff>
      <xdr:row>11</xdr:row>
      <xdr:rowOff>28575</xdr:rowOff>
    </xdr:from>
    <xdr:to>
      <xdr:col>19</xdr:col>
      <xdr:colOff>285751</xdr:colOff>
      <xdr:row>26</xdr:row>
      <xdr:rowOff>66675</xdr:rowOff>
    </xdr:to>
    <xdr:sp macro="" textlink="">
      <xdr:nvSpPr>
        <xdr:cNvPr id="22" name="Rectangle: Rounded Corners 21">
          <a:extLst>
            <a:ext uri="{FF2B5EF4-FFF2-40B4-BE49-F238E27FC236}">
              <a16:creationId xmlns:a16="http://schemas.microsoft.com/office/drawing/2014/main" id="{BD632E74-240F-8427-2499-01B5048D653A}"/>
            </a:ext>
          </a:extLst>
        </xdr:cNvPr>
        <xdr:cNvSpPr/>
      </xdr:nvSpPr>
      <xdr:spPr>
        <a:xfrm>
          <a:off x="9058275" y="2124075"/>
          <a:ext cx="2809876" cy="2895600"/>
        </a:xfrm>
        <a:prstGeom prst="roundRect">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152400</xdr:colOff>
      <xdr:row>10</xdr:row>
      <xdr:rowOff>114300</xdr:rowOff>
    </xdr:from>
    <xdr:to>
      <xdr:col>19</xdr:col>
      <xdr:colOff>409576</xdr:colOff>
      <xdr:row>28</xdr:row>
      <xdr:rowOff>57149</xdr:rowOff>
    </xdr:to>
    <xdr:graphicFrame macro="">
      <xdr:nvGraphicFramePr>
        <xdr:cNvPr id="23" name="Chart 22">
          <a:extLst>
            <a:ext uri="{FF2B5EF4-FFF2-40B4-BE49-F238E27FC236}">
              <a16:creationId xmlns:a16="http://schemas.microsoft.com/office/drawing/2014/main" id="{38F6BC25-B5A8-4CEA-BB20-BF8895334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9525</xdr:colOff>
      <xdr:row>16</xdr:row>
      <xdr:rowOff>66675</xdr:rowOff>
    </xdr:from>
    <xdr:to>
      <xdr:col>12</xdr:col>
      <xdr:colOff>542325</xdr:colOff>
      <xdr:row>19</xdr:row>
      <xdr:rowOff>27975</xdr:rowOff>
    </xdr:to>
    <xdr:pic>
      <xdr:nvPicPr>
        <xdr:cNvPr id="25" name="Graphic 24" descr="User with solid fill">
          <a:extLst>
            <a:ext uri="{FF2B5EF4-FFF2-40B4-BE49-F238E27FC236}">
              <a16:creationId xmlns:a16="http://schemas.microsoft.com/office/drawing/2014/main" id="{3287314C-6474-0A59-EE8A-EFC0AE8A5A1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7324725" y="3114675"/>
          <a:ext cx="532800" cy="532800"/>
        </a:xfrm>
        <a:prstGeom prst="rect">
          <a:avLst/>
        </a:prstGeom>
      </xdr:spPr>
    </xdr:pic>
    <xdr:clientData/>
  </xdr:twoCellAnchor>
  <xdr:twoCellAnchor>
    <xdr:from>
      <xdr:col>2</xdr:col>
      <xdr:colOff>257175</xdr:colOff>
      <xdr:row>26</xdr:row>
      <xdr:rowOff>161925</xdr:rowOff>
    </xdr:from>
    <xdr:to>
      <xdr:col>7</xdr:col>
      <xdr:colOff>152400</xdr:colOff>
      <xdr:row>40</xdr:row>
      <xdr:rowOff>133350</xdr:rowOff>
    </xdr:to>
    <xdr:sp macro="" textlink="">
      <xdr:nvSpPr>
        <xdr:cNvPr id="27" name="Rectangle: Rounded Corners 26">
          <a:extLst>
            <a:ext uri="{FF2B5EF4-FFF2-40B4-BE49-F238E27FC236}">
              <a16:creationId xmlns:a16="http://schemas.microsoft.com/office/drawing/2014/main" id="{18FF1390-93CD-84A2-395C-015AA2255420}"/>
            </a:ext>
          </a:extLst>
        </xdr:cNvPr>
        <xdr:cNvSpPr/>
      </xdr:nvSpPr>
      <xdr:spPr>
        <a:xfrm>
          <a:off x="1476375" y="5114925"/>
          <a:ext cx="2943225" cy="2638425"/>
        </a:xfrm>
        <a:prstGeom prst="roundRect">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257176</xdr:colOff>
      <xdr:row>26</xdr:row>
      <xdr:rowOff>47625</xdr:rowOff>
    </xdr:from>
    <xdr:to>
      <xdr:col>7</xdr:col>
      <xdr:colOff>190500</xdr:colOff>
      <xdr:row>40</xdr:row>
      <xdr:rowOff>85725</xdr:rowOff>
    </xdr:to>
    <mc:AlternateContent xmlns:mc="http://schemas.openxmlformats.org/markup-compatibility/2006">
      <mc:Choice xmlns:cx1="http://schemas.microsoft.com/office/drawing/2015/9/8/chartex" Requires="cx1">
        <xdr:graphicFrame macro="">
          <xdr:nvGraphicFramePr>
            <xdr:cNvPr id="26" name="Chart 25">
              <a:extLst>
                <a:ext uri="{FF2B5EF4-FFF2-40B4-BE49-F238E27FC236}">
                  <a16:creationId xmlns:a16="http://schemas.microsoft.com/office/drawing/2014/main" id="{3C2D5428-D7A2-4A6B-85A0-F82A29ABF1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476376" y="5000625"/>
              <a:ext cx="2981324" cy="27051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228601</xdr:colOff>
      <xdr:row>26</xdr:row>
      <xdr:rowOff>180975</xdr:rowOff>
    </xdr:from>
    <xdr:to>
      <xdr:col>11</xdr:col>
      <xdr:colOff>304801</xdr:colOff>
      <xdr:row>40</xdr:row>
      <xdr:rowOff>152400</xdr:rowOff>
    </xdr:to>
    <xdr:sp macro="" textlink="">
      <xdr:nvSpPr>
        <xdr:cNvPr id="29" name="Rectangle: Rounded Corners 28">
          <a:extLst>
            <a:ext uri="{FF2B5EF4-FFF2-40B4-BE49-F238E27FC236}">
              <a16:creationId xmlns:a16="http://schemas.microsoft.com/office/drawing/2014/main" id="{E593BCBE-2323-8B4B-C0DF-5ADF3747D4E1}"/>
            </a:ext>
          </a:extLst>
        </xdr:cNvPr>
        <xdr:cNvSpPr/>
      </xdr:nvSpPr>
      <xdr:spPr>
        <a:xfrm>
          <a:off x="4495801" y="5133975"/>
          <a:ext cx="2514600" cy="2638425"/>
        </a:xfrm>
        <a:prstGeom prst="roundRect">
          <a:avLst>
            <a:gd name="adj" fmla="val 9447"/>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200026</xdr:colOff>
      <xdr:row>27</xdr:row>
      <xdr:rowOff>19050</xdr:rowOff>
    </xdr:from>
    <xdr:to>
      <xdr:col>11</xdr:col>
      <xdr:colOff>257176</xdr:colOff>
      <xdr:row>40</xdr:row>
      <xdr:rowOff>85724</xdr:rowOff>
    </xdr:to>
    <mc:AlternateContent xmlns:mc="http://schemas.openxmlformats.org/markup-compatibility/2006">
      <mc:Choice xmlns:cx2="http://schemas.microsoft.com/office/drawing/2015/10/21/chartex" Requires="cx2">
        <xdr:graphicFrame macro="">
          <xdr:nvGraphicFramePr>
            <xdr:cNvPr id="28" name="Chart 27">
              <a:extLst>
                <a:ext uri="{FF2B5EF4-FFF2-40B4-BE49-F238E27FC236}">
                  <a16:creationId xmlns:a16="http://schemas.microsoft.com/office/drawing/2014/main" id="{8613CEC3-5B3B-45D0-9BE9-B077941F179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4467226" y="5162550"/>
              <a:ext cx="2495550" cy="254317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85725</xdr:colOff>
      <xdr:row>25</xdr:row>
      <xdr:rowOff>180975</xdr:rowOff>
    </xdr:from>
    <xdr:to>
      <xdr:col>15</xdr:col>
      <xdr:colOff>28575</xdr:colOff>
      <xdr:row>40</xdr:row>
      <xdr:rowOff>142875</xdr:rowOff>
    </xdr:to>
    <xdr:grpSp>
      <xdr:nvGrpSpPr>
        <xdr:cNvPr id="47" name="Group 46">
          <a:extLst>
            <a:ext uri="{FF2B5EF4-FFF2-40B4-BE49-F238E27FC236}">
              <a16:creationId xmlns:a16="http://schemas.microsoft.com/office/drawing/2014/main" id="{4F584627-EA7A-9795-DF6A-3D4DCEDC21E1}"/>
            </a:ext>
          </a:extLst>
        </xdr:cNvPr>
        <xdr:cNvGrpSpPr/>
      </xdr:nvGrpSpPr>
      <xdr:grpSpPr>
        <a:xfrm>
          <a:off x="6791325" y="4943475"/>
          <a:ext cx="2381250" cy="2819400"/>
          <a:chOff x="7534275" y="4914900"/>
          <a:chExt cx="2381250" cy="2819400"/>
        </a:xfrm>
      </xdr:grpSpPr>
      <xdr:sp macro="" textlink="">
        <xdr:nvSpPr>
          <xdr:cNvPr id="30" name="Rectangle: Rounded Corners 29">
            <a:extLst>
              <a:ext uri="{FF2B5EF4-FFF2-40B4-BE49-F238E27FC236}">
                <a16:creationId xmlns:a16="http://schemas.microsoft.com/office/drawing/2014/main" id="{2565B4AE-E560-941C-DC7A-F90B205E6664}"/>
              </a:ext>
            </a:extLst>
          </xdr:cNvPr>
          <xdr:cNvSpPr/>
        </xdr:nvSpPr>
        <xdr:spPr>
          <a:xfrm>
            <a:off x="7820026" y="5114925"/>
            <a:ext cx="1990724" cy="2619375"/>
          </a:xfrm>
          <a:prstGeom prst="roundRect">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31" name="Chart 30">
            <a:extLst>
              <a:ext uri="{FF2B5EF4-FFF2-40B4-BE49-F238E27FC236}">
                <a16:creationId xmlns:a16="http://schemas.microsoft.com/office/drawing/2014/main" id="{9E86B560-7F1C-4BC8-902A-D76B8AF115EF}"/>
              </a:ext>
            </a:extLst>
          </xdr:cNvPr>
          <xdr:cNvGraphicFramePr>
            <a:graphicFrameLocks/>
          </xdr:cNvGraphicFramePr>
        </xdr:nvGraphicFramePr>
        <xdr:xfrm>
          <a:off x="7534275" y="4914900"/>
          <a:ext cx="2381250" cy="2790825"/>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33" name="Graphic 32" descr="User with solid fill">
            <a:extLst>
              <a:ext uri="{FF2B5EF4-FFF2-40B4-BE49-F238E27FC236}">
                <a16:creationId xmlns:a16="http://schemas.microsoft.com/office/drawing/2014/main" id="{BB54C509-206A-F81D-A6BE-1ED9728165D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8791576" y="5638801"/>
            <a:ext cx="571500" cy="571500"/>
          </a:xfrm>
          <a:prstGeom prst="rect">
            <a:avLst/>
          </a:prstGeom>
        </xdr:spPr>
      </xdr:pic>
      <xdr:pic>
        <xdr:nvPicPr>
          <xdr:cNvPr id="36" name="Graphic 35" descr="User with solid fill">
            <a:extLst>
              <a:ext uri="{FF2B5EF4-FFF2-40B4-BE49-F238E27FC236}">
                <a16:creationId xmlns:a16="http://schemas.microsoft.com/office/drawing/2014/main" id="{B8A84DD7-35B8-3561-B887-12F310FF1AD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791576" y="6591301"/>
            <a:ext cx="571500" cy="571500"/>
          </a:xfrm>
          <a:prstGeom prst="rect">
            <a:avLst/>
          </a:prstGeom>
        </xdr:spPr>
      </xdr:pic>
      <xdr:sp macro="" textlink="Pivot!V6">
        <xdr:nvSpPr>
          <xdr:cNvPr id="40" name="TextBox 39">
            <a:extLst>
              <a:ext uri="{FF2B5EF4-FFF2-40B4-BE49-F238E27FC236}">
                <a16:creationId xmlns:a16="http://schemas.microsoft.com/office/drawing/2014/main" id="{EB92E882-B7D5-135F-F36E-8C367CF0A741}"/>
              </a:ext>
            </a:extLst>
          </xdr:cNvPr>
          <xdr:cNvSpPr txBox="1"/>
        </xdr:nvSpPr>
        <xdr:spPr>
          <a:xfrm>
            <a:off x="9305925" y="5876925"/>
            <a:ext cx="4857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D1FDB4-EEDE-4396-8357-D2D4D8121C15}" type="TxLink">
              <a:rPr lang="en-US" sz="1400" b="1" i="0" u="none" strike="noStrike">
                <a:solidFill>
                  <a:srgbClr val="00B050"/>
                </a:solidFill>
                <a:latin typeface="Calibri"/>
                <a:cs typeface="Calibri"/>
              </a:rPr>
              <a:pPr/>
              <a:t>105</a:t>
            </a:fld>
            <a:endParaRPr lang="en-US" sz="1400" b="1">
              <a:solidFill>
                <a:srgbClr val="00B050"/>
              </a:solidFill>
            </a:endParaRPr>
          </a:p>
        </xdr:txBody>
      </xdr:sp>
      <xdr:sp macro="" textlink="Pivot!V7">
        <xdr:nvSpPr>
          <xdr:cNvPr id="41" name="TextBox 40">
            <a:extLst>
              <a:ext uri="{FF2B5EF4-FFF2-40B4-BE49-F238E27FC236}">
                <a16:creationId xmlns:a16="http://schemas.microsoft.com/office/drawing/2014/main" id="{47082392-E9B4-4B86-1338-F153C1E03339}"/>
              </a:ext>
            </a:extLst>
          </xdr:cNvPr>
          <xdr:cNvSpPr txBox="1"/>
        </xdr:nvSpPr>
        <xdr:spPr>
          <a:xfrm>
            <a:off x="9353550" y="6829425"/>
            <a:ext cx="485775"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3271227-6AFF-4EE7-9D08-146C3EC2BE6C}" type="TxLink">
              <a:rPr lang="en-US" sz="1600" b="1" i="0" u="none" strike="noStrike">
                <a:solidFill>
                  <a:srgbClr val="FFC000"/>
                </a:solidFill>
                <a:latin typeface="Calibri"/>
                <a:cs typeface="Calibri"/>
              </a:rPr>
              <a:pPr/>
              <a:t>13</a:t>
            </a:fld>
            <a:endParaRPr lang="en-US" sz="2000" b="1">
              <a:solidFill>
                <a:srgbClr val="FFC000"/>
              </a:solidFill>
            </a:endParaRPr>
          </a:p>
        </xdr:txBody>
      </xdr:sp>
      <xdr:sp macro="" textlink="">
        <xdr:nvSpPr>
          <xdr:cNvPr id="42" name="TextBox 41">
            <a:extLst>
              <a:ext uri="{FF2B5EF4-FFF2-40B4-BE49-F238E27FC236}">
                <a16:creationId xmlns:a16="http://schemas.microsoft.com/office/drawing/2014/main" id="{8DB32507-7C9B-DB49-FAE3-B14BB372840F}"/>
              </a:ext>
            </a:extLst>
          </xdr:cNvPr>
          <xdr:cNvSpPr txBox="1"/>
        </xdr:nvSpPr>
        <xdr:spPr>
          <a:xfrm>
            <a:off x="8810625" y="6076950"/>
            <a:ext cx="10477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tx1"/>
                </a:solidFill>
                <a:latin typeface="Calibri"/>
                <a:cs typeface="Calibri"/>
              </a:rPr>
              <a:t>Permanent</a:t>
            </a:r>
          </a:p>
          <a:p>
            <a:endParaRPr lang="en-US" sz="1400" b="1" i="0" u="none" strike="noStrike">
              <a:solidFill>
                <a:schemeClr val="tx1"/>
              </a:solidFill>
              <a:latin typeface="Calibri"/>
              <a:cs typeface="Calibri"/>
            </a:endParaRPr>
          </a:p>
          <a:p>
            <a:endParaRPr lang="en-US" sz="1400" b="1" i="0" u="none" strike="noStrike">
              <a:solidFill>
                <a:schemeClr val="tx1"/>
              </a:solidFill>
              <a:latin typeface="Calibri"/>
              <a:cs typeface="Calibri"/>
            </a:endParaRPr>
          </a:p>
        </xdr:txBody>
      </xdr:sp>
      <xdr:sp macro="" textlink="">
        <xdr:nvSpPr>
          <xdr:cNvPr id="43" name="TextBox 42">
            <a:extLst>
              <a:ext uri="{FF2B5EF4-FFF2-40B4-BE49-F238E27FC236}">
                <a16:creationId xmlns:a16="http://schemas.microsoft.com/office/drawing/2014/main" id="{98BB0AEF-5D64-4379-DD93-7F94A5867E74}"/>
              </a:ext>
            </a:extLst>
          </xdr:cNvPr>
          <xdr:cNvSpPr txBox="1"/>
        </xdr:nvSpPr>
        <xdr:spPr>
          <a:xfrm>
            <a:off x="8867775" y="7058025"/>
            <a:ext cx="1047750" cy="314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0" u="none" strike="noStrike">
                <a:solidFill>
                  <a:schemeClr val="tx1"/>
                </a:solidFill>
                <a:latin typeface="Calibri"/>
                <a:cs typeface="Calibri"/>
              </a:rPr>
              <a:t>Contract</a:t>
            </a:r>
          </a:p>
          <a:p>
            <a:endParaRPr lang="en-US" sz="1400" b="1" i="0" u="none" strike="noStrike">
              <a:solidFill>
                <a:schemeClr val="tx1"/>
              </a:solidFill>
              <a:latin typeface="Calibri"/>
              <a:cs typeface="Calibri"/>
            </a:endParaRPr>
          </a:p>
          <a:p>
            <a:endParaRPr lang="en-US" sz="1400" b="1" i="0" u="none" strike="noStrike">
              <a:solidFill>
                <a:schemeClr val="tx1"/>
              </a:solidFill>
              <a:latin typeface="Calibri"/>
              <a:cs typeface="Calibri"/>
            </a:endParaRPr>
          </a:p>
        </xdr:txBody>
      </xdr:sp>
    </xdr:grpSp>
    <xdr:clientData/>
  </xdr:twoCellAnchor>
  <xdr:twoCellAnchor>
    <xdr:from>
      <xdr:col>15</xdr:col>
      <xdr:colOff>9525</xdr:colOff>
      <xdr:row>26</xdr:row>
      <xdr:rowOff>161925</xdr:rowOff>
    </xdr:from>
    <xdr:to>
      <xdr:col>19</xdr:col>
      <xdr:colOff>314325</xdr:colOff>
      <xdr:row>40</xdr:row>
      <xdr:rowOff>180975</xdr:rowOff>
    </xdr:to>
    <xdr:sp macro="" textlink="">
      <xdr:nvSpPr>
        <xdr:cNvPr id="46" name="Rectangle: Rounded Corners 45">
          <a:extLst>
            <a:ext uri="{FF2B5EF4-FFF2-40B4-BE49-F238E27FC236}">
              <a16:creationId xmlns:a16="http://schemas.microsoft.com/office/drawing/2014/main" id="{A728BFFC-170C-B008-A48C-878D3ECC223B}"/>
            </a:ext>
          </a:extLst>
        </xdr:cNvPr>
        <xdr:cNvSpPr/>
      </xdr:nvSpPr>
      <xdr:spPr>
        <a:xfrm>
          <a:off x="9153525" y="5114925"/>
          <a:ext cx="2743200" cy="2686050"/>
        </a:xfrm>
        <a:prstGeom prst="roundRect">
          <a:avLst/>
        </a:prstGeom>
        <a:solidFill>
          <a:schemeClr val="bg1"/>
        </a:solidFill>
        <a:ln w="285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47625</xdr:colOff>
      <xdr:row>26</xdr:row>
      <xdr:rowOff>133350</xdr:rowOff>
    </xdr:from>
    <xdr:to>
      <xdr:col>19</xdr:col>
      <xdr:colOff>485775</xdr:colOff>
      <xdr:row>41</xdr:row>
      <xdr:rowOff>47625</xdr:rowOff>
    </xdr:to>
    <xdr:graphicFrame macro="">
      <xdr:nvGraphicFramePr>
        <xdr:cNvPr id="48" name="Chart 47">
          <a:extLst>
            <a:ext uri="{FF2B5EF4-FFF2-40B4-BE49-F238E27FC236}">
              <a16:creationId xmlns:a16="http://schemas.microsoft.com/office/drawing/2014/main" id="{FFAEA1DB-8230-4110-9BC5-535B423BC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2</xdr:col>
      <xdr:colOff>319050</xdr:colOff>
      <xdr:row>5</xdr:row>
      <xdr:rowOff>147600</xdr:rowOff>
    </xdr:from>
    <xdr:to>
      <xdr:col>3</xdr:col>
      <xdr:colOff>552450</xdr:colOff>
      <xdr:row>10</xdr:row>
      <xdr:rowOff>38100</xdr:rowOff>
    </xdr:to>
    <xdr:pic>
      <xdr:nvPicPr>
        <xdr:cNvPr id="52" name="Graphic 51" descr="Group of people with solid fill">
          <a:extLst>
            <a:ext uri="{FF2B5EF4-FFF2-40B4-BE49-F238E27FC236}">
              <a16:creationId xmlns:a16="http://schemas.microsoft.com/office/drawing/2014/main" id="{DAB28854-5E32-9002-CDD6-63C51F5A70E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538250" y="1100100"/>
          <a:ext cx="843000" cy="843000"/>
        </a:xfrm>
        <a:prstGeom prst="rect">
          <a:avLst/>
        </a:prstGeom>
      </xdr:spPr>
    </xdr:pic>
    <xdr:clientData/>
  </xdr:twoCellAnchor>
  <xdr:twoCellAnchor>
    <xdr:from>
      <xdr:col>5</xdr:col>
      <xdr:colOff>485774</xdr:colOff>
      <xdr:row>5</xdr:row>
      <xdr:rowOff>95250</xdr:rowOff>
    </xdr:from>
    <xdr:to>
      <xdr:col>9</xdr:col>
      <xdr:colOff>142875</xdr:colOff>
      <xdr:row>10</xdr:row>
      <xdr:rowOff>114300</xdr:rowOff>
    </xdr:to>
    <xdr:sp macro="" textlink="">
      <xdr:nvSpPr>
        <xdr:cNvPr id="7" name="Rectangle: Rounded Corners 6">
          <a:extLst>
            <a:ext uri="{FF2B5EF4-FFF2-40B4-BE49-F238E27FC236}">
              <a16:creationId xmlns:a16="http://schemas.microsoft.com/office/drawing/2014/main" id="{027B906F-7A46-B30A-D92A-D00182942C0A}"/>
            </a:ext>
          </a:extLst>
        </xdr:cNvPr>
        <xdr:cNvSpPr/>
      </xdr:nvSpPr>
      <xdr:spPr>
        <a:xfrm>
          <a:off x="3533774" y="1047750"/>
          <a:ext cx="2095501" cy="971550"/>
        </a:xfrm>
        <a:prstGeom prst="roundRect">
          <a:avLst/>
        </a:prstGeom>
        <a:solidFill>
          <a:schemeClr val="bg1"/>
        </a:solidFill>
        <a:ln w="28575">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5</xdr:col>
      <xdr:colOff>545249</xdr:colOff>
      <xdr:row>6</xdr:row>
      <xdr:rowOff>21374</xdr:rowOff>
    </xdr:from>
    <xdr:to>
      <xdr:col>7</xdr:col>
      <xdr:colOff>142874</xdr:colOff>
      <xdr:row>10</xdr:row>
      <xdr:rowOff>76199</xdr:rowOff>
    </xdr:to>
    <xdr:pic>
      <xdr:nvPicPr>
        <xdr:cNvPr id="56" name="Graphic 55" descr="Group success with solid fill">
          <a:extLst>
            <a:ext uri="{FF2B5EF4-FFF2-40B4-BE49-F238E27FC236}">
              <a16:creationId xmlns:a16="http://schemas.microsoft.com/office/drawing/2014/main" id="{46C57C8D-3117-987C-42D5-FC983B73BF01}"/>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3593249" y="1164374"/>
          <a:ext cx="816825" cy="816825"/>
        </a:xfrm>
        <a:prstGeom prst="rect">
          <a:avLst/>
        </a:prstGeom>
      </xdr:spPr>
    </xdr:pic>
    <xdr:clientData/>
  </xdr:twoCellAnchor>
  <xdr:twoCellAnchor>
    <xdr:from>
      <xdr:col>7</xdr:col>
      <xdr:colOff>47625</xdr:colOff>
      <xdr:row>5</xdr:row>
      <xdr:rowOff>66676</xdr:rowOff>
    </xdr:from>
    <xdr:to>
      <xdr:col>11</xdr:col>
      <xdr:colOff>9525</xdr:colOff>
      <xdr:row>9</xdr:row>
      <xdr:rowOff>47626</xdr:rowOff>
    </xdr:to>
    <xdr:sp macro="" textlink="">
      <xdr:nvSpPr>
        <xdr:cNvPr id="8" name="TextBox 7">
          <a:extLst>
            <a:ext uri="{FF2B5EF4-FFF2-40B4-BE49-F238E27FC236}">
              <a16:creationId xmlns:a16="http://schemas.microsoft.com/office/drawing/2014/main" id="{C766284D-3D68-C7C5-AC2B-3838909853FC}"/>
            </a:ext>
          </a:extLst>
        </xdr:cNvPr>
        <xdr:cNvSpPr txBox="1"/>
      </xdr:nvSpPr>
      <xdr:spPr>
        <a:xfrm>
          <a:off x="4314825" y="1019176"/>
          <a:ext cx="24003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200" b="1" i="0" u="none" strike="noStrike">
              <a:solidFill>
                <a:srgbClr val="000000"/>
              </a:solidFill>
              <a:latin typeface="Calibri"/>
              <a:cs typeface="Calibri"/>
            </a:rPr>
            <a:t>Active</a:t>
          </a:r>
          <a:r>
            <a:rPr lang="en-US" sz="2200" b="1" i="0" u="none" strike="noStrike" baseline="0">
              <a:solidFill>
                <a:srgbClr val="000000"/>
              </a:solidFill>
              <a:latin typeface="Calibri"/>
              <a:cs typeface="Calibri"/>
            </a:rPr>
            <a:t> HC</a:t>
          </a:r>
          <a:endParaRPr lang="en-US" sz="2200" b="1" i="0" u="none" strike="noStrike">
            <a:solidFill>
              <a:srgbClr val="000000"/>
            </a:solidFill>
            <a:latin typeface="Calibri"/>
            <a:cs typeface="Calibri"/>
          </a:endParaRPr>
        </a:p>
      </xdr:txBody>
    </xdr:sp>
    <xdr:clientData/>
  </xdr:twoCellAnchor>
  <xdr:twoCellAnchor>
    <xdr:from>
      <xdr:col>9</xdr:col>
      <xdr:colOff>323849</xdr:colOff>
      <xdr:row>5</xdr:row>
      <xdr:rowOff>85725</xdr:rowOff>
    </xdr:from>
    <xdr:to>
      <xdr:col>12</xdr:col>
      <xdr:colOff>542925</xdr:colOff>
      <xdr:row>10</xdr:row>
      <xdr:rowOff>104775</xdr:rowOff>
    </xdr:to>
    <xdr:sp macro="" textlink="">
      <xdr:nvSpPr>
        <xdr:cNvPr id="9" name="Rectangle: Rounded Corners 8">
          <a:extLst>
            <a:ext uri="{FF2B5EF4-FFF2-40B4-BE49-F238E27FC236}">
              <a16:creationId xmlns:a16="http://schemas.microsoft.com/office/drawing/2014/main" id="{47F654E1-9F9E-3BE0-127E-271EC0E331CB}"/>
            </a:ext>
          </a:extLst>
        </xdr:cNvPr>
        <xdr:cNvSpPr/>
      </xdr:nvSpPr>
      <xdr:spPr>
        <a:xfrm>
          <a:off x="5810249" y="1038225"/>
          <a:ext cx="2047876" cy="971550"/>
        </a:xfrm>
        <a:prstGeom prst="roundRect">
          <a:avLst/>
        </a:prstGeom>
        <a:solidFill>
          <a:schemeClr val="bg1"/>
        </a:solidFill>
        <a:ln w="28575">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9</xdr:col>
      <xdr:colOff>361950</xdr:colOff>
      <xdr:row>5</xdr:row>
      <xdr:rowOff>152400</xdr:rowOff>
    </xdr:from>
    <xdr:to>
      <xdr:col>11</xdr:col>
      <xdr:colOff>57150</xdr:colOff>
      <xdr:row>10</xdr:row>
      <xdr:rowOff>114300</xdr:rowOff>
    </xdr:to>
    <xdr:pic>
      <xdr:nvPicPr>
        <xdr:cNvPr id="50" name="Graphic 49" descr="Group with solid fill">
          <a:extLst>
            <a:ext uri="{FF2B5EF4-FFF2-40B4-BE49-F238E27FC236}">
              <a16:creationId xmlns:a16="http://schemas.microsoft.com/office/drawing/2014/main" id="{724E29D2-D543-020B-0005-7BEC2A8AF118}"/>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848350" y="1104900"/>
          <a:ext cx="914400" cy="914400"/>
        </a:xfrm>
        <a:prstGeom prst="rect">
          <a:avLst/>
        </a:prstGeom>
      </xdr:spPr>
    </xdr:pic>
    <xdr:clientData/>
  </xdr:twoCellAnchor>
  <xdr:twoCellAnchor>
    <xdr:from>
      <xdr:col>10</xdr:col>
      <xdr:colOff>542925</xdr:colOff>
      <xdr:row>5</xdr:row>
      <xdr:rowOff>85726</xdr:rowOff>
    </xdr:from>
    <xdr:to>
      <xdr:col>14</xdr:col>
      <xdr:colOff>504825</xdr:colOff>
      <xdr:row>9</xdr:row>
      <xdr:rowOff>66676</xdr:rowOff>
    </xdr:to>
    <xdr:sp macro="" textlink="">
      <xdr:nvSpPr>
        <xdr:cNvPr id="10" name="TextBox 9">
          <a:extLst>
            <a:ext uri="{FF2B5EF4-FFF2-40B4-BE49-F238E27FC236}">
              <a16:creationId xmlns:a16="http://schemas.microsoft.com/office/drawing/2014/main" id="{191C44EC-C0AC-B5C5-3E0A-F414C79D2D86}"/>
            </a:ext>
          </a:extLst>
        </xdr:cNvPr>
        <xdr:cNvSpPr txBox="1"/>
      </xdr:nvSpPr>
      <xdr:spPr>
        <a:xfrm>
          <a:off x="6638925" y="1038226"/>
          <a:ext cx="24003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200" b="1" i="0" u="none" strike="noStrike">
              <a:solidFill>
                <a:srgbClr val="000000"/>
              </a:solidFill>
              <a:latin typeface="Calibri"/>
              <a:cs typeface="Calibri"/>
            </a:rPr>
            <a:t>Attrition</a:t>
          </a:r>
        </a:p>
      </xdr:txBody>
    </xdr:sp>
    <xdr:clientData/>
  </xdr:twoCellAnchor>
  <xdr:twoCellAnchor>
    <xdr:from>
      <xdr:col>3</xdr:col>
      <xdr:colOff>257175</xdr:colOff>
      <xdr:row>4</xdr:row>
      <xdr:rowOff>133351</xdr:rowOff>
    </xdr:from>
    <xdr:to>
      <xdr:col>5</xdr:col>
      <xdr:colOff>428625</xdr:colOff>
      <xdr:row>8</xdr:row>
      <xdr:rowOff>114301</xdr:rowOff>
    </xdr:to>
    <xdr:sp macro="" textlink="">
      <xdr:nvSpPr>
        <xdr:cNvPr id="15" name="TextBox 14">
          <a:extLst>
            <a:ext uri="{FF2B5EF4-FFF2-40B4-BE49-F238E27FC236}">
              <a16:creationId xmlns:a16="http://schemas.microsoft.com/office/drawing/2014/main" id="{6CBB30A4-0E58-9D14-37BB-BEF50335D550}"/>
            </a:ext>
          </a:extLst>
        </xdr:cNvPr>
        <xdr:cNvSpPr txBox="1"/>
      </xdr:nvSpPr>
      <xdr:spPr>
        <a:xfrm>
          <a:off x="2085975" y="895351"/>
          <a:ext cx="13906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2200" b="1" i="0" u="none" strike="noStrike">
              <a:solidFill>
                <a:srgbClr val="000000"/>
              </a:solidFill>
              <a:latin typeface="Calibri"/>
              <a:cs typeface="Calibri"/>
            </a:rPr>
            <a:t>Total HC</a:t>
          </a:r>
        </a:p>
      </xdr:txBody>
    </xdr:sp>
    <xdr:clientData/>
  </xdr:twoCellAnchor>
  <xdr:twoCellAnchor>
    <xdr:from>
      <xdr:col>13</xdr:col>
      <xdr:colOff>19049</xdr:colOff>
      <xdr:row>5</xdr:row>
      <xdr:rowOff>85725</xdr:rowOff>
    </xdr:from>
    <xdr:to>
      <xdr:col>16</xdr:col>
      <xdr:colOff>123825</xdr:colOff>
      <xdr:row>10</xdr:row>
      <xdr:rowOff>104775</xdr:rowOff>
    </xdr:to>
    <xdr:sp macro="" textlink="">
      <xdr:nvSpPr>
        <xdr:cNvPr id="17" name="Rectangle: Rounded Corners 16">
          <a:extLst>
            <a:ext uri="{FF2B5EF4-FFF2-40B4-BE49-F238E27FC236}">
              <a16:creationId xmlns:a16="http://schemas.microsoft.com/office/drawing/2014/main" id="{D6753B3F-1FCE-1AA1-FF44-F4A1D71097D9}"/>
            </a:ext>
          </a:extLst>
        </xdr:cNvPr>
        <xdr:cNvSpPr/>
      </xdr:nvSpPr>
      <xdr:spPr>
        <a:xfrm>
          <a:off x="7943849" y="1038225"/>
          <a:ext cx="1933576" cy="971550"/>
        </a:xfrm>
        <a:prstGeom prst="roundRect">
          <a:avLst/>
        </a:prstGeom>
        <a:solidFill>
          <a:schemeClr val="bg1"/>
        </a:solidFill>
        <a:ln w="28575">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266699</xdr:colOff>
      <xdr:row>5</xdr:row>
      <xdr:rowOff>85725</xdr:rowOff>
    </xdr:from>
    <xdr:to>
      <xdr:col>19</xdr:col>
      <xdr:colOff>219075</xdr:colOff>
      <xdr:row>10</xdr:row>
      <xdr:rowOff>104775</xdr:rowOff>
    </xdr:to>
    <xdr:sp macro="" textlink="">
      <xdr:nvSpPr>
        <xdr:cNvPr id="24" name="Rectangle: Rounded Corners 23">
          <a:extLst>
            <a:ext uri="{FF2B5EF4-FFF2-40B4-BE49-F238E27FC236}">
              <a16:creationId xmlns:a16="http://schemas.microsoft.com/office/drawing/2014/main" id="{E1720E88-B37D-D391-4E6B-70C971766F5C}"/>
            </a:ext>
          </a:extLst>
        </xdr:cNvPr>
        <xdr:cNvSpPr/>
      </xdr:nvSpPr>
      <xdr:spPr>
        <a:xfrm>
          <a:off x="10020299" y="1038225"/>
          <a:ext cx="1781176" cy="971550"/>
        </a:xfrm>
        <a:prstGeom prst="roundRect">
          <a:avLst/>
        </a:prstGeom>
        <a:solidFill>
          <a:schemeClr val="bg1"/>
        </a:solidFill>
        <a:ln w="28575">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16</xdr:col>
      <xdr:colOff>209550</xdr:colOff>
      <xdr:row>6</xdr:row>
      <xdr:rowOff>0</xdr:rowOff>
    </xdr:from>
    <xdr:to>
      <xdr:col>17</xdr:col>
      <xdr:colOff>466725</xdr:colOff>
      <xdr:row>10</xdr:row>
      <xdr:rowOff>104775</xdr:rowOff>
    </xdr:to>
    <xdr:pic>
      <xdr:nvPicPr>
        <xdr:cNvPr id="34" name="Graphic 33" descr="Arrow circle with solid fill">
          <a:extLst>
            <a:ext uri="{FF2B5EF4-FFF2-40B4-BE49-F238E27FC236}">
              <a16:creationId xmlns:a16="http://schemas.microsoft.com/office/drawing/2014/main" id="{B7FAF335-DA02-2BD2-0083-E2B6F5F83A74}"/>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9963150" y="1143000"/>
          <a:ext cx="866775" cy="866775"/>
        </a:xfrm>
        <a:prstGeom prst="rect">
          <a:avLst/>
        </a:prstGeom>
      </xdr:spPr>
    </xdr:pic>
    <xdr:clientData/>
  </xdr:twoCellAnchor>
  <xdr:twoCellAnchor>
    <xdr:from>
      <xdr:col>17</xdr:col>
      <xdr:colOff>266700</xdr:colOff>
      <xdr:row>5</xdr:row>
      <xdr:rowOff>66676</xdr:rowOff>
    </xdr:from>
    <xdr:to>
      <xdr:col>19</xdr:col>
      <xdr:colOff>276225</xdr:colOff>
      <xdr:row>9</xdr:row>
      <xdr:rowOff>47626</xdr:rowOff>
    </xdr:to>
    <xdr:sp macro="" textlink="">
      <xdr:nvSpPr>
        <xdr:cNvPr id="49" name="TextBox 48">
          <a:extLst>
            <a:ext uri="{FF2B5EF4-FFF2-40B4-BE49-F238E27FC236}">
              <a16:creationId xmlns:a16="http://schemas.microsoft.com/office/drawing/2014/main" id="{C568ECCC-CF2A-B542-F0E5-C23BC7315EE1}"/>
            </a:ext>
          </a:extLst>
        </xdr:cNvPr>
        <xdr:cNvSpPr txBox="1"/>
      </xdr:nvSpPr>
      <xdr:spPr>
        <a:xfrm>
          <a:off x="10629900" y="1019176"/>
          <a:ext cx="1228725"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200" b="1" i="0" u="none" strike="noStrike">
              <a:solidFill>
                <a:srgbClr val="000000"/>
              </a:solidFill>
              <a:latin typeface="Calibri"/>
              <a:cs typeface="Calibri"/>
            </a:rPr>
            <a:t>Transfer</a:t>
          </a:r>
        </a:p>
      </xdr:txBody>
    </xdr:sp>
    <xdr:clientData/>
  </xdr:twoCellAnchor>
  <xdr:twoCellAnchor editAs="oneCell">
    <xdr:from>
      <xdr:col>12</xdr:col>
      <xdr:colOff>580950</xdr:colOff>
      <xdr:row>6</xdr:row>
      <xdr:rowOff>0</xdr:rowOff>
    </xdr:from>
    <xdr:to>
      <xdr:col>14</xdr:col>
      <xdr:colOff>123750</xdr:colOff>
      <xdr:row>10</xdr:row>
      <xdr:rowOff>0</xdr:rowOff>
    </xdr:to>
    <xdr:pic>
      <xdr:nvPicPr>
        <xdr:cNvPr id="58" name="Graphic 57" descr="Call center with solid fill">
          <a:extLst>
            <a:ext uri="{FF2B5EF4-FFF2-40B4-BE49-F238E27FC236}">
              <a16:creationId xmlns:a16="http://schemas.microsoft.com/office/drawing/2014/main" id="{4118ED24-EEE4-2325-1F2D-C33AC3495EB8}"/>
            </a:ext>
          </a:extLst>
        </xdr:cNvPr>
        <xdr:cNvPicPr>
          <a:picLocks noChangeAspect="1"/>
        </xdr:cNvPicPr>
      </xdr:nvPicPr>
      <xdr:blipFill>
        <a:blip xmlns:r="http://schemas.openxmlformats.org/officeDocument/2006/relationships" r:embed="rId24">
          <a:extLst>
            <a:ext uri="{96DAC541-7B7A-43D3-8B79-37D633B846F1}">
              <asvg:svgBlip xmlns:asvg="http://schemas.microsoft.com/office/drawing/2016/SVG/main" r:embed="rId25"/>
            </a:ext>
          </a:extLst>
        </a:blip>
        <a:stretch>
          <a:fillRect/>
        </a:stretch>
      </xdr:blipFill>
      <xdr:spPr>
        <a:xfrm>
          <a:off x="7896150" y="1143000"/>
          <a:ext cx="762000" cy="762000"/>
        </a:xfrm>
        <a:prstGeom prst="rect">
          <a:avLst/>
        </a:prstGeom>
      </xdr:spPr>
    </xdr:pic>
    <xdr:clientData/>
  </xdr:twoCellAnchor>
  <xdr:twoCellAnchor>
    <xdr:from>
      <xdr:col>13</xdr:col>
      <xdr:colOff>552450</xdr:colOff>
      <xdr:row>5</xdr:row>
      <xdr:rowOff>28576</xdr:rowOff>
    </xdr:from>
    <xdr:to>
      <xdr:col>17</xdr:col>
      <xdr:colOff>514350</xdr:colOff>
      <xdr:row>9</xdr:row>
      <xdr:rowOff>9526</xdr:rowOff>
    </xdr:to>
    <xdr:sp macro="" textlink="">
      <xdr:nvSpPr>
        <xdr:cNvPr id="53" name="TextBox 52">
          <a:extLst>
            <a:ext uri="{FF2B5EF4-FFF2-40B4-BE49-F238E27FC236}">
              <a16:creationId xmlns:a16="http://schemas.microsoft.com/office/drawing/2014/main" id="{9C654D0F-BF62-1EE7-95C9-CF584386B4BE}"/>
            </a:ext>
          </a:extLst>
        </xdr:cNvPr>
        <xdr:cNvSpPr txBox="1"/>
      </xdr:nvSpPr>
      <xdr:spPr>
        <a:xfrm>
          <a:off x="8477250" y="981076"/>
          <a:ext cx="240030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2200" b="1" i="0" u="none" strike="noStrike">
              <a:solidFill>
                <a:srgbClr val="000000"/>
              </a:solidFill>
              <a:latin typeface="Calibri"/>
              <a:cs typeface="Calibri"/>
            </a:rPr>
            <a:t>Attrition %</a:t>
          </a:r>
        </a:p>
      </xdr:txBody>
    </xdr:sp>
    <xdr:clientData/>
  </xdr:twoCellAnchor>
  <xdr:twoCellAnchor>
    <xdr:from>
      <xdr:col>3</xdr:col>
      <xdr:colOff>295275</xdr:colOff>
      <xdr:row>6</xdr:row>
      <xdr:rowOff>152401</xdr:rowOff>
    </xdr:from>
    <xdr:to>
      <xdr:col>5</xdr:col>
      <xdr:colOff>466725</xdr:colOff>
      <xdr:row>10</xdr:row>
      <xdr:rowOff>133351</xdr:rowOff>
    </xdr:to>
    <xdr:sp macro="" textlink="Pivot!B8">
      <xdr:nvSpPr>
        <xdr:cNvPr id="55" name="TextBox 54">
          <a:extLst>
            <a:ext uri="{FF2B5EF4-FFF2-40B4-BE49-F238E27FC236}">
              <a16:creationId xmlns:a16="http://schemas.microsoft.com/office/drawing/2014/main" id="{97AD4DC8-9405-FFAE-46DF-178FD6C60874}"/>
            </a:ext>
          </a:extLst>
        </xdr:cNvPr>
        <xdr:cNvSpPr txBox="1"/>
      </xdr:nvSpPr>
      <xdr:spPr>
        <a:xfrm>
          <a:off x="2124075" y="1295401"/>
          <a:ext cx="13906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503245-8086-4E91-B46D-D07622719CE5}" type="TxLink">
            <a:rPr lang="en-US" sz="2800" b="1" i="0" u="none" strike="noStrike">
              <a:solidFill>
                <a:schemeClr val="accent2"/>
              </a:solidFill>
              <a:latin typeface="Calibri"/>
              <a:cs typeface="Calibri"/>
            </a:rPr>
            <a:pPr marL="0" indent="0" algn="ctr"/>
            <a:t>171</a:t>
          </a:fld>
          <a:endParaRPr lang="en-US" sz="4800" b="1" i="0" u="none" strike="noStrike">
            <a:solidFill>
              <a:schemeClr val="accent2"/>
            </a:solidFill>
            <a:latin typeface="Calibri"/>
            <a:cs typeface="Calibri"/>
          </a:endParaRPr>
        </a:p>
      </xdr:txBody>
    </xdr:sp>
    <xdr:clientData/>
  </xdr:twoCellAnchor>
  <xdr:twoCellAnchor>
    <xdr:from>
      <xdr:col>6</xdr:col>
      <xdr:colOff>571500</xdr:colOff>
      <xdr:row>6</xdr:row>
      <xdr:rowOff>114301</xdr:rowOff>
    </xdr:from>
    <xdr:to>
      <xdr:col>9</xdr:col>
      <xdr:colOff>133350</xdr:colOff>
      <xdr:row>10</xdr:row>
      <xdr:rowOff>95251</xdr:rowOff>
    </xdr:to>
    <xdr:sp macro="" textlink="Pivot!B9">
      <xdr:nvSpPr>
        <xdr:cNvPr id="57" name="TextBox 56">
          <a:extLst>
            <a:ext uri="{FF2B5EF4-FFF2-40B4-BE49-F238E27FC236}">
              <a16:creationId xmlns:a16="http://schemas.microsoft.com/office/drawing/2014/main" id="{621D3E52-9A5F-D1ED-3C84-4040DDCD49CF}"/>
            </a:ext>
          </a:extLst>
        </xdr:cNvPr>
        <xdr:cNvSpPr txBox="1"/>
      </xdr:nvSpPr>
      <xdr:spPr>
        <a:xfrm>
          <a:off x="4229100" y="1257301"/>
          <a:ext cx="13906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5A590BA-0A8A-4C40-96E7-C497C9640AAF}" type="TxLink">
            <a:rPr lang="en-US" sz="2800" b="1" i="0" u="none" strike="noStrike">
              <a:solidFill>
                <a:schemeClr val="accent2"/>
              </a:solidFill>
              <a:latin typeface="Calibri"/>
              <a:ea typeface="+mn-ea"/>
              <a:cs typeface="Calibri"/>
            </a:rPr>
            <a:pPr marL="0" indent="0" algn="ctr"/>
            <a:t>118</a:t>
          </a:fld>
          <a:endParaRPr lang="en-US" sz="2800" b="1" i="0" u="none" strike="noStrike">
            <a:solidFill>
              <a:schemeClr val="accent2"/>
            </a:solidFill>
            <a:latin typeface="Calibri"/>
            <a:ea typeface="+mn-ea"/>
            <a:cs typeface="Calibri"/>
          </a:endParaRPr>
        </a:p>
      </xdr:txBody>
    </xdr:sp>
    <xdr:clientData/>
  </xdr:twoCellAnchor>
  <xdr:twoCellAnchor>
    <xdr:from>
      <xdr:col>17</xdr:col>
      <xdr:colOff>104775</xdr:colOff>
      <xdr:row>6</xdr:row>
      <xdr:rowOff>114301</xdr:rowOff>
    </xdr:from>
    <xdr:to>
      <xdr:col>19</xdr:col>
      <xdr:colOff>276225</xdr:colOff>
      <xdr:row>10</xdr:row>
      <xdr:rowOff>95251</xdr:rowOff>
    </xdr:to>
    <xdr:sp macro="" textlink="Pivot!B10">
      <xdr:nvSpPr>
        <xdr:cNvPr id="59" name="TextBox 58">
          <a:extLst>
            <a:ext uri="{FF2B5EF4-FFF2-40B4-BE49-F238E27FC236}">
              <a16:creationId xmlns:a16="http://schemas.microsoft.com/office/drawing/2014/main" id="{CD22CE5A-F58E-3A05-BBA1-08FF8880E8F9}"/>
            </a:ext>
          </a:extLst>
        </xdr:cNvPr>
        <xdr:cNvSpPr txBox="1"/>
      </xdr:nvSpPr>
      <xdr:spPr>
        <a:xfrm>
          <a:off x="10467975" y="1257301"/>
          <a:ext cx="13906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D92BE00-92D9-41B7-BBE7-C9A44E6AC53F}" type="TxLink">
            <a:rPr lang="en-US" sz="2800" b="1" i="0" u="none" strike="noStrike">
              <a:solidFill>
                <a:schemeClr val="accent2"/>
              </a:solidFill>
              <a:latin typeface="Calibri"/>
              <a:ea typeface="+mn-ea"/>
              <a:cs typeface="Calibri"/>
            </a:rPr>
            <a:pPr marL="0" indent="0" algn="ctr"/>
            <a:t>6</a:t>
          </a:fld>
          <a:endParaRPr lang="en-US" sz="2800" b="1" i="0" u="none" strike="noStrike">
            <a:solidFill>
              <a:schemeClr val="accent2"/>
            </a:solidFill>
            <a:latin typeface="Calibri"/>
            <a:ea typeface="+mn-ea"/>
            <a:cs typeface="Calibri"/>
          </a:endParaRPr>
        </a:p>
      </xdr:txBody>
    </xdr:sp>
    <xdr:clientData/>
  </xdr:twoCellAnchor>
  <xdr:twoCellAnchor>
    <xdr:from>
      <xdr:col>10</xdr:col>
      <xdr:colOff>409575</xdr:colOff>
      <xdr:row>6</xdr:row>
      <xdr:rowOff>104776</xdr:rowOff>
    </xdr:from>
    <xdr:to>
      <xdr:col>12</xdr:col>
      <xdr:colOff>581025</xdr:colOff>
      <xdr:row>10</xdr:row>
      <xdr:rowOff>85726</xdr:rowOff>
    </xdr:to>
    <xdr:sp macro="" textlink="Pivot!B11">
      <xdr:nvSpPr>
        <xdr:cNvPr id="61" name="TextBox 60">
          <a:extLst>
            <a:ext uri="{FF2B5EF4-FFF2-40B4-BE49-F238E27FC236}">
              <a16:creationId xmlns:a16="http://schemas.microsoft.com/office/drawing/2014/main" id="{5D61AA93-5E89-4B36-AE0D-7824E11150B8}"/>
            </a:ext>
          </a:extLst>
        </xdr:cNvPr>
        <xdr:cNvSpPr txBox="1"/>
      </xdr:nvSpPr>
      <xdr:spPr>
        <a:xfrm>
          <a:off x="6505575" y="1247776"/>
          <a:ext cx="13906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C4EF4A7-23B1-4E40-BBF2-64F1C1AF2297}" type="TxLink">
            <a:rPr lang="en-US" sz="2800" b="1" i="0" u="none" strike="noStrike">
              <a:solidFill>
                <a:schemeClr val="accent2"/>
              </a:solidFill>
              <a:latin typeface="Calibri"/>
              <a:ea typeface="+mn-ea"/>
              <a:cs typeface="Calibri"/>
            </a:rPr>
            <a:pPr marL="0" indent="0" algn="ctr"/>
            <a:t>47</a:t>
          </a:fld>
          <a:endParaRPr lang="en-US" sz="2800" b="1" i="0" u="none" strike="noStrike">
            <a:solidFill>
              <a:schemeClr val="accent2"/>
            </a:solidFill>
            <a:latin typeface="Calibri"/>
            <a:ea typeface="+mn-ea"/>
            <a:cs typeface="Calibri"/>
          </a:endParaRPr>
        </a:p>
      </xdr:txBody>
    </xdr:sp>
    <xdr:clientData/>
  </xdr:twoCellAnchor>
  <xdr:twoCellAnchor>
    <xdr:from>
      <xdr:col>14</xdr:col>
      <xdr:colOff>47625</xdr:colOff>
      <xdr:row>6</xdr:row>
      <xdr:rowOff>95251</xdr:rowOff>
    </xdr:from>
    <xdr:to>
      <xdr:col>16</xdr:col>
      <xdr:colOff>219075</xdr:colOff>
      <xdr:row>10</xdr:row>
      <xdr:rowOff>76201</xdr:rowOff>
    </xdr:to>
    <xdr:sp macro="" textlink="Pivot!B13">
      <xdr:nvSpPr>
        <xdr:cNvPr id="62" name="TextBox 61">
          <a:extLst>
            <a:ext uri="{FF2B5EF4-FFF2-40B4-BE49-F238E27FC236}">
              <a16:creationId xmlns:a16="http://schemas.microsoft.com/office/drawing/2014/main" id="{1E364F99-6E04-9BAA-E600-CA645B93D73C}"/>
            </a:ext>
          </a:extLst>
        </xdr:cNvPr>
        <xdr:cNvSpPr txBox="1"/>
      </xdr:nvSpPr>
      <xdr:spPr>
        <a:xfrm>
          <a:off x="8582025" y="1238251"/>
          <a:ext cx="1390650" cy="742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B4FB48E-6A39-4D62-9A26-A2F92BC87712}" type="TxLink">
            <a:rPr lang="en-US" sz="2800" b="1" i="0" u="none" strike="noStrike">
              <a:solidFill>
                <a:schemeClr val="accent2"/>
              </a:solidFill>
              <a:latin typeface="Calibri"/>
              <a:ea typeface="+mn-ea"/>
              <a:cs typeface="Calibri"/>
            </a:rPr>
            <a:pPr marL="0" indent="0" algn="ctr"/>
            <a:t>27%</a:t>
          </a:fld>
          <a:endParaRPr lang="en-US" sz="2800" b="1" i="0" u="none" strike="noStrike">
            <a:solidFill>
              <a:schemeClr val="accent2"/>
            </a:solidFill>
            <a:latin typeface="Calibri"/>
            <a:ea typeface="+mn-ea"/>
            <a:cs typeface="Calibri"/>
          </a:endParaRPr>
        </a:p>
      </xdr:txBody>
    </xdr:sp>
    <xdr:clientData/>
  </xdr:twoCellAnchor>
  <xdr:twoCellAnchor>
    <xdr:from>
      <xdr:col>2</xdr:col>
      <xdr:colOff>371475</xdr:colOff>
      <xdr:row>0</xdr:row>
      <xdr:rowOff>85725</xdr:rowOff>
    </xdr:from>
    <xdr:to>
      <xdr:col>20</xdr:col>
      <xdr:colOff>323850</xdr:colOff>
      <xdr:row>4</xdr:row>
      <xdr:rowOff>152400</xdr:rowOff>
    </xdr:to>
    <xdr:sp macro="" textlink="">
      <xdr:nvSpPr>
        <xdr:cNvPr id="63" name="TextBox 62">
          <a:extLst>
            <a:ext uri="{FF2B5EF4-FFF2-40B4-BE49-F238E27FC236}">
              <a16:creationId xmlns:a16="http://schemas.microsoft.com/office/drawing/2014/main" id="{9954BD07-E672-D5EB-033D-A3D176E69E47}"/>
            </a:ext>
          </a:extLst>
        </xdr:cNvPr>
        <xdr:cNvSpPr txBox="1"/>
      </xdr:nvSpPr>
      <xdr:spPr>
        <a:xfrm>
          <a:off x="1590675" y="85725"/>
          <a:ext cx="10925175" cy="828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rPr>
            <a:t>HR ANALYTICS MANAGEMENT DASHBOARD</a:t>
          </a:r>
        </a:p>
      </xdr:txBody>
    </xdr:sp>
    <xdr:clientData/>
  </xdr:twoCellAnchor>
  <xdr:twoCellAnchor editAs="oneCell">
    <xdr:from>
      <xdr:col>2</xdr:col>
      <xdr:colOff>276225</xdr:colOff>
      <xdr:row>0</xdr:row>
      <xdr:rowOff>95250</xdr:rowOff>
    </xdr:from>
    <xdr:to>
      <xdr:col>3</xdr:col>
      <xdr:colOff>542925</xdr:colOff>
      <xdr:row>5</xdr:row>
      <xdr:rowOff>19050</xdr:rowOff>
    </xdr:to>
    <xdr:pic>
      <xdr:nvPicPr>
        <xdr:cNvPr id="65" name="Graphic 64" descr="Pie chart with solid fill">
          <a:extLst>
            <a:ext uri="{FF2B5EF4-FFF2-40B4-BE49-F238E27FC236}">
              <a16:creationId xmlns:a16="http://schemas.microsoft.com/office/drawing/2014/main" id="{A4F6B639-7240-AF25-0266-30B28BD36E03}"/>
            </a:ext>
          </a:extLst>
        </xdr:cNvPr>
        <xdr:cNvPicPr>
          <a:picLocks noChangeAspect="1"/>
        </xdr:cNvPicPr>
      </xdr:nvPicPr>
      <xdr:blipFill>
        <a:blip xmlns:r="http://schemas.openxmlformats.org/officeDocument/2006/relationships" r:embed="rId26">
          <a:extLst>
            <a:ext uri="{96DAC541-7B7A-43D3-8B79-37D633B846F1}">
              <asvg:svgBlip xmlns:asvg="http://schemas.microsoft.com/office/drawing/2016/SVG/main" r:embed="rId27"/>
            </a:ext>
          </a:extLst>
        </a:blip>
        <a:stretch>
          <a:fillRect/>
        </a:stretch>
      </xdr:blipFill>
      <xdr:spPr>
        <a:xfrm>
          <a:off x="1495425" y="95250"/>
          <a:ext cx="876300" cy="876300"/>
        </a:xfrm>
        <a:prstGeom prst="rect">
          <a:avLst/>
        </a:prstGeom>
      </xdr:spPr>
    </xdr:pic>
    <xdr:clientData/>
  </xdr:twoCellAnchor>
  <xdr:twoCellAnchor editAs="oneCell">
    <xdr:from>
      <xdr:col>0</xdr:col>
      <xdr:colOff>76200</xdr:colOff>
      <xdr:row>27</xdr:row>
      <xdr:rowOff>114301</xdr:rowOff>
    </xdr:from>
    <xdr:to>
      <xdr:col>2</xdr:col>
      <xdr:colOff>117000</xdr:colOff>
      <xdr:row>39</xdr:row>
      <xdr:rowOff>57151</xdr:rowOff>
    </xdr:to>
    <mc:AlternateContent xmlns:mc="http://schemas.openxmlformats.org/markup-compatibility/2006" xmlns:a14="http://schemas.microsoft.com/office/drawing/2010/main">
      <mc:Choice Requires="a14">
        <xdr:graphicFrame macro="">
          <xdr:nvGraphicFramePr>
            <xdr:cNvPr id="67" name="Reporting Manager">
              <a:extLst>
                <a:ext uri="{FF2B5EF4-FFF2-40B4-BE49-F238E27FC236}">
                  <a16:creationId xmlns:a16="http://schemas.microsoft.com/office/drawing/2014/main" id="{AFFF99F9-C7B1-4386-B3A5-22E260832211}"/>
                </a:ext>
              </a:extLst>
            </xdr:cNvPr>
            <xdr:cNvGraphicFramePr/>
          </xdr:nvGraphicFramePr>
          <xdr:xfrm>
            <a:off x="0" y="0"/>
            <a:ext cx="0" cy="0"/>
          </xdr:xfrm>
          <a:graphic>
            <a:graphicData uri="http://schemas.microsoft.com/office/drawing/2010/slicer">
              <sle:slicer xmlns:sle="http://schemas.microsoft.com/office/drawing/2010/slicer" name="Reporting Manager"/>
            </a:graphicData>
          </a:graphic>
        </xdr:graphicFrame>
      </mc:Choice>
      <mc:Fallback xmlns="">
        <xdr:sp macro="" textlink="">
          <xdr:nvSpPr>
            <xdr:cNvPr id="0" name=""/>
            <xdr:cNvSpPr>
              <a:spLocks noTextEdit="1"/>
            </xdr:cNvSpPr>
          </xdr:nvSpPr>
          <xdr:spPr>
            <a:xfrm>
              <a:off x="76200" y="5257801"/>
              <a:ext cx="1260000" cy="222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18</xdr:row>
      <xdr:rowOff>161925</xdr:rowOff>
    </xdr:from>
    <xdr:to>
      <xdr:col>2</xdr:col>
      <xdr:colOff>117000</xdr:colOff>
      <xdr:row>26</xdr:row>
      <xdr:rowOff>171450</xdr:rowOff>
    </xdr:to>
    <mc:AlternateContent xmlns:mc="http://schemas.openxmlformats.org/markup-compatibility/2006" xmlns:a14="http://schemas.microsoft.com/office/drawing/2010/main">
      <mc:Choice Requires="a14">
        <xdr:graphicFrame macro="">
          <xdr:nvGraphicFramePr>
            <xdr:cNvPr id="70" name="Grade">
              <a:extLst>
                <a:ext uri="{FF2B5EF4-FFF2-40B4-BE49-F238E27FC236}">
                  <a16:creationId xmlns:a16="http://schemas.microsoft.com/office/drawing/2014/main" id="{B9739410-3A0A-4542-9A10-BABB53451A68}"/>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76200" y="3590925"/>
              <a:ext cx="12600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76199</xdr:colOff>
      <xdr:row>6</xdr:row>
      <xdr:rowOff>38101</xdr:rowOff>
    </xdr:from>
    <xdr:to>
      <xdr:col>2</xdr:col>
      <xdr:colOff>116999</xdr:colOff>
      <xdr:row>17</xdr:row>
      <xdr:rowOff>171451</xdr:rowOff>
    </xdr:to>
    <mc:AlternateContent xmlns:mc="http://schemas.openxmlformats.org/markup-compatibility/2006" xmlns:a14="http://schemas.microsoft.com/office/drawing/2010/main">
      <mc:Choice Requires="a14">
        <xdr:graphicFrame macro="">
          <xdr:nvGraphicFramePr>
            <xdr:cNvPr id="71" name="Department">
              <a:extLst>
                <a:ext uri="{FF2B5EF4-FFF2-40B4-BE49-F238E27FC236}">
                  <a16:creationId xmlns:a16="http://schemas.microsoft.com/office/drawing/2014/main" id="{D93ABAB5-9906-48D0-AE22-E0EA2F4FD02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199" y="1181101"/>
              <a:ext cx="1260000" cy="2228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419100</xdr:colOff>
      <xdr:row>57</xdr:row>
      <xdr:rowOff>0</xdr:rowOff>
    </xdr:from>
    <xdr:to>
      <xdr:col>13</xdr:col>
      <xdr:colOff>419100</xdr:colOff>
      <xdr:row>70</xdr:row>
      <xdr:rowOff>47625</xdr:rowOff>
    </xdr:to>
    <mc:AlternateContent xmlns:mc="http://schemas.openxmlformats.org/markup-compatibility/2006" xmlns:a14="http://schemas.microsoft.com/office/drawing/2010/main">
      <mc:Choice Requires="a14">
        <xdr:graphicFrame macro="">
          <xdr:nvGraphicFramePr>
            <xdr:cNvPr id="72" name="Years of Service">
              <a:extLst>
                <a:ext uri="{FF2B5EF4-FFF2-40B4-BE49-F238E27FC236}">
                  <a16:creationId xmlns:a16="http://schemas.microsoft.com/office/drawing/2014/main" id="{FED21FD8-D471-40D2-904D-4B4989F450A7}"/>
                </a:ext>
              </a:extLst>
            </xdr:cNvPr>
            <xdr:cNvGraphicFramePr/>
          </xdr:nvGraphicFramePr>
          <xdr:xfrm>
            <a:off x="0" y="0"/>
            <a:ext cx="0" cy="0"/>
          </xdr:xfrm>
          <a:graphic>
            <a:graphicData uri="http://schemas.microsoft.com/office/drawing/2010/slicer">
              <sle:slicer xmlns:sle="http://schemas.microsoft.com/office/drawing/2010/slicer" name="Years of Service"/>
            </a:graphicData>
          </a:graphic>
        </xdr:graphicFrame>
      </mc:Choice>
      <mc:Fallback xmlns="">
        <xdr:sp macro="" textlink="">
          <xdr:nvSpPr>
            <xdr:cNvPr id="0" name=""/>
            <xdr:cNvSpPr>
              <a:spLocks noTextEdit="1"/>
            </xdr:cNvSpPr>
          </xdr:nvSpPr>
          <xdr:spPr>
            <a:xfrm>
              <a:off x="6515100" y="10858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9525</xdr:colOff>
      <xdr:row>14</xdr:row>
      <xdr:rowOff>47624</xdr:rowOff>
    </xdr:from>
    <xdr:to>
      <xdr:col>14</xdr:col>
      <xdr:colOff>581025</xdr:colOff>
      <xdr:row>16</xdr:row>
      <xdr:rowOff>152399</xdr:rowOff>
    </xdr:to>
    <xdr:sp macro="" textlink="Pivot!AA21">
      <xdr:nvSpPr>
        <xdr:cNvPr id="74" name="TextBox 73">
          <a:extLst>
            <a:ext uri="{FF2B5EF4-FFF2-40B4-BE49-F238E27FC236}">
              <a16:creationId xmlns:a16="http://schemas.microsoft.com/office/drawing/2014/main" id="{ED130972-FE36-B1FC-9EB4-124174A03837}"/>
            </a:ext>
          </a:extLst>
        </xdr:cNvPr>
        <xdr:cNvSpPr txBox="1"/>
      </xdr:nvSpPr>
      <xdr:spPr>
        <a:xfrm>
          <a:off x="8543925" y="2714624"/>
          <a:ext cx="571500"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1D95A47-2298-4885-B73D-0C3665069A2C}" type="TxLink">
            <a:rPr lang="en-US" sz="2000" b="0" i="0" u="none" strike="noStrike">
              <a:solidFill>
                <a:srgbClr val="065DEA"/>
              </a:solidFill>
              <a:latin typeface="Calibri"/>
              <a:ea typeface="+mn-ea"/>
              <a:cs typeface="Calibri"/>
            </a:rPr>
            <a:pPr marL="0" indent="0"/>
            <a:t>73</a:t>
          </a:fld>
          <a:endParaRPr lang="en-US" sz="2000" b="0" i="0" u="none" strike="noStrike">
            <a:solidFill>
              <a:srgbClr val="065DEA"/>
            </a:solidFill>
            <a:latin typeface="Calibri"/>
            <a:ea typeface="+mn-ea"/>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27.630348379629" createdVersion="8" refreshedVersion="8" minRefreshableVersion="3" recordCount="171" xr:uid="{AAD88B6C-E4CF-4737-A5AB-73189E6ABF67}">
  <cacheSource type="worksheet">
    <worksheetSource name="Table1"/>
  </cacheSource>
  <cacheFields count="16">
    <cacheField name="Emp Status" numFmtId="0">
      <sharedItems count="3">
        <s v="On-Board"/>
        <s v="Attrition"/>
        <s v="Transfer"/>
      </sharedItems>
    </cacheField>
    <cacheField name="Movement" numFmtId="0">
      <sharedItems containsBlank="1"/>
    </cacheField>
    <cacheField name="Emp Id" numFmtId="0">
      <sharedItems containsMixedTypes="1" containsNumber="1" containsInteger="1" minValue="100957" maxValue="198396"/>
    </cacheField>
    <cacheField name="Name" numFmtId="0">
      <sharedItems/>
    </cacheField>
    <cacheField name="Date of Joining" numFmtId="14">
      <sharedItems containsSemiMixedTypes="0" containsNonDate="0" containsDate="1" containsString="0" minDate="2020-02-06T00:00:00" maxDate="2025-07-20T00:00:00"/>
    </cacheField>
    <cacheField name="Data of Relieving" numFmtId="14">
      <sharedItems containsNonDate="0" containsDate="1" containsString="0" containsBlank="1" minDate="2020-12-18T00:00:00" maxDate="2024-09-30T00:00:00"/>
    </cacheField>
    <cacheField name="Reporting Manager" numFmtId="0">
      <sharedItems count="7">
        <s v="Roberta Moyer"/>
        <s v="Ryan Simmons"/>
        <s v="Darryl Leon"/>
        <s v="Geneva Hardy"/>
        <s v="Janelle Wiley"/>
        <s v="Alejandra Mack"/>
        <s v="Jefferson Perry"/>
      </sharedItems>
    </cacheField>
    <cacheField name="Emp Type" numFmtId="0">
      <sharedItems count="2">
        <s v="Contract"/>
        <s v="Permanent"/>
      </sharedItems>
    </cacheField>
    <cacheField name="Gender" numFmtId="0">
      <sharedItems count="2">
        <s v="Male"/>
        <s v="Female"/>
      </sharedItems>
    </cacheField>
    <cacheField name="Marital status" numFmtId="0">
      <sharedItems/>
    </cacheField>
    <cacheField name="Grade" numFmtId="0">
      <sharedItems count="4">
        <s v="Contract"/>
        <s v="Trainees"/>
        <s v="Management"/>
        <s v="Professional"/>
      </sharedItems>
    </cacheField>
    <cacheField name="Department" numFmtId="0">
      <sharedItems count="7">
        <s v="Operations"/>
        <s v="Accounting"/>
        <s v="Legal"/>
        <s v="Marketing"/>
        <s v="Finance"/>
        <s v="HR"/>
        <s v="Sales"/>
      </sharedItems>
    </cacheField>
    <cacheField name="Total Experience" numFmtId="0">
      <sharedItems containsSemiMixedTypes="0" containsString="0" containsNumber="1" minValue="0" maxValue="19"/>
    </cacheField>
    <cacheField name="Year of Joining" numFmtId="0">
      <sharedItems containsSemiMixedTypes="0" containsString="0" containsNumber="1" containsInteger="1" minValue="2020" maxValue="2025" count="6">
        <n v="2020"/>
        <n v="2021"/>
        <n v="2022"/>
        <n v="2023"/>
        <n v="2024"/>
        <n v="2025"/>
      </sharedItems>
    </cacheField>
    <cacheField name="Years of Service" numFmtId="0">
      <sharedItems count="63">
        <s v="5 Years 11 Months"/>
        <s v="3 Months"/>
        <s v="5 Years 3 Months"/>
        <s v="5 Years 2 Months"/>
        <s v="1 Years 0 Months"/>
        <s v="7 Months"/>
        <s v="1 Years 2 Months"/>
        <s v="1 Years 1 Months"/>
        <s v="9 Months"/>
        <s v="3 Years 7 Months"/>
        <s v="1 Years 3 Months"/>
        <s v="3 Years 5 Months"/>
        <s v="10 Months"/>
        <s v="2 Years 5 Months"/>
        <s v="2 Years 4 Months"/>
        <s v="2 Years 2 Months"/>
        <s v="2 Years 0 Months"/>
        <s v="1 Years 10 Months"/>
        <s v="11 Months"/>
        <s v="6 Years 2 Months"/>
        <s v="4 Years 4 Months"/>
        <s v="3 Years 10 Months"/>
        <s v="6 Years 1 Months"/>
        <s v="1 Years 9 Months"/>
        <s v="6 Years 0 Months"/>
        <s v="5 Years 10 Months"/>
        <s v="5 Years 9 Months"/>
        <s v="5 Years 8 Months"/>
        <s v="1 Years 8 Months"/>
        <s v="5 Years 7 Months"/>
        <s v="3 Years 4 Months"/>
        <s v="5 Months"/>
        <s v="2 Years 9 Months"/>
        <s v="3 Years 0 Months"/>
        <s v="3 Years 3 Months"/>
        <s v="3 Years 6 Months"/>
        <s v="4 Years 0 Months"/>
        <s v="5 Years 6 Months"/>
        <s v="5 Years 4 Months"/>
        <s v="2 Years 6 Months"/>
        <s v="2 Years 7 Months"/>
        <s v="1 Years 4 Months"/>
        <s v="5 Years 1 Months"/>
        <s v="2 Years 3 Months"/>
        <s v="5 Years 0 Months"/>
        <s v="4 Years 10 Months"/>
        <s v="6 Months"/>
        <s v="4 Years 8 Months"/>
        <s v="0 Months"/>
        <s v="4 Years 7 Months"/>
        <s v="4 Years 6 Months"/>
        <s v="8 Months"/>
        <s v="4 Years 1 Months"/>
        <s v="3 Years 11 Months"/>
        <s v="1 Years 6 Months"/>
        <s v="3 Years 8 Months"/>
        <s v="3 Years 2 Months"/>
        <s v="2 Years 11 Months"/>
        <s v="2 Years 10 Months"/>
        <s v="1 Months"/>
        <s v="2 Years 8 Months"/>
        <s v="2 Years 1 Months"/>
        <s v="1 Years 11 Months"/>
      </sharedItems>
    </cacheField>
    <cacheField name="Employee Tenure Group" numFmtId="0">
      <sharedItems count="6">
        <s v="5+ Years"/>
        <s v="Under 1 Year"/>
        <s v="1+ Years"/>
        <s v="3+ Years"/>
        <s v="2+ Years"/>
        <s v="4+ Years"/>
      </sharedItems>
    </cacheField>
  </cacheFields>
  <extLst>
    <ext xmlns:x14="http://schemas.microsoft.com/office/spreadsheetml/2009/9/main" uri="{725AE2AE-9491-48be-B2B4-4EB974FC3084}">
      <x14:pivotCacheDefinition pivotCacheId="589492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1">
  <r>
    <x v="0"/>
    <s v="IJP"/>
    <s v="CT18807"/>
    <s v="Adrian Odonnell"/>
    <d v="2020-04-29T00:00:00"/>
    <m/>
    <x v="0"/>
    <x v="0"/>
    <x v="0"/>
    <s v="Single"/>
    <x v="0"/>
    <x v="0"/>
    <n v="0"/>
    <x v="0"/>
    <x v="0"/>
    <x v="0"/>
  </r>
  <r>
    <x v="1"/>
    <m/>
    <s v="CT12674"/>
    <s v="Marina Velazquez"/>
    <d v="2020-09-01T00:00:00"/>
    <d v="2020-12-18T00:00:00"/>
    <x v="0"/>
    <x v="0"/>
    <x v="0"/>
    <s v="Married"/>
    <x v="1"/>
    <x v="1"/>
    <n v="6.5"/>
    <x v="0"/>
    <x v="1"/>
    <x v="1"/>
  </r>
  <r>
    <x v="0"/>
    <m/>
    <s v="CT11735"/>
    <s v="Regina Schaefer"/>
    <d v="2021-01-01T00:00:00"/>
    <m/>
    <x v="0"/>
    <x v="0"/>
    <x v="0"/>
    <s v="Single"/>
    <x v="0"/>
    <x v="0"/>
    <n v="4.8"/>
    <x v="1"/>
    <x v="2"/>
    <x v="0"/>
  </r>
  <r>
    <x v="0"/>
    <m/>
    <s v="CT10131"/>
    <s v="Donna Sparks"/>
    <d v="2021-02-09T00:00:00"/>
    <m/>
    <x v="0"/>
    <x v="0"/>
    <x v="0"/>
    <s v="Single"/>
    <x v="0"/>
    <x v="2"/>
    <n v="14"/>
    <x v="1"/>
    <x v="3"/>
    <x v="0"/>
  </r>
  <r>
    <x v="1"/>
    <m/>
    <s v="CT16953"/>
    <s v="Sal Glass"/>
    <d v="2021-09-30T00:00:00"/>
    <d v="2022-09-30T00:00:00"/>
    <x v="1"/>
    <x v="0"/>
    <x v="1"/>
    <s v="Single"/>
    <x v="0"/>
    <x v="3"/>
    <n v="0"/>
    <x v="1"/>
    <x v="4"/>
    <x v="2"/>
  </r>
  <r>
    <x v="1"/>
    <m/>
    <s v="CT11213"/>
    <s v="Malik Schneider"/>
    <d v="2022-04-04T00:00:00"/>
    <d v="2022-07-16T00:00:00"/>
    <x v="2"/>
    <x v="0"/>
    <x v="0"/>
    <s v="Single"/>
    <x v="0"/>
    <x v="4"/>
    <n v="2"/>
    <x v="2"/>
    <x v="1"/>
    <x v="1"/>
  </r>
  <r>
    <x v="1"/>
    <m/>
    <s v="CT17933"/>
    <s v="Fanny Hampton"/>
    <d v="2022-06-03T00:00:00"/>
    <d v="2023-01-25T00:00:00"/>
    <x v="1"/>
    <x v="0"/>
    <x v="0"/>
    <s v="Single"/>
    <x v="0"/>
    <x v="3"/>
    <n v="2.8"/>
    <x v="2"/>
    <x v="5"/>
    <x v="1"/>
  </r>
  <r>
    <x v="1"/>
    <m/>
    <s v="CT17253"/>
    <s v="Edison York"/>
    <d v="2022-06-09T00:00:00"/>
    <d v="2023-08-11T00:00:00"/>
    <x v="1"/>
    <x v="0"/>
    <x v="0"/>
    <s v="Single"/>
    <x v="0"/>
    <x v="5"/>
    <n v="0"/>
    <x v="2"/>
    <x v="6"/>
    <x v="2"/>
  </r>
  <r>
    <x v="1"/>
    <m/>
    <s v="CT14693"/>
    <s v="Geraldo Pugh"/>
    <d v="2022-07-07T00:00:00"/>
    <d v="2023-08-30T00:00:00"/>
    <x v="3"/>
    <x v="0"/>
    <x v="0"/>
    <s v="Single"/>
    <x v="0"/>
    <x v="5"/>
    <n v="3"/>
    <x v="2"/>
    <x v="7"/>
    <x v="2"/>
  </r>
  <r>
    <x v="1"/>
    <m/>
    <s v="CT11465"/>
    <s v="Ellis Best"/>
    <d v="2022-08-04T00:00:00"/>
    <d v="2023-05-13T00:00:00"/>
    <x v="1"/>
    <x v="0"/>
    <x v="0"/>
    <s v="Single"/>
    <x v="0"/>
    <x v="2"/>
    <n v="5.9"/>
    <x v="2"/>
    <x v="8"/>
    <x v="1"/>
  </r>
  <r>
    <x v="0"/>
    <m/>
    <s v="CT12948"/>
    <s v="Olen Walter"/>
    <d v="2022-09-01T00:00:00"/>
    <m/>
    <x v="4"/>
    <x v="0"/>
    <x v="0"/>
    <s v="Married"/>
    <x v="0"/>
    <x v="4"/>
    <n v="10"/>
    <x v="2"/>
    <x v="9"/>
    <x v="3"/>
  </r>
  <r>
    <x v="1"/>
    <m/>
    <s v="CT11145"/>
    <s v="Mckinley Baird"/>
    <d v="2022-09-08T00:00:00"/>
    <d v="2023-12-30T00:00:00"/>
    <x v="4"/>
    <x v="0"/>
    <x v="1"/>
    <s v="Single"/>
    <x v="0"/>
    <x v="3"/>
    <n v="1"/>
    <x v="2"/>
    <x v="10"/>
    <x v="2"/>
  </r>
  <r>
    <x v="0"/>
    <m/>
    <s v="CT18269"/>
    <s v="Maura Huynh"/>
    <d v="2022-11-08T00:00:00"/>
    <m/>
    <x v="4"/>
    <x v="0"/>
    <x v="0"/>
    <s v="Married"/>
    <x v="0"/>
    <x v="6"/>
    <n v="10"/>
    <x v="2"/>
    <x v="11"/>
    <x v="3"/>
  </r>
  <r>
    <x v="1"/>
    <m/>
    <s v="CT13931"/>
    <s v="Buster Joyce"/>
    <d v="2023-01-21T00:00:00"/>
    <d v="2023-11-21T00:00:00"/>
    <x v="5"/>
    <x v="0"/>
    <x v="0"/>
    <s v="Single"/>
    <x v="0"/>
    <x v="3"/>
    <n v="0"/>
    <x v="3"/>
    <x v="12"/>
    <x v="1"/>
  </r>
  <r>
    <x v="1"/>
    <m/>
    <s v="CT15252"/>
    <s v="Rosanna Bauer"/>
    <d v="2023-06-06T00:00:00"/>
    <d v="2024-05-03T00:00:00"/>
    <x v="5"/>
    <x v="0"/>
    <x v="1"/>
    <s v="Single"/>
    <x v="0"/>
    <x v="5"/>
    <n v="0.1"/>
    <x v="3"/>
    <x v="12"/>
    <x v="1"/>
  </r>
  <r>
    <x v="0"/>
    <m/>
    <s v="CT13664"/>
    <s v="Marion Harmon"/>
    <d v="2023-10-19T00:00:00"/>
    <m/>
    <x v="5"/>
    <x v="0"/>
    <x v="1"/>
    <s v="Single"/>
    <x v="0"/>
    <x v="5"/>
    <n v="0"/>
    <x v="3"/>
    <x v="13"/>
    <x v="4"/>
  </r>
  <r>
    <x v="0"/>
    <m/>
    <s v="CT10043"/>
    <s v="Shawn Ross"/>
    <d v="2023-12-14T00:00:00"/>
    <m/>
    <x v="5"/>
    <x v="0"/>
    <x v="1"/>
    <s v="Single"/>
    <x v="0"/>
    <x v="2"/>
    <n v="4"/>
    <x v="3"/>
    <x v="14"/>
    <x v="4"/>
  </r>
  <r>
    <x v="0"/>
    <m/>
    <s v="CT16547"/>
    <s v="Houston Wilson"/>
    <d v="2024-02-06T00:00:00"/>
    <m/>
    <x v="0"/>
    <x v="0"/>
    <x v="0"/>
    <s v="Single"/>
    <x v="0"/>
    <x v="5"/>
    <n v="0"/>
    <x v="4"/>
    <x v="15"/>
    <x v="4"/>
  </r>
  <r>
    <x v="0"/>
    <m/>
    <s v="CT11188"/>
    <s v="Maricela Gates"/>
    <d v="2024-03-27T00:00:00"/>
    <m/>
    <x v="5"/>
    <x v="0"/>
    <x v="0"/>
    <s v="Married"/>
    <x v="0"/>
    <x v="3"/>
    <n v="10"/>
    <x v="4"/>
    <x v="16"/>
    <x v="4"/>
  </r>
  <r>
    <x v="0"/>
    <m/>
    <s v="CT14537"/>
    <s v="Fletcher Tate"/>
    <d v="2024-06-01T00:00:00"/>
    <m/>
    <x v="5"/>
    <x v="0"/>
    <x v="1"/>
    <s v="Married"/>
    <x v="0"/>
    <x v="2"/>
    <n v="4"/>
    <x v="4"/>
    <x v="17"/>
    <x v="2"/>
  </r>
  <r>
    <x v="0"/>
    <m/>
    <s v="CT14690"/>
    <s v="Emily Davis"/>
    <d v="2025-01-05T00:00:00"/>
    <m/>
    <x v="6"/>
    <x v="0"/>
    <x v="1"/>
    <s v="Married"/>
    <x v="0"/>
    <x v="4"/>
    <n v="4.8"/>
    <x v="5"/>
    <x v="10"/>
    <x v="2"/>
  </r>
  <r>
    <x v="0"/>
    <m/>
    <s v="CT16195"/>
    <s v="Penelope Jordan"/>
    <d v="2025-01-14T00:00:00"/>
    <m/>
    <x v="6"/>
    <x v="0"/>
    <x v="0"/>
    <s v="Single"/>
    <x v="0"/>
    <x v="0"/>
    <n v="9"/>
    <x v="5"/>
    <x v="10"/>
    <x v="2"/>
  </r>
  <r>
    <x v="0"/>
    <m/>
    <s v="CT16735"/>
    <s v="Alfredo Mcclain"/>
    <d v="2025-04-28T00:00:00"/>
    <m/>
    <x v="1"/>
    <x v="0"/>
    <x v="0"/>
    <s v="Married"/>
    <x v="0"/>
    <x v="3"/>
    <n v="8"/>
    <x v="5"/>
    <x v="18"/>
    <x v="1"/>
  </r>
  <r>
    <x v="0"/>
    <s v="IJP"/>
    <n v="107224"/>
    <s v="Preston Case"/>
    <d v="2020-02-06T00:00:00"/>
    <m/>
    <x v="0"/>
    <x v="1"/>
    <x v="0"/>
    <s v="Single"/>
    <x v="1"/>
    <x v="0"/>
    <n v="13"/>
    <x v="0"/>
    <x v="19"/>
    <x v="0"/>
  </r>
  <r>
    <x v="1"/>
    <s v="IJP"/>
    <n v="148467"/>
    <s v="Branden Kaiser"/>
    <d v="2020-02-08T00:00:00"/>
    <d v="2024-06-30T00:00:00"/>
    <x v="6"/>
    <x v="1"/>
    <x v="1"/>
    <s v="Single"/>
    <x v="1"/>
    <x v="1"/>
    <n v="5"/>
    <x v="0"/>
    <x v="20"/>
    <x v="5"/>
  </r>
  <r>
    <x v="1"/>
    <m/>
    <n v="114416"/>
    <s v="Julia Bell"/>
    <d v="2020-02-13T00:00:00"/>
    <d v="2024-01-09T00:00:00"/>
    <x v="5"/>
    <x v="1"/>
    <x v="0"/>
    <s v="Married"/>
    <x v="2"/>
    <x v="4"/>
    <n v="8"/>
    <x v="0"/>
    <x v="21"/>
    <x v="3"/>
  </r>
  <r>
    <x v="0"/>
    <m/>
    <n v="189095"/>
    <s v="Sammy Hancock"/>
    <d v="2020-02-26T00:00:00"/>
    <m/>
    <x v="5"/>
    <x v="1"/>
    <x v="0"/>
    <s v="Single"/>
    <x v="2"/>
    <x v="0"/>
    <n v="17"/>
    <x v="0"/>
    <x v="22"/>
    <x v="0"/>
  </r>
  <r>
    <x v="1"/>
    <m/>
    <n v="123874"/>
    <s v="Mabel Cuevas"/>
    <d v="2020-03-11T00:00:00"/>
    <d v="2021-12-30T00:00:00"/>
    <x v="5"/>
    <x v="1"/>
    <x v="0"/>
    <s v="Married"/>
    <x v="1"/>
    <x v="1"/>
    <n v="14"/>
    <x v="0"/>
    <x v="23"/>
    <x v="2"/>
  </r>
  <r>
    <x v="0"/>
    <s v="IJP"/>
    <n v="147637"/>
    <s v="Janelle Wiley"/>
    <d v="2020-03-26T00:00:00"/>
    <m/>
    <x v="0"/>
    <x v="1"/>
    <x v="0"/>
    <s v="Single"/>
    <x v="1"/>
    <x v="4"/>
    <n v="14"/>
    <x v="0"/>
    <x v="24"/>
    <x v="0"/>
  </r>
  <r>
    <x v="0"/>
    <s v="IJP"/>
    <n v="183900"/>
    <s v="Norris Madden"/>
    <d v="2020-04-29T00:00:00"/>
    <m/>
    <x v="5"/>
    <x v="1"/>
    <x v="0"/>
    <s v="Single"/>
    <x v="2"/>
    <x v="1"/>
    <n v="13"/>
    <x v="0"/>
    <x v="0"/>
    <x v="0"/>
  </r>
  <r>
    <x v="0"/>
    <m/>
    <n v="110700"/>
    <s v="Vincenzo Mcdowell"/>
    <d v="2020-05-20T00:00:00"/>
    <m/>
    <x v="5"/>
    <x v="1"/>
    <x v="0"/>
    <s v="Single"/>
    <x v="2"/>
    <x v="4"/>
    <n v="13"/>
    <x v="0"/>
    <x v="25"/>
    <x v="0"/>
  </r>
  <r>
    <x v="0"/>
    <s v="IJP"/>
    <n v="188035"/>
    <s v="Chris Mcbride"/>
    <d v="2020-06-12T00:00:00"/>
    <m/>
    <x v="4"/>
    <x v="1"/>
    <x v="0"/>
    <s v="Single"/>
    <x v="1"/>
    <x v="0"/>
    <n v="7"/>
    <x v="0"/>
    <x v="25"/>
    <x v="0"/>
  </r>
  <r>
    <x v="0"/>
    <m/>
    <n v="131049"/>
    <s v="Wesley Berger"/>
    <d v="2020-06-18T00:00:00"/>
    <m/>
    <x v="5"/>
    <x v="1"/>
    <x v="0"/>
    <s v="Single"/>
    <x v="2"/>
    <x v="0"/>
    <n v="13"/>
    <x v="0"/>
    <x v="26"/>
    <x v="0"/>
  </r>
  <r>
    <x v="1"/>
    <m/>
    <n v="180582"/>
    <s v="Bart Sims"/>
    <d v="2020-06-26T00:00:00"/>
    <d v="2021-06-30T00:00:00"/>
    <x v="4"/>
    <x v="1"/>
    <x v="1"/>
    <s v="Single"/>
    <x v="3"/>
    <x v="1"/>
    <n v="0"/>
    <x v="0"/>
    <x v="4"/>
    <x v="2"/>
  </r>
  <r>
    <x v="0"/>
    <m/>
    <n v="126718"/>
    <s v="Tricia Arroyo"/>
    <d v="2020-07-08T00:00:00"/>
    <m/>
    <x v="5"/>
    <x v="1"/>
    <x v="0"/>
    <s v="Single"/>
    <x v="1"/>
    <x v="1"/>
    <n v="6.5"/>
    <x v="0"/>
    <x v="26"/>
    <x v="0"/>
  </r>
  <r>
    <x v="0"/>
    <m/>
    <n v="192425"/>
    <s v="Kennith Barber"/>
    <d v="2020-07-24T00:00:00"/>
    <m/>
    <x v="0"/>
    <x v="1"/>
    <x v="0"/>
    <s v="Single"/>
    <x v="1"/>
    <x v="4"/>
    <n v="8"/>
    <x v="0"/>
    <x v="27"/>
    <x v="0"/>
  </r>
  <r>
    <x v="0"/>
    <m/>
    <n v="174008"/>
    <s v="Alonzo Harrison"/>
    <d v="2020-07-31T00:00:00"/>
    <m/>
    <x v="4"/>
    <x v="1"/>
    <x v="1"/>
    <s v="Single"/>
    <x v="1"/>
    <x v="1"/>
    <n v="12"/>
    <x v="0"/>
    <x v="27"/>
    <x v="0"/>
  </r>
  <r>
    <x v="1"/>
    <m/>
    <n v="129735"/>
    <s v="Ryan Simmons"/>
    <d v="2020-08-14T00:00:00"/>
    <d v="2022-06-29T00:00:00"/>
    <x v="5"/>
    <x v="1"/>
    <x v="0"/>
    <s v="Single"/>
    <x v="1"/>
    <x v="0"/>
    <n v="5"/>
    <x v="0"/>
    <x v="17"/>
    <x v="2"/>
  </r>
  <r>
    <x v="1"/>
    <m/>
    <n v="117328"/>
    <s v="Kirk Wagner"/>
    <d v="2020-08-26T00:00:00"/>
    <d v="2022-04-30T00:00:00"/>
    <x v="5"/>
    <x v="1"/>
    <x v="0"/>
    <s v="Married"/>
    <x v="1"/>
    <x v="0"/>
    <n v="4.8"/>
    <x v="0"/>
    <x v="28"/>
    <x v="2"/>
  </r>
  <r>
    <x v="0"/>
    <m/>
    <n v="110646"/>
    <s v="Zackary Tucker"/>
    <d v="2020-09-01T00:00:00"/>
    <m/>
    <x v="3"/>
    <x v="1"/>
    <x v="0"/>
    <s v="Married"/>
    <x v="1"/>
    <x v="4"/>
    <n v="9"/>
    <x v="0"/>
    <x v="29"/>
    <x v="0"/>
  </r>
  <r>
    <x v="0"/>
    <m/>
    <n v="114446"/>
    <s v="Roberto Ford"/>
    <d v="2020-09-01T00:00:00"/>
    <m/>
    <x v="6"/>
    <x v="1"/>
    <x v="0"/>
    <s v="Married"/>
    <x v="2"/>
    <x v="4"/>
    <n v="8"/>
    <x v="0"/>
    <x v="29"/>
    <x v="0"/>
  </r>
  <r>
    <x v="0"/>
    <m/>
    <n v="189125"/>
    <s v="Sadie Mcmahon"/>
    <d v="2020-09-01T00:00:00"/>
    <m/>
    <x v="1"/>
    <x v="1"/>
    <x v="0"/>
    <s v="Married"/>
    <x v="2"/>
    <x v="0"/>
    <n v="17"/>
    <x v="0"/>
    <x v="29"/>
    <x v="0"/>
  </r>
  <r>
    <x v="0"/>
    <s v="IJP"/>
    <n v="183930"/>
    <s v="Darla Parks"/>
    <d v="2020-09-01T00:00:00"/>
    <m/>
    <x v="1"/>
    <x v="1"/>
    <x v="0"/>
    <s v="Married"/>
    <x v="2"/>
    <x v="1"/>
    <n v="13"/>
    <x v="0"/>
    <x v="29"/>
    <x v="0"/>
  </r>
  <r>
    <x v="0"/>
    <m/>
    <n v="110730"/>
    <s v="Darryl Leon"/>
    <d v="2020-09-01T00:00:00"/>
    <m/>
    <x v="2"/>
    <x v="1"/>
    <x v="0"/>
    <s v="Single"/>
    <x v="2"/>
    <x v="4"/>
    <n v="13"/>
    <x v="0"/>
    <x v="29"/>
    <x v="0"/>
  </r>
  <r>
    <x v="0"/>
    <m/>
    <n v="131079"/>
    <s v="Letitia Church"/>
    <d v="2020-09-01T00:00:00"/>
    <m/>
    <x v="0"/>
    <x v="1"/>
    <x v="0"/>
    <s v="Single"/>
    <x v="2"/>
    <x v="0"/>
    <n v="13"/>
    <x v="0"/>
    <x v="29"/>
    <x v="0"/>
  </r>
  <r>
    <x v="0"/>
    <m/>
    <n v="180612"/>
    <s v="Collin Paul"/>
    <d v="2020-09-01T00:00:00"/>
    <m/>
    <x v="4"/>
    <x v="1"/>
    <x v="1"/>
    <s v="Single"/>
    <x v="3"/>
    <x v="1"/>
    <n v="0"/>
    <x v="0"/>
    <x v="29"/>
    <x v="0"/>
  </r>
  <r>
    <x v="1"/>
    <m/>
    <n v="154702"/>
    <s v="Frances Leblanc"/>
    <d v="2020-09-09T00:00:00"/>
    <d v="2024-01-20T00:00:00"/>
    <x v="5"/>
    <x v="1"/>
    <x v="1"/>
    <s v="Married"/>
    <x v="3"/>
    <x v="0"/>
    <n v="0"/>
    <x v="0"/>
    <x v="30"/>
    <x v="3"/>
  </r>
  <r>
    <x v="0"/>
    <m/>
    <n v="101286"/>
    <s v="Alexis Conway"/>
    <d v="2020-09-09T00:00:00"/>
    <m/>
    <x v="5"/>
    <x v="1"/>
    <x v="0"/>
    <s v="Single"/>
    <x v="2"/>
    <x v="2"/>
    <n v="14"/>
    <x v="0"/>
    <x v="29"/>
    <x v="0"/>
  </r>
  <r>
    <x v="1"/>
    <m/>
    <n v="137383"/>
    <s v="Roberta Moyer"/>
    <d v="2020-09-16T00:00:00"/>
    <d v="2021-03-03T00:00:00"/>
    <x v="3"/>
    <x v="1"/>
    <x v="0"/>
    <s v="Single"/>
    <x v="2"/>
    <x v="0"/>
    <n v="9"/>
    <x v="0"/>
    <x v="31"/>
    <x v="1"/>
  </r>
  <r>
    <x v="1"/>
    <m/>
    <n v="185704"/>
    <s v="Alejandra Mack"/>
    <d v="2020-09-16T00:00:00"/>
    <d v="2021-07-18T00:00:00"/>
    <x v="4"/>
    <x v="1"/>
    <x v="0"/>
    <s v="Single"/>
    <x v="3"/>
    <x v="5"/>
    <n v="0"/>
    <x v="0"/>
    <x v="12"/>
    <x v="1"/>
  </r>
  <r>
    <x v="1"/>
    <m/>
    <n v="151727"/>
    <s v="Chi Preston"/>
    <d v="2020-09-16T00:00:00"/>
    <d v="2023-06-29T00:00:00"/>
    <x v="4"/>
    <x v="1"/>
    <x v="0"/>
    <s v="Single"/>
    <x v="3"/>
    <x v="5"/>
    <n v="0"/>
    <x v="0"/>
    <x v="32"/>
    <x v="4"/>
  </r>
  <r>
    <x v="1"/>
    <m/>
    <n v="135167"/>
    <s v="Randolph Reilly"/>
    <d v="2020-09-16T00:00:00"/>
    <d v="2023-09-26T00:00:00"/>
    <x v="4"/>
    <x v="1"/>
    <x v="0"/>
    <s v="Single"/>
    <x v="3"/>
    <x v="5"/>
    <n v="0"/>
    <x v="0"/>
    <x v="33"/>
    <x v="3"/>
  </r>
  <r>
    <x v="1"/>
    <m/>
    <n v="100971"/>
    <s v="Howard Wiggins"/>
    <d v="2020-09-16T00:00:00"/>
    <d v="2023-12-23T00:00:00"/>
    <x v="4"/>
    <x v="1"/>
    <x v="0"/>
    <s v="Single"/>
    <x v="3"/>
    <x v="5"/>
    <n v="0"/>
    <x v="0"/>
    <x v="34"/>
    <x v="3"/>
  </r>
  <r>
    <x v="1"/>
    <m/>
    <n v="145787"/>
    <s v="Palmer Hart"/>
    <d v="2020-09-16T00:00:00"/>
    <d v="2024-01-27T00:00:00"/>
    <x v="4"/>
    <x v="1"/>
    <x v="1"/>
    <s v="Married"/>
    <x v="3"/>
    <x v="5"/>
    <n v="0"/>
    <x v="0"/>
    <x v="30"/>
    <x v="3"/>
  </r>
  <r>
    <x v="1"/>
    <m/>
    <n v="170924"/>
    <s v="Lesa Terrell"/>
    <d v="2020-09-16T00:00:00"/>
    <d v="2024-03-17T00:00:00"/>
    <x v="6"/>
    <x v="1"/>
    <x v="0"/>
    <s v="Single"/>
    <x v="3"/>
    <x v="5"/>
    <n v="0"/>
    <x v="0"/>
    <x v="35"/>
    <x v="3"/>
  </r>
  <r>
    <x v="1"/>
    <m/>
    <n v="129573"/>
    <s v="Celeste Moses"/>
    <d v="2020-09-16T00:00:00"/>
    <d v="2024-09-29T00:00:00"/>
    <x v="1"/>
    <x v="1"/>
    <x v="1"/>
    <s v="Single"/>
    <x v="1"/>
    <x v="5"/>
    <n v="0"/>
    <x v="0"/>
    <x v="36"/>
    <x v="5"/>
  </r>
  <r>
    <x v="0"/>
    <m/>
    <n v="115742"/>
    <s v="Leanne Mosley"/>
    <d v="2020-09-16T00:00:00"/>
    <m/>
    <x v="1"/>
    <x v="1"/>
    <x v="1"/>
    <s v="Single"/>
    <x v="1"/>
    <x v="5"/>
    <n v="0"/>
    <x v="0"/>
    <x v="37"/>
    <x v="0"/>
  </r>
  <r>
    <x v="0"/>
    <m/>
    <n v="126064"/>
    <s v="Renaldo Navarro"/>
    <d v="2020-09-16T00:00:00"/>
    <m/>
    <x v="1"/>
    <x v="1"/>
    <x v="1"/>
    <s v="Single"/>
    <x v="1"/>
    <x v="5"/>
    <n v="0"/>
    <x v="0"/>
    <x v="37"/>
    <x v="0"/>
  </r>
  <r>
    <x v="0"/>
    <m/>
    <n v="173140"/>
    <s v="Sonia Ortiz"/>
    <d v="2020-09-16T00:00:00"/>
    <m/>
    <x v="6"/>
    <x v="1"/>
    <x v="0"/>
    <s v="Single"/>
    <x v="1"/>
    <x v="5"/>
    <n v="0"/>
    <x v="0"/>
    <x v="37"/>
    <x v="0"/>
  </r>
  <r>
    <x v="1"/>
    <m/>
    <n v="181592"/>
    <s v="Faith Lopez"/>
    <d v="2020-10-16T00:00:00"/>
    <d v="2024-02-03T00:00:00"/>
    <x v="6"/>
    <x v="1"/>
    <x v="0"/>
    <s v="Married"/>
    <x v="2"/>
    <x v="5"/>
    <n v="12"/>
    <x v="0"/>
    <x v="34"/>
    <x v="3"/>
  </r>
  <r>
    <x v="1"/>
    <m/>
    <n v="144158"/>
    <s v="Kim Ramirez"/>
    <d v="2020-11-28T00:00:00"/>
    <d v="2023-03-31T00:00:00"/>
    <x v="0"/>
    <x v="1"/>
    <x v="0"/>
    <s v="Married"/>
    <x v="1"/>
    <x v="1"/>
    <n v="6"/>
    <x v="0"/>
    <x v="14"/>
    <x v="4"/>
  </r>
  <r>
    <x v="0"/>
    <m/>
    <n v="178955"/>
    <s v="Mariana Chavez"/>
    <d v="2020-12-02T00:00:00"/>
    <m/>
    <x v="6"/>
    <x v="1"/>
    <x v="0"/>
    <s v="Single"/>
    <x v="1"/>
    <x v="1"/>
    <n v="8"/>
    <x v="0"/>
    <x v="38"/>
    <x v="0"/>
  </r>
  <r>
    <x v="1"/>
    <m/>
    <n v="110616"/>
    <s v="Tracey Burch"/>
    <d v="2020-12-21T00:00:00"/>
    <d v="2022-03-31T00:00:00"/>
    <x v="0"/>
    <x v="1"/>
    <x v="0"/>
    <s v="Married"/>
    <x v="1"/>
    <x v="4"/>
    <n v="9"/>
    <x v="0"/>
    <x v="10"/>
    <x v="2"/>
  </r>
  <r>
    <x v="1"/>
    <m/>
    <n v="120981"/>
    <s v="Gabriela Juarez"/>
    <d v="2020-12-26T00:00:00"/>
    <d v="2023-07-01T00:00:00"/>
    <x v="0"/>
    <x v="1"/>
    <x v="1"/>
    <s v="Single"/>
    <x v="3"/>
    <x v="0"/>
    <n v="0"/>
    <x v="0"/>
    <x v="39"/>
    <x v="4"/>
  </r>
  <r>
    <x v="1"/>
    <m/>
    <n v="140182"/>
    <s v="Katheryn Trevino"/>
    <d v="2021-01-22T00:00:00"/>
    <d v="2022-03-15T00:00:00"/>
    <x v="4"/>
    <x v="1"/>
    <x v="1"/>
    <s v="Single"/>
    <x v="3"/>
    <x v="0"/>
    <n v="0"/>
    <x v="1"/>
    <x v="7"/>
    <x v="2"/>
  </r>
  <r>
    <x v="1"/>
    <m/>
    <n v="174057"/>
    <s v="Angelita Townsend"/>
    <d v="2021-01-22T00:00:00"/>
    <d v="2023-02-08T00:00:00"/>
    <x v="4"/>
    <x v="1"/>
    <x v="0"/>
    <s v="Married"/>
    <x v="1"/>
    <x v="0"/>
    <n v="6"/>
    <x v="1"/>
    <x v="16"/>
    <x v="4"/>
  </r>
  <r>
    <x v="1"/>
    <m/>
    <n v="124194"/>
    <s v="Damon Burgess"/>
    <d v="2021-01-29T00:00:00"/>
    <d v="2022-03-10T00:00:00"/>
    <x v="1"/>
    <x v="1"/>
    <x v="0"/>
    <s v="Married"/>
    <x v="2"/>
    <x v="1"/>
    <n v="13"/>
    <x v="1"/>
    <x v="7"/>
    <x v="2"/>
  </r>
  <r>
    <x v="1"/>
    <m/>
    <n v="185420"/>
    <s v="Olen Watts"/>
    <d v="2021-02-19T00:00:00"/>
    <d v="2023-09-30T00:00:00"/>
    <x v="2"/>
    <x v="1"/>
    <x v="0"/>
    <s v="Married"/>
    <x v="1"/>
    <x v="2"/>
    <n v="5"/>
    <x v="1"/>
    <x v="40"/>
    <x v="4"/>
  </r>
  <r>
    <x v="1"/>
    <m/>
    <n v="184945"/>
    <s v="Raymond Levine"/>
    <d v="2021-02-24T00:00:00"/>
    <d v="2022-07-06T00:00:00"/>
    <x v="1"/>
    <x v="1"/>
    <x v="0"/>
    <s v="Married"/>
    <x v="1"/>
    <x v="1"/>
    <n v="10"/>
    <x v="1"/>
    <x v="41"/>
    <x v="2"/>
  </r>
  <r>
    <x v="0"/>
    <m/>
    <n v="129852"/>
    <s v="Sally Hinton"/>
    <d v="2021-03-02T00:00:00"/>
    <m/>
    <x v="4"/>
    <x v="1"/>
    <x v="0"/>
    <s v="Single"/>
    <x v="2"/>
    <x v="0"/>
    <n v="10"/>
    <x v="1"/>
    <x v="42"/>
    <x v="0"/>
  </r>
  <r>
    <x v="1"/>
    <m/>
    <n v="139272"/>
    <s v="Katelyn Ware"/>
    <d v="2021-03-09T00:00:00"/>
    <d v="2023-06-30T00:00:00"/>
    <x v="0"/>
    <x v="1"/>
    <x v="1"/>
    <s v="Married"/>
    <x v="1"/>
    <x v="0"/>
    <n v="8"/>
    <x v="1"/>
    <x v="43"/>
    <x v="4"/>
  </r>
  <r>
    <x v="0"/>
    <m/>
    <n v="194976"/>
    <s v="Jessie Bowen"/>
    <d v="2021-03-16T00:00:00"/>
    <m/>
    <x v="4"/>
    <x v="1"/>
    <x v="1"/>
    <s v="Single"/>
    <x v="1"/>
    <x v="0"/>
    <n v="3.5"/>
    <x v="1"/>
    <x v="44"/>
    <x v="0"/>
  </r>
  <r>
    <x v="0"/>
    <m/>
    <n v="132557"/>
    <s v="Mac Marquez"/>
    <d v="2021-05-27T00:00:00"/>
    <m/>
    <x v="1"/>
    <x v="1"/>
    <x v="1"/>
    <s v="Single"/>
    <x v="1"/>
    <x v="2"/>
    <n v="7"/>
    <x v="1"/>
    <x v="45"/>
    <x v="5"/>
  </r>
  <r>
    <x v="1"/>
    <s v="OnRoll"/>
    <n v="187280"/>
    <s v="Spencer Webb"/>
    <d v="2021-08-10T00:00:00"/>
    <d v="2022-02-19T00:00:00"/>
    <x v="4"/>
    <x v="1"/>
    <x v="1"/>
    <s v="Single"/>
    <x v="3"/>
    <x v="0"/>
    <n v="0"/>
    <x v="1"/>
    <x v="46"/>
    <x v="1"/>
  </r>
  <r>
    <x v="0"/>
    <s v="OnRoll"/>
    <n v="190396"/>
    <s v="Valentin Mcdonald"/>
    <d v="2021-08-10T00:00:00"/>
    <m/>
    <x v="4"/>
    <x v="1"/>
    <x v="0"/>
    <s v="Single"/>
    <x v="3"/>
    <x v="0"/>
    <n v="0"/>
    <x v="1"/>
    <x v="47"/>
    <x v="5"/>
  </r>
  <r>
    <x v="2"/>
    <m/>
    <n v="161242"/>
    <s v="Royce Schneider"/>
    <d v="2021-08-12T00:00:00"/>
    <m/>
    <x v="3"/>
    <x v="1"/>
    <x v="0"/>
    <s v="Married"/>
    <x v="1"/>
    <x v="0"/>
    <n v="10"/>
    <x v="1"/>
    <x v="47"/>
    <x v="5"/>
  </r>
  <r>
    <x v="1"/>
    <m/>
    <n v="156965"/>
    <s v="Kara Mclean"/>
    <d v="2021-08-17T00:00:00"/>
    <d v="2022-03-16T00:00:00"/>
    <x v="4"/>
    <x v="1"/>
    <x v="1"/>
    <s v="Married"/>
    <x v="1"/>
    <x v="0"/>
    <n v="11"/>
    <x v="1"/>
    <x v="46"/>
    <x v="1"/>
  </r>
  <r>
    <x v="1"/>
    <m/>
    <n v="192455"/>
    <s v="Damian Mckee"/>
    <d v="2021-09-01T00:00:00"/>
    <d v="2021-09-06T00:00:00"/>
    <x v="0"/>
    <x v="1"/>
    <x v="0"/>
    <s v="Married"/>
    <x v="1"/>
    <x v="4"/>
    <n v="8"/>
    <x v="1"/>
    <x v="48"/>
    <x v="1"/>
  </r>
  <r>
    <x v="1"/>
    <m/>
    <n v="174038"/>
    <s v="Mohamed Duran"/>
    <d v="2021-09-01T00:00:00"/>
    <m/>
    <x v="4"/>
    <x v="1"/>
    <x v="1"/>
    <s v="Married"/>
    <x v="1"/>
    <x v="1"/>
    <n v="12"/>
    <x v="1"/>
    <x v="49"/>
    <x v="5"/>
  </r>
  <r>
    <x v="0"/>
    <m/>
    <n v="129765"/>
    <s v="Vera Harvey"/>
    <d v="2020-09-01T00:00:00"/>
    <d v="2021-03-27T00:00:00"/>
    <x v="0"/>
    <x v="1"/>
    <x v="0"/>
    <s v="Single"/>
    <x v="1"/>
    <x v="0"/>
    <n v="5"/>
    <x v="0"/>
    <x v="46"/>
    <x v="1"/>
  </r>
  <r>
    <x v="0"/>
    <m/>
    <n v="154732"/>
    <s v="Cristina David"/>
    <d v="2021-09-09T00:00:00"/>
    <m/>
    <x v="5"/>
    <x v="1"/>
    <x v="1"/>
    <s v="Single"/>
    <x v="3"/>
    <x v="0"/>
    <n v="0"/>
    <x v="1"/>
    <x v="49"/>
    <x v="5"/>
  </r>
  <r>
    <x v="0"/>
    <m/>
    <n v="137413"/>
    <s v="Florence Randall"/>
    <d v="2021-09-16T00:00:00"/>
    <m/>
    <x v="5"/>
    <x v="1"/>
    <x v="0"/>
    <s v="Single"/>
    <x v="2"/>
    <x v="0"/>
    <n v="9"/>
    <x v="1"/>
    <x v="50"/>
    <x v="5"/>
  </r>
  <r>
    <x v="0"/>
    <m/>
    <n v="185734"/>
    <s v="Andrea Logan"/>
    <d v="2021-09-16T00:00:00"/>
    <m/>
    <x v="4"/>
    <x v="1"/>
    <x v="0"/>
    <s v="Single"/>
    <x v="3"/>
    <x v="5"/>
    <n v="0"/>
    <x v="1"/>
    <x v="50"/>
    <x v="5"/>
  </r>
  <r>
    <x v="0"/>
    <m/>
    <n v="142749"/>
    <s v="Barrett Wallace"/>
    <d v="2021-09-30T00:00:00"/>
    <m/>
    <x v="4"/>
    <x v="1"/>
    <x v="0"/>
    <s v="Single"/>
    <x v="1"/>
    <x v="0"/>
    <n v="17"/>
    <x v="1"/>
    <x v="50"/>
    <x v="5"/>
  </r>
  <r>
    <x v="1"/>
    <m/>
    <n v="116657"/>
    <s v="Claude Ramsey"/>
    <d v="2021-10-21T00:00:00"/>
    <d v="2022-06-28T00:00:00"/>
    <x v="4"/>
    <x v="1"/>
    <x v="0"/>
    <s v="Single"/>
    <x v="1"/>
    <x v="0"/>
    <n v="4.5999999999999996"/>
    <x v="1"/>
    <x v="51"/>
    <x v="1"/>
  </r>
  <r>
    <x v="0"/>
    <m/>
    <n v="144530"/>
    <s v="Mason Wells"/>
    <d v="2021-11-18T00:00:00"/>
    <m/>
    <x v="4"/>
    <x v="1"/>
    <x v="0"/>
    <s v="Single"/>
    <x v="1"/>
    <x v="6"/>
    <n v="14"/>
    <x v="1"/>
    <x v="20"/>
    <x v="5"/>
  </r>
  <r>
    <x v="0"/>
    <m/>
    <n v="101259"/>
    <s v="Whitney Vance"/>
    <d v="2022-02-24T00:00:00"/>
    <m/>
    <x v="1"/>
    <x v="1"/>
    <x v="0"/>
    <s v="Married"/>
    <x v="2"/>
    <x v="0"/>
    <n v="12"/>
    <x v="2"/>
    <x v="52"/>
    <x v="5"/>
  </r>
  <r>
    <x v="0"/>
    <m/>
    <n v="122323"/>
    <s v="Bobbie Harvey"/>
    <d v="2022-03-03T00:00:00"/>
    <m/>
    <x v="2"/>
    <x v="1"/>
    <x v="1"/>
    <s v="Married"/>
    <x v="1"/>
    <x v="6"/>
    <n v="14"/>
    <x v="2"/>
    <x v="52"/>
    <x v="5"/>
  </r>
  <r>
    <x v="0"/>
    <m/>
    <n v="136489"/>
    <s v="Russel Fox"/>
    <d v="2022-03-17T00:00:00"/>
    <m/>
    <x v="4"/>
    <x v="1"/>
    <x v="0"/>
    <s v="Married"/>
    <x v="1"/>
    <x v="6"/>
    <n v="5.3"/>
    <x v="2"/>
    <x v="36"/>
    <x v="5"/>
  </r>
  <r>
    <x v="0"/>
    <m/>
    <n v="107161"/>
    <s v="Benita Holland"/>
    <d v="2022-03-24T00:00:00"/>
    <m/>
    <x v="0"/>
    <x v="1"/>
    <x v="1"/>
    <s v="Single"/>
    <x v="3"/>
    <x v="6"/>
    <n v="2.5"/>
    <x v="2"/>
    <x v="36"/>
    <x v="5"/>
  </r>
  <r>
    <x v="0"/>
    <m/>
    <n v="182061"/>
    <s v="Cory Leblanc"/>
    <d v="2022-03-24T00:00:00"/>
    <m/>
    <x v="4"/>
    <x v="1"/>
    <x v="0"/>
    <s v="Single"/>
    <x v="1"/>
    <x v="6"/>
    <n v="2.11"/>
    <x v="2"/>
    <x v="36"/>
    <x v="5"/>
  </r>
  <r>
    <x v="0"/>
    <m/>
    <n v="123190"/>
    <s v="Isaiah George"/>
    <d v="2022-04-07T00:00:00"/>
    <m/>
    <x v="4"/>
    <x v="1"/>
    <x v="1"/>
    <s v="Single"/>
    <x v="3"/>
    <x v="6"/>
    <n v="0"/>
    <x v="2"/>
    <x v="36"/>
    <x v="5"/>
  </r>
  <r>
    <x v="0"/>
    <m/>
    <n v="118638"/>
    <s v="Brad Nichols"/>
    <d v="2022-04-07T00:00:00"/>
    <m/>
    <x v="4"/>
    <x v="1"/>
    <x v="0"/>
    <s v="Married"/>
    <x v="1"/>
    <x v="6"/>
    <n v="15"/>
    <x v="2"/>
    <x v="36"/>
    <x v="5"/>
  </r>
  <r>
    <x v="0"/>
    <m/>
    <n v="132330"/>
    <s v="Quentin Mcdonald"/>
    <d v="2022-04-14T00:00:00"/>
    <m/>
    <x v="3"/>
    <x v="1"/>
    <x v="0"/>
    <s v="Married"/>
    <x v="2"/>
    <x v="5"/>
    <n v="14"/>
    <x v="2"/>
    <x v="36"/>
    <x v="5"/>
  </r>
  <r>
    <x v="0"/>
    <m/>
    <n v="191594"/>
    <s v="Johnie Pruitt"/>
    <d v="2022-04-19T00:00:00"/>
    <m/>
    <x v="2"/>
    <x v="1"/>
    <x v="0"/>
    <s v="Married"/>
    <x v="1"/>
    <x v="0"/>
    <n v="8"/>
    <x v="2"/>
    <x v="53"/>
    <x v="3"/>
  </r>
  <r>
    <x v="2"/>
    <m/>
    <n v="152991"/>
    <s v="Walker Whitney"/>
    <d v="2022-05-05T00:00:00"/>
    <m/>
    <x v="1"/>
    <x v="1"/>
    <x v="0"/>
    <s v="Married"/>
    <x v="1"/>
    <x v="0"/>
    <n v="15"/>
    <x v="2"/>
    <x v="53"/>
    <x v="3"/>
  </r>
  <r>
    <x v="1"/>
    <s v="OnRoll"/>
    <n v="101996"/>
    <s v="Alexander Fowler"/>
    <d v="2022-06-30T00:00:00"/>
    <d v="2023-07-01T00:00:00"/>
    <x v="1"/>
    <x v="1"/>
    <x v="0"/>
    <s v="Single"/>
    <x v="3"/>
    <x v="6"/>
    <n v="1"/>
    <x v="2"/>
    <x v="4"/>
    <x v="2"/>
  </r>
  <r>
    <x v="1"/>
    <m/>
    <n v="138939"/>
    <s v="Susanna Humphrey"/>
    <d v="2022-07-07T00:00:00"/>
    <d v="2023-05-08T00:00:00"/>
    <x v="1"/>
    <x v="1"/>
    <x v="1"/>
    <s v="Married"/>
    <x v="1"/>
    <x v="0"/>
    <n v="6"/>
    <x v="2"/>
    <x v="12"/>
    <x v="1"/>
  </r>
  <r>
    <x v="1"/>
    <m/>
    <n v="198396"/>
    <s v="Beth Lowe"/>
    <d v="2022-07-21T00:00:00"/>
    <d v="2024-02-02T00:00:00"/>
    <x v="1"/>
    <x v="1"/>
    <x v="0"/>
    <s v="Married"/>
    <x v="2"/>
    <x v="1"/>
    <n v="18"/>
    <x v="2"/>
    <x v="54"/>
    <x v="2"/>
  </r>
  <r>
    <x v="0"/>
    <m/>
    <n v="194143"/>
    <s v="Casandra Aguilar"/>
    <d v="2022-07-21T00:00:00"/>
    <m/>
    <x v="4"/>
    <x v="1"/>
    <x v="0"/>
    <s v="Married"/>
    <x v="1"/>
    <x v="6"/>
    <n v="6.5"/>
    <x v="2"/>
    <x v="55"/>
    <x v="3"/>
  </r>
  <r>
    <x v="2"/>
    <m/>
    <n v="134729"/>
    <s v="Lynn Andersen"/>
    <d v="2022-07-26T00:00:00"/>
    <m/>
    <x v="1"/>
    <x v="1"/>
    <x v="0"/>
    <s v="Single"/>
    <x v="1"/>
    <x v="0"/>
    <n v="7"/>
    <x v="2"/>
    <x v="55"/>
    <x v="3"/>
  </r>
  <r>
    <x v="1"/>
    <m/>
    <n v="186526"/>
    <s v="Leola Vega"/>
    <d v="2022-09-01T00:00:00"/>
    <d v="2023-12-09T00:00:00"/>
    <x v="4"/>
    <x v="1"/>
    <x v="1"/>
    <s v="Married"/>
    <x v="3"/>
    <x v="6"/>
    <n v="1.8"/>
    <x v="2"/>
    <x v="10"/>
    <x v="2"/>
  </r>
  <r>
    <x v="0"/>
    <m/>
    <n v="115395"/>
    <s v="Hillary Spencer"/>
    <d v="2022-09-01T00:00:00"/>
    <m/>
    <x v="4"/>
    <x v="1"/>
    <x v="1"/>
    <s v="Single"/>
    <x v="3"/>
    <x v="6"/>
    <n v="3.5"/>
    <x v="2"/>
    <x v="9"/>
    <x v="3"/>
  </r>
  <r>
    <x v="0"/>
    <m/>
    <n v="160948"/>
    <s v="Joesph Jones"/>
    <d v="2022-09-01T00:00:00"/>
    <m/>
    <x v="4"/>
    <x v="1"/>
    <x v="1"/>
    <s v="Single"/>
    <x v="3"/>
    <x v="6"/>
    <n v="0"/>
    <x v="2"/>
    <x v="9"/>
    <x v="3"/>
  </r>
  <r>
    <x v="0"/>
    <m/>
    <n v="163814"/>
    <s v="Otha May"/>
    <d v="2022-09-01T00:00:00"/>
    <m/>
    <x v="0"/>
    <x v="1"/>
    <x v="0"/>
    <s v="Single"/>
    <x v="3"/>
    <x v="6"/>
    <n v="2"/>
    <x v="2"/>
    <x v="9"/>
    <x v="3"/>
  </r>
  <r>
    <x v="0"/>
    <m/>
    <n v="163161"/>
    <s v="Ophelia Black"/>
    <d v="2022-09-01T00:00:00"/>
    <m/>
    <x v="4"/>
    <x v="1"/>
    <x v="0"/>
    <s v="Married"/>
    <x v="1"/>
    <x v="6"/>
    <n v="13"/>
    <x v="2"/>
    <x v="9"/>
    <x v="3"/>
  </r>
  <r>
    <x v="0"/>
    <m/>
    <n v="173240"/>
    <s v="Helena Williamson"/>
    <d v="2022-09-15T00:00:00"/>
    <m/>
    <x v="0"/>
    <x v="1"/>
    <x v="1"/>
    <s v="Married"/>
    <x v="1"/>
    <x v="6"/>
    <n v="8.1999999999999993"/>
    <x v="2"/>
    <x v="9"/>
    <x v="3"/>
  </r>
  <r>
    <x v="0"/>
    <m/>
    <n v="109673"/>
    <s v="Megan Kent"/>
    <d v="2022-10-06T00:00:00"/>
    <m/>
    <x v="4"/>
    <x v="1"/>
    <x v="0"/>
    <s v="Single"/>
    <x v="3"/>
    <x v="6"/>
    <n v="7.6"/>
    <x v="2"/>
    <x v="35"/>
    <x v="3"/>
  </r>
  <r>
    <x v="0"/>
    <m/>
    <n v="138302"/>
    <s v="Rufus Escobar"/>
    <d v="2022-10-13T00:00:00"/>
    <m/>
    <x v="4"/>
    <x v="1"/>
    <x v="0"/>
    <s v="Single"/>
    <x v="3"/>
    <x v="6"/>
    <n v="6.2"/>
    <x v="2"/>
    <x v="35"/>
    <x v="3"/>
  </r>
  <r>
    <x v="2"/>
    <m/>
    <n v="126765"/>
    <s v="Ericka Hurst"/>
    <d v="2022-11-03T00:00:00"/>
    <m/>
    <x v="1"/>
    <x v="1"/>
    <x v="0"/>
    <s v="Married"/>
    <x v="1"/>
    <x v="0"/>
    <n v="15"/>
    <x v="2"/>
    <x v="11"/>
    <x v="3"/>
  </r>
  <r>
    <x v="2"/>
    <m/>
    <n v="188099"/>
    <s v="Johnny Cisneros"/>
    <d v="2022-12-06T00:00:00"/>
    <m/>
    <x v="1"/>
    <x v="1"/>
    <x v="0"/>
    <s v="Married"/>
    <x v="1"/>
    <x v="0"/>
    <n v="16"/>
    <x v="2"/>
    <x v="30"/>
    <x v="3"/>
  </r>
  <r>
    <x v="0"/>
    <s v="OnRoll"/>
    <n v="115441"/>
    <s v="Alba Norton"/>
    <d v="2023-02-01T00:00:00"/>
    <m/>
    <x v="1"/>
    <x v="1"/>
    <x v="0"/>
    <s v="Single"/>
    <x v="3"/>
    <x v="4"/>
    <n v="1.5"/>
    <x v="3"/>
    <x v="56"/>
    <x v="3"/>
  </r>
  <r>
    <x v="0"/>
    <s v="OnRoll"/>
    <n v="169669"/>
    <s v="Sanford Patterson"/>
    <d v="2023-04-11T00:00:00"/>
    <m/>
    <x v="1"/>
    <x v="1"/>
    <x v="1"/>
    <s v="Married"/>
    <x v="1"/>
    <x v="2"/>
    <n v="6"/>
    <x v="3"/>
    <x v="33"/>
    <x v="3"/>
  </r>
  <r>
    <x v="0"/>
    <m/>
    <n v="100957"/>
    <s v="Blanche Greer"/>
    <d v="2023-04-20T00:00:00"/>
    <m/>
    <x v="1"/>
    <x v="1"/>
    <x v="1"/>
    <s v="Married"/>
    <x v="1"/>
    <x v="0"/>
    <n v="8"/>
    <x v="3"/>
    <x v="57"/>
    <x v="4"/>
  </r>
  <r>
    <x v="2"/>
    <m/>
    <n v="193737"/>
    <s v="Nita Powers"/>
    <d v="2023-05-11T00:00:00"/>
    <m/>
    <x v="1"/>
    <x v="1"/>
    <x v="0"/>
    <s v="Married"/>
    <x v="1"/>
    <x v="0"/>
    <n v="11.5"/>
    <x v="3"/>
    <x v="57"/>
    <x v="4"/>
  </r>
  <r>
    <x v="0"/>
    <m/>
    <n v="180698"/>
    <s v="Francesco Blanchard"/>
    <d v="2023-05-18T00:00:00"/>
    <m/>
    <x v="1"/>
    <x v="1"/>
    <x v="0"/>
    <s v="Single"/>
    <x v="1"/>
    <x v="0"/>
    <n v="3.5"/>
    <x v="3"/>
    <x v="58"/>
    <x v="4"/>
  </r>
  <r>
    <x v="1"/>
    <m/>
    <n v="124433"/>
    <s v="Elias Davis"/>
    <d v="2023-06-01T00:00:00"/>
    <d v="2023-07-11T00:00:00"/>
    <x v="4"/>
    <x v="1"/>
    <x v="1"/>
    <s v="Single"/>
    <x v="3"/>
    <x v="5"/>
    <n v="0"/>
    <x v="3"/>
    <x v="59"/>
    <x v="1"/>
  </r>
  <r>
    <x v="0"/>
    <s v="OnRoll"/>
    <n v="151636"/>
    <s v="Lucio Christian"/>
    <d v="2023-06-06T00:00:00"/>
    <m/>
    <x v="1"/>
    <x v="1"/>
    <x v="0"/>
    <s v="Single"/>
    <x v="3"/>
    <x v="5"/>
    <n v="1.8"/>
    <x v="3"/>
    <x v="58"/>
    <x v="4"/>
  </r>
  <r>
    <x v="0"/>
    <s v="OnRoll"/>
    <n v="173529"/>
    <s v="Greg Schaefer"/>
    <d v="2023-06-06T00:00:00"/>
    <m/>
    <x v="1"/>
    <x v="1"/>
    <x v="1"/>
    <s v="Single"/>
    <x v="3"/>
    <x v="5"/>
    <n v="1.5"/>
    <x v="3"/>
    <x v="58"/>
    <x v="4"/>
  </r>
  <r>
    <x v="0"/>
    <s v="OnRoll"/>
    <n v="116633"/>
    <s v="Adriana Little"/>
    <d v="2023-06-06T00:00:00"/>
    <m/>
    <x v="1"/>
    <x v="1"/>
    <x v="1"/>
    <s v="Single"/>
    <x v="3"/>
    <x v="5"/>
    <n v="0.11"/>
    <x v="3"/>
    <x v="58"/>
    <x v="4"/>
  </r>
  <r>
    <x v="0"/>
    <s v="OnRoll"/>
    <n v="160990"/>
    <s v="Abdul Khan"/>
    <d v="2023-06-06T00:00:00"/>
    <m/>
    <x v="1"/>
    <x v="1"/>
    <x v="0"/>
    <s v="Single"/>
    <x v="3"/>
    <x v="5"/>
    <n v="0"/>
    <x v="3"/>
    <x v="58"/>
    <x v="4"/>
  </r>
  <r>
    <x v="1"/>
    <m/>
    <n v="170513"/>
    <s v="Marissa Mckee"/>
    <d v="2023-06-08T00:00:00"/>
    <d v="2024-03-31T00:00:00"/>
    <x v="1"/>
    <x v="1"/>
    <x v="1"/>
    <s v="Single"/>
    <x v="1"/>
    <x v="0"/>
    <n v="7"/>
    <x v="3"/>
    <x v="8"/>
    <x v="1"/>
  </r>
  <r>
    <x v="0"/>
    <m/>
    <n v="167822"/>
    <s v="Ashlee Ortega"/>
    <d v="2023-06-29T00:00:00"/>
    <m/>
    <x v="1"/>
    <x v="1"/>
    <x v="0"/>
    <s v="Married"/>
    <x v="3"/>
    <x v="5"/>
    <n v="7"/>
    <x v="3"/>
    <x v="32"/>
    <x v="4"/>
  </r>
  <r>
    <x v="0"/>
    <m/>
    <n v="161037"/>
    <s v="Edmund Lawson"/>
    <d v="2023-07-04T00:00:00"/>
    <m/>
    <x v="1"/>
    <x v="1"/>
    <x v="1"/>
    <s v="Single"/>
    <x v="3"/>
    <x v="0"/>
    <n v="5"/>
    <x v="3"/>
    <x v="32"/>
    <x v="4"/>
  </r>
  <r>
    <x v="0"/>
    <m/>
    <n v="153255"/>
    <s v="Linda Jacobs"/>
    <d v="2023-07-13T00:00:00"/>
    <m/>
    <x v="1"/>
    <x v="1"/>
    <x v="1"/>
    <s v="Single"/>
    <x v="3"/>
    <x v="2"/>
    <n v="3.8"/>
    <x v="3"/>
    <x v="32"/>
    <x v="4"/>
  </r>
  <r>
    <x v="0"/>
    <m/>
    <n v="123179"/>
    <s v="Kelley Harding"/>
    <d v="2023-07-18T00:00:00"/>
    <m/>
    <x v="1"/>
    <x v="1"/>
    <x v="1"/>
    <s v="Single"/>
    <x v="1"/>
    <x v="5"/>
    <n v="6.5"/>
    <x v="3"/>
    <x v="60"/>
    <x v="4"/>
  </r>
  <r>
    <x v="0"/>
    <m/>
    <n v="189554"/>
    <s v="Rose Carney"/>
    <d v="2023-07-27T00:00:00"/>
    <m/>
    <x v="1"/>
    <x v="1"/>
    <x v="1"/>
    <s v="Married"/>
    <x v="1"/>
    <x v="5"/>
    <n v="8"/>
    <x v="3"/>
    <x v="60"/>
    <x v="4"/>
  </r>
  <r>
    <x v="0"/>
    <m/>
    <n v="186786"/>
    <s v="Emery Goodwin"/>
    <d v="2023-08-01T00:00:00"/>
    <m/>
    <x v="0"/>
    <x v="1"/>
    <x v="1"/>
    <s v="Single"/>
    <x v="3"/>
    <x v="6"/>
    <n v="1.5"/>
    <x v="3"/>
    <x v="60"/>
    <x v="4"/>
  </r>
  <r>
    <x v="0"/>
    <m/>
    <n v="186818"/>
    <s v="Derick Singh"/>
    <d v="2023-08-03T00:00:00"/>
    <m/>
    <x v="0"/>
    <x v="1"/>
    <x v="0"/>
    <s v="Single"/>
    <x v="1"/>
    <x v="6"/>
    <n v="7"/>
    <x v="3"/>
    <x v="60"/>
    <x v="4"/>
  </r>
  <r>
    <x v="0"/>
    <m/>
    <n v="147963"/>
    <s v="Hassan Wilcox"/>
    <d v="2023-08-16T00:00:00"/>
    <m/>
    <x v="1"/>
    <x v="1"/>
    <x v="1"/>
    <s v="Married"/>
    <x v="1"/>
    <x v="0"/>
    <n v="15"/>
    <x v="3"/>
    <x v="40"/>
    <x v="4"/>
  </r>
  <r>
    <x v="0"/>
    <m/>
    <n v="150614"/>
    <s v="Natalie Serrano"/>
    <d v="2023-09-12T00:00:00"/>
    <m/>
    <x v="1"/>
    <x v="1"/>
    <x v="0"/>
    <s v="Married"/>
    <x v="1"/>
    <x v="4"/>
    <n v="10.7"/>
    <x v="3"/>
    <x v="40"/>
    <x v="4"/>
  </r>
  <r>
    <x v="0"/>
    <m/>
    <n v="137151"/>
    <s v="Sandy Singleton"/>
    <d v="2023-09-26T00:00:00"/>
    <m/>
    <x v="4"/>
    <x v="1"/>
    <x v="1"/>
    <s v="Single"/>
    <x v="3"/>
    <x v="6"/>
    <n v="2"/>
    <x v="3"/>
    <x v="39"/>
    <x v="4"/>
  </r>
  <r>
    <x v="0"/>
    <s v="OnRoll"/>
    <n v="173998"/>
    <s v="Josiah Hart"/>
    <d v="2023-10-28T00:00:00"/>
    <m/>
    <x v="1"/>
    <x v="1"/>
    <x v="0"/>
    <s v="Single"/>
    <x v="1"/>
    <x v="1"/>
    <n v="5.3"/>
    <x v="3"/>
    <x v="13"/>
    <x v="4"/>
  </r>
  <r>
    <x v="0"/>
    <s v="OnRoll"/>
    <n v="103925"/>
    <s v="Wayne Hartman"/>
    <d v="2023-11-30T00:00:00"/>
    <m/>
    <x v="1"/>
    <x v="1"/>
    <x v="0"/>
    <s v="Married"/>
    <x v="3"/>
    <x v="3"/>
    <n v="4.5"/>
    <x v="3"/>
    <x v="14"/>
    <x v="4"/>
  </r>
  <r>
    <x v="0"/>
    <m/>
    <n v="118694"/>
    <s v="Sallie Carpenter"/>
    <d v="2023-12-05T00:00:00"/>
    <m/>
    <x v="1"/>
    <x v="1"/>
    <x v="0"/>
    <s v="Single"/>
    <x v="3"/>
    <x v="3"/>
    <n v="3.5"/>
    <x v="3"/>
    <x v="14"/>
    <x v="4"/>
  </r>
  <r>
    <x v="0"/>
    <m/>
    <n v="195849"/>
    <s v="Allen Walters"/>
    <d v="2023-12-05T00:00:00"/>
    <m/>
    <x v="1"/>
    <x v="1"/>
    <x v="1"/>
    <s v="Single"/>
    <x v="3"/>
    <x v="3"/>
    <n v="1.5"/>
    <x v="3"/>
    <x v="14"/>
    <x v="4"/>
  </r>
  <r>
    <x v="0"/>
    <m/>
    <n v="182665"/>
    <s v="Flora Bass"/>
    <d v="2023-12-07T00:00:00"/>
    <m/>
    <x v="1"/>
    <x v="1"/>
    <x v="1"/>
    <s v="Married"/>
    <x v="1"/>
    <x v="2"/>
    <n v="10.9"/>
    <x v="3"/>
    <x v="14"/>
    <x v="4"/>
  </r>
  <r>
    <x v="0"/>
    <m/>
    <n v="151067"/>
    <s v="Geneva Hardy"/>
    <d v="2023-12-12T00:00:00"/>
    <m/>
    <x v="2"/>
    <x v="1"/>
    <x v="1"/>
    <s v="Married"/>
    <x v="3"/>
    <x v="5"/>
    <n v="2.8"/>
    <x v="3"/>
    <x v="14"/>
    <x v="4"/>
  </r>
  <r>
    <x v="0"/>
    <s v="OnRoll"/>
    <n v="188212"/>
    <s v="Roberto Harper"/>
    <d v="2023-12-14T00:00:00"/>
    <m/>
    <x v="1"/>
    <x v="1"/>
    <x v="0"/>
    <s v="Married"/>
    <x v="1"/>
    <x v="2"/>
    <n v="7.5"/>
    <x v="3"/>
    <x v="14"/>
    <x v="4"/>
  </r>
  <r>
    <x v="0"/>
    <s v="OnRoll"/>
    <n v="188527"/>
    <s v="Isabella Miles"/>
    <d v="2023-12-14T00:00:00"/>
    <m/>
    <x v="1"/>
    <x v="1"/>
    <x v="1"/>
    <s v="Single"/>
    <x v="3"/>
    <x v="3"/>
    <n v="10"/>
    <x v="3"/>
    <x v="14"/>
    <x v="4"/>
  </r>
  <r>
    <x v="0"/>
    <m/>
    <n v="151539"/>
    <s v="Consuelo Beck"/>
    <d v="2023-12-19T00:00:00"/>
    <m/>
    <x v="1"/>
    <x v="1"/>
    <x v="1"/>
    <s v="Single"/>
    <x v="3"/>
    <x v="3"/>
    <n v="0"/>
    <x v="3"/>
    <x v="43"/>
    <x v="4"/>
  </r>
  <r>
    <x v="0"/>
    <m/>
    <n v="148895"/>
    <s v="Barney Velasquez"/>
    <d v="2023-12-28T00:00:00"/>
    <m/>
    <x v="2"/>
    <x v="1"/>
    <x v="1"/>
    <s v="Single"/>
    <x v="3"/>
    <x v="5"/>
    <n v="0"/>
    <x v="3"/>
    <x v="43"/>
    <x v="4"/>
  </r>
  <r>
    <x v="0"/>
    <s v="OnRoll"/>
    <n v="114477"/>
    <s v="Jamaal Delgado"/>
    <d v="2024-01-04T00:00:00"/>
    <m/>
    <x v="1"/>
    <x v="1"/>
    <x v="0"/>
    <s v="Single"/>
    <x v="3"/>
    <x v="3"/>
    <n v="1.6"/>
    <x v="4"/>
    <x v="43"/>
    <x v="4"/>
  </r>
  <r>
    <x v="0"/>
    <m/>
    <n v="170085"/>
    <s v="Glenda Ayers"/>
    <d v="2024-01-11T00:00:00"/>
    <m/>
    <x v="1"/>
    <x v="1"/>
    <x v="0"/>
    <s v="Single"/>
    <x v="3"/>
    <x v="3"/>
    <n v="3.5"/>
    <x v="4"/>
    <x v="43"/>
    <x v="4"/>
  </r>
  <r>
    <x v="0"/>
    <m/>
    <n v="148355"/>
    <s v="Vonda Chandler"/>
    <d v="2024-01-11T00:00:00"/>
    <m/>
    <x v="0"/>
    <x v="1"/>
    <x v="0"/>
    <s v="Single"/>
    <x v="3"/>
    <x v="5"/>
    <n v="14"/>
    <x v="4"/>
    <x v="43"/>
    <x v="4"/>
  </r>
  <r>
    <x v="0"/>
    <m/>
    <n v="132724"/>
    <s v="Elma Perkins"/>
    <d v="2024-01-23T00:00:00"/>
    <m/>
    <x v="3"/>
    <x v="1"/>
    <x v="0"/>
    <s v="Single"/>
    <x v="3"/>
    <x v="3"/>
    <n v="0.6"/>
    <x v="4"/>
    <x v="15"/>
    <x v="4"/>
  </r>
  <r>
    <x v="0"/>
    <m/>
    <n v="136024"/>
    <s v="Irving Good"/>
    <d v="2024-01-23T00:00:00"/>
    <m/>
    <x v="4"/>
    <x v="1"/>
    <x v="0"/>
    <s v="Single"/>
    <x v="2"/>
    <x v="5"/>
    <n v="14"/>
    <x v="4"/>
    <x v="15"/>
    <x v="4"/>
  </r>
  <r>
    <x v="0"/>
    <s v="OnRoll"/>
    <n v="186654"/>
    <s v="Carlo Stephens"/>
    <d v="2024-02-01T00:00:00"/>
    <m/>
    <x v="1"/>
    <x v="1"/>
    <x v="1"/>
    <s v="Single"/>
    <x v="3"/>
    <x v="5"/>
    <n v="3.3"/>
    <x v="4"/>
    <x v="15"/>
    <x v="4"/>
  </r>
  <r>
    <x v="0"/>
    <m/>
    <n v="140505"/>
    <s v="Fermin Maddox"/>
    <d v="2024-02-01T00:00:00"/>
    <m/>
    <x v="0"/>
    <x v="1"/>
    <x v="1"/>
    <s v="Single"/>
    <x v="3"/>
    <x v="5"/>
    <n v="13"/>
    <x v="4"/>
    <x v="15"/>
    <x v="4"/>
  </r>
  <r>
    <x v="0"/>
    <m/>
    <n v="166500"/>
    <s v="Wendell Bonilla"/>
    <d v="2024-02-06T00:00:00"/>
    <m/>
    <x v="1"/>
    <x v="1"/>
    <x v="1"/>
    <s v="Single"/>
    <x v="3"/>
    <x v="2"/>
    <n v="1.5"/>
    <x v="4"/>
    <x v="15"/>
    <x v="4"/>
  </r>
  <r>
    <x v="0"/>
    <s v="OnRoll"/>
    <n v="196256"/>
    <s v="Hank Copeland"/>
    <d v="2024-03-15T00:00:00"/>
    <m/>
    <x v="1"/>
    <x v="1"/>
    <x v="1"/>
    <s v="Married"/>
    <x v="3"/>
    <x v="5"/>
    <n v="3"/>
    <x v="4"/>
    <x v="61"/>
    <x v="4"/>
  </r>
  <r>
    <x v="0"/>
    <m/>
    <n v="107622"/>
    <s v="Luciano Arnold"/>
    <d v="2024-03-15T00:00:00"/>
    <m/>
    <x v="4"/>
    <x v="1"/>
    <x v="1"/>
    <s v="Single"/>
    <x v="1"/>
    <x v="5"/>
    <n v="13"/>
    <x v="4"/>
    <x v="61"/>
    <x v="4"/>
  </r>
  <r>
    <x v="0"/>
    <m/>
    <n v="140845"/>
    <s v="Aimee Freeman"/>
    <d v="2024-03-23T00:00:00"/>
    <m/>
    <x v="2"/>
    <x v="1"/>
    <x v="0"/>
    <s v="Single"/>
    <x v="1"/>
    <x v="5"/>
    <n v="10"/>
    <x v="4"/>
    <x v="16"/>
    <x v="4"/>
  </r>
  <r>
    <x v="0"/>
    <m/>
    <n v="196163"/>
    <s v="Jarrett Henson"/>
    <d v="2024-03-23T00:00:00"/>
    <m/>
    <x v="3"/>
    <x v="1"/>
    <x v="0"/>
    <s v="Single"/>
    <x v="3"/>
    <x v="5"/>
    <n v="6.8"/>
    <x v="4"/>
    <x v="16"/>
    <x v="4"/>
  </r>
  <r>
    <x v="0"/>
    <m/>
    <n v="143527"/>
    <s v="Garland Barber"/>
    <d v="2024-03-23T00:00:00"/>
    <m/>
    <x v="0"/>
    <x v="1"/>
    <x v="0"/>
    <s v="Married"/>
    <x v="2"/>
    <x v="3"/>
    <n v="7"/>
    <x v="4"/>
    <x v="16"/>
    <x v="4"/>
  </r>
  <r>
    <x v="0"/>
    <m/>
    <n v="121781"/>
    <s v="Filiberto Baird"/>
    <d v="2024-03-23T00:00:00"/>
    <m/>
    <x v="0"/>
    <x v="1"/>
    <x v="0"/>
    <s v="Single"/>
    <x v="2"/>
    <x v="3"/>
    <n v="13"/>
    <x v="4"/>
    <x v="16"/>
    <x v="4"/>
  </r>
  <r>
    <x v="0"/>
    <s v="OnRoll"/>
    <n v="190716"/>
    <s v="Reed Pena"/>
    <d v="2024-04-03T00:00:00"/>
    <m/>
    <x v="2"/>
    <x v="1"/>
    <x v="1"/>
    <s v="Married"/>
    <x v="3"/>
    <x v="3"/>
    <n v="4"/>
    <x v="4"/>
    <x v="16"/>
    <x v="4"/>
  </r>
  <r>
    <x v="0"/>
    <m/>
    <n v="131453"/>
    <s v="Cecile Garner"/>
    <d v="2024-04-03T00:00:00"/>
    <m/>
    <x v="4"/>
    <x v="1"/>
    <x v="0"/>
    <s v="Single"/>
    <x v="3"/>
    <x v="0"/>
    <n v="8"/>
    <x v="4"/>
    <x v="16"/>
    <x v="4"/>
  </r>
  <r>
    <x v="0"/>
    <m/>
    <n v="133611"/>
    <s v="Art Kim"/>
    <d v="2024-04-19T00:00:00"/>
    <m/>
    <x v="4"/>
    <x v="1"/>
    <x v="1"/>
    <s v="Single"/>
    <x v="3"/>
    <x v="6"/>
    <n v="0"/>
    <x v="4"/>
    <x v="62"/>
    <x v="2"/>
  </r>
  <r>
    <x v="0"/>
    <m/>
    <n v="158773"/>
    <s v="Grover Kramer"/>
    <d v="2024-05-15T00:00:00"/>
    <m/>
    <x v="2"/>
    <x v="1"/>
    <x v="0"/>
    <s v="Single"/>
    <x v="3"/>
    <x v="3"/>
    <n v="3"/>
    <x v="4"/>
    <x v="62"/>
    <x v="2"/>
  </r>
  <r>
    <x v="0"/>
    <m/>
    <n v="109333"/>
    <s v="Milan Pope"/>
    <d v="2024-05-22T00:00:00"/>
    <m/>
    <x v="1"/>
    <x v="1"/>
    <x v="0"/>
    <s v="Married"/>
    <x v="1"/>
    <x v="2"/>
    <n v="10"/>
    <x v="4"/>
    <x v="17"/>
    <x v="2"/>
  </r>
  <r>
    <x v="0"/>
    <m/>
    <n v="165233"/>
    <s v="Randal Mata"/>
    <d v="2024-06-12T00:00:00"/>
    <m/>
    <x v="1"/>
    <x v="1"/>
    <x v="0"/>
    <s v="Single"/>
    <x v="3"/>
    <x v="3"/>
    <n v="1.2"/>
    <x v="4"/>
    <x v="17"/>
    <x v="2"/>
  </r>
  <r>
    <x v="0"/>
    <s v="OnRoll"/>
    <n v="103360"/>
    <s v="Pete Arroyo"/>
    <d v="2024-10-04T00:00:00"/>
    <m/>
    <x v="1"/>
    <x v="1"/>
    <x v="1"/>
    <s v="Single"/>
    <x v="3"/>
    <x v="5"/>
    <n v="0.11"/>
    <x v="4"/>
    <x v="54"/>
    <x v="2"/>
  </r>
  <r>
    <x v="0"/>
    <m/>
    <n v="168841"/>
    <s v="Jefferson Perry"/>
    <d v="2024-10-04T00:00:00"/>
    <m/>
    <x v="1"/>
    <x v="1"/>
    <x v="0"/>
    <s v="Married"/>
    <x v="2"/>
    <x v="6"/>
    <n v="19"/>
    <x v="4"/>
    <x v="54"/>
    <x v="2"/>
  </r>
  <r>
    <x v="1"/>
    <m/>
    <n v="123680"/>
    <s v="Luna Sanders"/>
    <d v="2025-01-01T00:00:00"/>
    <m/>
    <x v="6"/>
    <x v="1"/>
    <x v="1"/>
    <s v="Single"/>
    <x v="3"/>
    <x v="0"/>
    <n v="0"/>
    <x v="5"/>
    <x v="10"/>
    <x v="2"/>
  </r>
  <r>
    <x v="0"/>
    <m/>
    <n v="136555"/>
    <s v="Santos Mooney"/>
    <d v="2025-01-05T00:00:00"/>
    <m/>
    <x v="6"/>
    <x v="1"/>
    <x v="0"/>
    <s v="Married"/>
    <x v="2"/>
    <x v="1"/>
    <n v="5"/>
    <x v="5"/>
    <x v="10"/>
    <x v="2"/>
  </r>
  <r>
    <x v="0"/>
    <m/>
    <n v="109886"/>
    <s v="Theodore Dinh"/>
    <d v="2025-01-07T00:00:00"/>
    <m/>
    <x v="6"/>
    <x v="1"/>
    <x v="1"/>
    <s v="Married"/>
    <x v="2"/>
    <x v="0"/>
    <n v="14"/>
    <x v="5"/>
    <x v="10"/>
    <x v="2"/>
  </r>
  <r>
    <x v="0"/>
    <m/>
    <n v="135596"/>
    <s v="Austin Vo"/>
    <d v="2025-01-14T00:00:00"/>
    <m/>
    <x v="2"/>
    <x v="1"/>
    <x v="0"/>
    <s v="Single"/>
    <x v="1"/>
    <x v="0"/>
    <n v="0"/>
    <x v="5"/>
    <x v="10"/>
    <x v="2"/>
  </r>
  <r>
    <x v="0"/>
    <m/>
    <n v="102045"/>
    <s v="Jermaine Benitez"/>
    <d v="2025-03-04T00:00:00"/>
    <m/>
    <x v="1"/>
    <x v="1"/>
    <x v="1"/>
    <s v="Single"/>
    <x v="2"/>
    <x v="1"/>
    <n v="17"/>
    <x v="5"/>
    <x v="7"/>
    <x v="2"/>
  </r>
  <r>
    <x v="0"/>
    <m/>
    <n v="137966"/>
    <s v="Joshua Gupta"/>
    <d v="2025-07-14T00:00:00"/>
    <m/>
    <x v="1"/>
    <x v="1"/>
    <x v="0"/>
    <s v="Married"/>
    <x v="1"/>
    <x v="0"/>
    <n v="9"/>
    <x v="5"/>
    <x v="8"/>
    <x v="1"/>
  </r>
  <r>
    <x v="0"/>
    <m/>
    <n v="146341"/>
    <s v="Dave Armstrong"/>
    <d v="2025-07-19T00:00:00"/>
    <m/>
    <x v="1"/>
    <x v="1"/>
    <x v="1"/>
    <s v="Married"/>
    <x v="1"/>
    <x v="0"/>
    <n v="13"/>
    <x v="5"/>
    <x v="5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8D10CE-A4A5-4DCF-8D8E-155C6119A4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6">
    <pivotField dataField="1" showAll="0"/>
    <pivotField showAll="0"/>
    <pivotField showAll="0"/>
    <pivotField showAll="0"/>
    <pivotField numFmtId="14" showAll="0"/>
    <pivotField showAll="0"/>
    <pivotField showAll="0">
      <items count="8">
        <item x="5"/>
        <item x="2"/>
        <item x="3"/>
        <item x="4"/>
        <item x="6"/>
        <item x="0"/>
        <item x="1"/>
        <item t="default"/>
      </items>
    </pivotField>
    <pivotField showAll="0"/>
    <pivotField showAll="0"/>
    <pivotField showAll="0"/>
    <pivotField showAll="0">
      <items count="5">
        <item x="0"/>
        <item x="2"/>
        <item x="3"/>
        <item x="1"/>
        <item t="default"/>
      </items>
    </pivotField>
    <pivotField showAll="0">
      <items count="8">
        <item x="1"/>
        <item x="4"/>
        <item x="5"/>
        <item x="2"/>
        <item x="3"/>
        <item x="0"/>
        <item x="6"/>
        <item t="default"/>
      </items>
    </pivotField>
    <pivotField showAll="0"/>
    <pivotField showAll="0"/>
    <pivotField showAll="0"/>
    <pivotField showAll="0"/>
  </pivotFields>
  <rowItems count="1">
    <i/>
  </rowItems>
  <colItems count="1">
    <i/>
  </colItems>
  <dataFields count="1">
    <dataField name="Count of Emp Statu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8CBF14-0046-4B60-AEE4-8BEFC7175FCC}"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H4:AI12" firstHeaderRow="1" firstDataRow="1" firstDataCol="1"/>
  <pivotFields count="16">
    <pivotField axis="axisRow" dataField="1" showAll="0" defaultSubtotal="0">
      <items count="3">
        <item h="1" x="1"/>
        <item x="0"/>
        <item h="1" x="2"/>
      </items>
    </pivotField>
    <pivotField showAll="0" defaultSubtotal="0"/>
    <pivotField showAll="0" defaultSubtotal="0"/>
    <pivotField showAll="0" defaultSubtotal="0"/>
    <pivotField numFmtId="14" showAll="0" defaultSubtotal="0"/>
    <pivotField showAll="0" defaultSubtotal="0"/>
    <pivotField showAll="0" defaultSubtotal="0">
      <items count="7">
        <item x="5"/>
        <item x="2"/>
        <item x="3"/>
        <item x="4"/>
        <item x="6"/>
        <item x="0"/>
        <item x="1"/>
      </items>
    </pivotField>
    <pivotField showAll="0" sortType="descending" defaultSubtotal="0">
      <items count="2">
        <item x="0"/>
        <item x="1"/>
      </items>
      <autoSortScope>
        <pivotArea dataOnly="0" outline="0" fieldPosition="0">
          <references count="1">
            <reference field="4294967294" count="1" selected="0">
              <x v="0"/>
            </reference>
          </references>
        </pivotArea>
      </autoSortScope>
    </pivotField>
    <pivotField subtotalTop="0" showAll="0" defaultSubtotal="0"/>
    <pivotField showAll="0" defaultSubtotal="0"/>
    <pivotField showAll="0" defaultSubtotal="0">
      <items count="4">
        <item x="0"/>
        <item x="2"/>
        <item x="3"/>
        <item x="1"/>
      </items>
    </pivotField>
    <pivotField axis="axisRow" showAll="0" defaultSubtotal="0">
      <items count="7">
        <item x="1"/>
        <item x="4"/>
        <item x="5"/>
        <item x="2"/>
        <item x="3"/>
        <item x="0"/>
        <item x="6"/>
      </items>
    </pivotField>
    <pivotField showAll="0" defaultSubtotal="0"/>
    <pivotField showAll="0" defaultSubtotal="0"/>
    <pivotField showAll="0" defaultSubtotal="0"/>
    <pivotField showAll="0" defaultSubtotal="0"/>
  </pivotFields>
  <rowFields count="2">
    <field x="0"/>
    <field x="11"/>
  </rowFields>
  <rowItems count="8">
    <i>
      <x v="1"/>
    </i>
    <i r="1">
      <x/>
    </i>
    <i r="1">
      <x v="1"/>
    </i>
    <i r="1">
      <x v="2"/>
    </i>
    <i r="1">
      <x v="3"/>
    </i>
    <i r="1">
      <x v="4"/>
    </i>
    <i r="1">
      <x v="5"/>
    </i>
    <i r="1">
      <x v="6"/>
    </i>
  </rowItems>
  <colItems count="1">
    <i/>
  </colItems>
  <dataFields count="1">
    <dataField name="Count of Emp Statu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B0849F-EA18-467A-A129-67D938CBF75A}"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Y4:AA7" firstHeaderRow="0" firstDataRow="1" firstDataCol="1"/>
  <pivotFields count="16">
    <pivotField axis="axisRow" dataField="1" showAll="0" defaultSubtotal="0">
      <items count="3">
        <item h="1" x="1"/>
        <item x="0"/>
        <item h="1" x="2"/>
      </items>
    </pivotField>
    <pivotField showAll="0" defaultSubtotal="0"/>
    <pivotField showAll="0" defaultSubtotal="0"/>
    <pivotField showAll="0" defaultSubtotal="0"/>
    <pivotField numFmtId="14" showAll="0" defaultSubtotal="0"/>
    <pivotField showAll="0" defaultSubtotal="0"/>
    <pivotField showAll="0" defaultSubtotal="0">
      <items count="7">
        <item x="5"/>
        <item x="2"/>
        <item x="3"/>
        <item x="4"/>
        <item x="6"/>
        <item x="0"/>
        <item x="1"/>
      </items>
    </pivotField>
    <pivotField showAll="0" sortType="descending" defaultSubtotal="0">
      <items count="2">
        <item x="0"/>
        <item x="1"/>
      </items>
      <autoSortScope>
        <pivotArea dataOnly="0" outline="0" fieldPosition="0">
          <references count="1">
            <reference field="4294967294" count="1" selected="0">
              <x v="1"/>
            </reference>
          </references>
        </pivotArea>
      </autoSortScope>
    </pivotField>
    <pivotField axis="axisRow" subtotalTop="0" showAll="0" defaultSubtotal="0">
      <items count="2">
        <item x="1"/>
        <item x="0"/>
      </items>
    </pivotField>
    <pivotField showAll="0" defaultSubtotal="0"/>
    <pivotField showAll="0" defaultSubtotal="0">
      <items count="4">
        <item x="0"/>
        <item x="2"/>
        <item x="3"/>
        <item x="1"/>
      </items>
    </pivotField>
    <pivotField showAll="0" defaultSubtotal="0">
      <items count="7">
        <item x="1"/>
        <item x="4"/>
        <item x="5"/>
        <item x="2"/>
        <item x="3"/>
        <item x="0"/>
        <item x="6"/>
      </items>
    </pivotField>
    <pivotField showAll="0" defaultSubtotal="0"/>
    <pivotField showAll="0" defaultSubtotal="0"/>
    <pivotField showAll="0" defaultSubtotal="0"/>
    <pivotField showAll="0" defaultSubtotal="0"/>
  </pivotFields>
  <rowFields count="2">
    <field x="0"/>
    <field x="8"/>
  </rowFields>
  <rowItems count="3">
    <i>
      <x v="1"/>
    </i>
    <i r="1">
      <x/>
    </i>
    <i r="1">
      <x v="1"/>
    </i>
  </rowItems>
  <colFields count="1">
    <field x="-2"/>
  </colFields>
  <colItems count="2">
    <i>
      <x/>
    </i>
    <i i="1">
      <x v="1"/>
    </i>
  </colItems>
  <dataFields count="2">
    <dataField name="Count of Emp Status2" fld="0" subtotal="count" showDataAs="percentOfTotal" baseField="0" baseItem="0" numFmtId="10"/>
    <dataField name="Count of Emp Status" fld="0" subtotal="count" baseField="0" baseItem="0"/>
  </dataFields>
  <formats count="1">
    <format dxfId="0">
      <pivotArea collapsedLevelsAreSubtotals="1" fieldPosition="0">
        <references count="3">
          <reference field="4294967294" count="1" selected="0">
            <x v="0"/>
          </reference>
          <reference field="0" count="0" selected="0"/>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4C5A63-ED49-462C-92D3-29AAE4EF668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I4:L11" firstHeaderRow="1" firstDataRow="2" firstDataCol="1"/>
  <pivotFields count="16">
    <pivotField axis="axisCol" dataField="1" showAll="0" defaultSubtotal="0">
      <items count="3">
        <item x="1"/>
        <item x="0"/>
        <item x="2"/>
      </items>
    </pivotField>
    <pivotField showAll="0" defaultSubtotal="0"/>
    <pivotField showAll="0" defaultSubtotal="0"/>
    <pivotField showAll="0" defaultSubtotal="0"/>
    <pivotField numFmtId="14" showAll="0" defaultSubtotal="0"/>
    <pivotField showAll="0" defaultSubtotal="0"/>
    <pivotField showAll="0" defaultSubtotal="0">
      <items count="7">
        <item x="5"/>
        <item x="2"/>
        <item x="3"/>
        <item x="4"/>
        <item x="6"/>
        <item x="0"/>
        <item x="1"/>
      </items>
    </pivotField>
    <pivotField showAll="0" defaultSubtotal="0"/>
    <pivotField subtotalTop="0" showAll="0" defaultSubtotal="0"/>
    <pivotField showAll="0" defaultSubtotal="0"/>
    <pivotField showAll="0" defaultSubtotal="0">
      <items count="4">
        <item x="0"/>
        <item x="2"/>
        <item x="3"/>
        <item x="1"/>
      </items>
    </pivotField>
    <pivotField showAll="0" defaultSubtotal="0">
      <items count="7">
        <item x="1"/>
        <item x="4"/>
        <item x="5"/>
        <item x="2"/>
        <item x="3"/>
        <item x="0"/>
        <item x="6"/>
      </items>
    </pivotField>
    <pivotField showAll="0" defaultSubtotal="0"/>
    <pivotField axis="axisRow" showAll="0" defaultSubtotal="0">
      <items count="6">
        <item x="0"/>
        <item x="1"/>
        <item x="2"/>
        <item x="3"/>
        <item x="4"/>
        <item x="5"/>
      </items>
    </pivotField>
    <pivotField showAll="0" defaultSubtotal="0"/>
    <pivotField showAll="0" defaultSubtotal="0"/>
  </pivotFields>
  <rowFields count="1">
    <field x="13"/>
  </rowFields>
  <rowItems count="6">
    <i>
      <x/>
    </i>
    <i>
      <x v="1"/>
    </i>
    <i>
      <x v="2"/>
    </i>
    <i>
      <x v="3"/>
    </i>
    <i>
      <x v="4"/>
    </i>
    <i>
      <x v="5"/>
    </i>
  </rowItems>
  <colFields count="1">
    <field x="0"/>
  </colFields>
  <colItems count="3">
    <i>
      <x/>
    </i>
    <i>
      <x v="1"/>
    </i>
    <i>
      <x v="2"/>
    </i>
  </colItems>
  <dataFields count="1">
    <dataField name="Count of Emp Statu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479276-DAF0-4B4B-825E-399D453B9438}"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D4:AE9" firstHeaderRow="1" firstDataRow="1" firstDataCol="1"/>
  <pivotFields count="16">
    <pivotField axis="axisRow" dataField="1" showAll="0" defaultSubtotal="0">
      <items count="3">
        <item h="1" x="1"/>
        <item x="0"/>
        <item h="1" x="2"/>
      </items>
    </pivotField>
    <pivotField showAll="0" defaultSubtotal="0"/>
    <pivotField showAll="0" defaultSubtotal="0"/>
    <pivotField showAll="0" defaultSubtotal="0"/>
    <pivotField numFmtId="14" showAll="0" defaultSubtotal="0"/>
    <pivotField showAll="0" defaultSubtotal="0"/>
    <pivotField showAll="0" defaultSubtotal="0">
      <items count="7">
        <item x="5"/>
        <item x="2"/>
        <item x="3"/>
        <item x="4"/>
        <item x="6"/>
        <item x="0"/>
        <item x="1"/>
      </items>
    </pivotField>
    <pivotField showAll="0" sortType="descending" defaultSubtotal="0">
      <items count="2">
        <item x="0"/>
        <item x="1"/>
      </items>
      <autoSortScope>
        <pivotArea dataOnly="0" outline="0" fieldPosition="0">
          <references count="1">
            <reference field="4294967294" count="1" selected="0">
              <x v="0"/>
            </reference>
          </references>
        </pivotArea>
      </autoSortScope>
    </pivotField>
    <pivotField subtotalTop="0" showAll="0" defaultSubtotal="0"/>
    <pivotField showAll="0" defaultSubtotal="0"/>
    <pivotField axis="axisRow" showAll="0" defaultSubtotal="0">
      <items count="4">
        <item x="0"/>
        <item x="2"/>
        <item x="3"/>
        <item x="1"/>
      </items>
    </pivotField>
    <pivotField showAll="0" defaultSubtotal="0">
      <items count="7">
        <item x="1"/>
        <item x="4"/>
        <item x="5"/>
        <item x="2"/>
        <item x="3"/>
        <item x="0"/>
        <item x="6"/>
      </items>
    </pivotField>
    <pivotField showAll="0" defaultSubtotal="0"/>
    <pivotField showAll="0" defaultSubtotal="0"/>
    <pivotField showAll="0" defaultSubtotal="0"/>
    <pivotField showAll="0" defaultSubtotal="0"/>
  </pivotFields>
  <rowFields count="2">
    <field x="0"/>
    <field x="10"/>
  </rowFields>
  <rowItems count="5">
    <i>
      <x v="1"/>
    </i>
    <i r="1">
      <x/>
    </i>
    <i r="1">
      <x v="1"/>
    </i>
    <i r="1">
      <x v="2"/>
    </i>
    <i r="1">
      <x v="3"/>
    </i>
  </rowItems>
  <colItems count="1">
    <i/>
  </colItems>
  <dataFields count="1">
    <dataField name="Count of Emp Statu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611E67-444D-49F0-B313-D1D422AA450C}"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4:Q12" firstHeaderRow="1" firstDataRow="1" firstDataCol="1"/>
  <pivotFields count="16">
    <pivotField axis="axisRow" dataField="1" showAll="0" defaultSubtotal="0">
      <items count="3">
        <item h="1" x="1"/>
        <item x="0"/>
        <item h="1" x="2"/>
      </items>
    </pivotField>
    <pivotField showAll="0" defaultSubtotal="0"/>
    <pivotField showAll="0" defaultSubtotal="0"/>
    <pivotField showAll="0" defaultSubtotal="0"/>
    <pivotField numFmtId="14" showAll="0" defaultSubtotal="0"/>
    <pivotField showAll="0" defaultSubtotal="0"/>
    <pivotField axis="axisRow" showAll="0" defaultSubtotal="0">
      <items count="7">
        <item x="5"/>
        <item x="2"/>
        <item x="3"/>
        <item x="4"/>
        <item x="6"/>
        <item x="0"/>
        <item x="1"/>
      </items>
    </pivotField>
    <pivotField showAll="0" defaultSubtotal="0">
      <items count="2">
        <item x="0"/>
        <item x="1"/>
      </items>
    </pivotField>
    <pivotField subtotalTop="0" showAll="0" defaultSubtotal="0">
      <items count="2">
        <item x="1"/>
        <item x="0"/>
      </items>
    </pivotField>
    <pivotField showAll="0" defaultSubtotal="0"/>
    <pivotField showAll="0" defaultSubtotal="0">
      <items count="4">
        <item x="0"/>
        <item x="2"/>
        <item x="3"/>
        <item x="1"/>
      </items>
    </pivotField>
    <pivotField showAll="0" defaultSubtotal="0">
      <items count="7">
        <item x="1"/>
        <item x="4"/>
        <item x="5"/>
        <item x="2"/>
        <item x="3"/>
        <item x="0"/>
        <item x="6"/>
      </items>
    </pivotField>
    <pivotField showAll="0" defaultSubtotal="0"/>
    <pivotField showAll="0" defaultSubtotal="0"/>
    <pivotField showAll="0" defaultSubtotal="0">
      <items count="63">
        <item x="48"/>
        <item x="59"/>
        <item x="4"/>
        <item x="7"/>
        <item x="17"/>
        <item x="62"/>
        <item x="6"/>
        <item x="10"/>
        <item x="41"/>
        <item x="54"/>
        <item x="28"/>
        <item x="23"/>
        <item x="12"/>
        <item x="18"/>
        <item x="16"/>
        <item x="61"/>
        <item x="58"/>
        <item x="57"/>
        <item x="15"/>
        <item x="43"/>
        <item x="14"/>
        <item x="13"/>
        <item x="39"/>
        <item x="40"/>
        <item x="60"/>
        <item x="32"/>
        <item x="1"/>
        <item x="33"/>
        <item x="21"/>
        <item x="53"/>
        <item x="56"/>
        <item x="34"/>
        <item x="30"/>
        <item x="11"/>
        <item x="35"/>
        <item x="9"/>
        <item x="55"/>
        <item x="36"/>
        <item x="52"/>
        <item x="45"/>
        <item x="20"/>
        <item x="50"/>
        <item x="49"/>
        <item x="47"/>
        <item x="31"/>
        <item x="44"/>
        <item x="42"/>
        <item x="25"/>
        <item x="0"/>
        <item x="3"/>
        <item x="2"/>
        <item x="38"/>
        <item x="37"/>
        <item x="29"/>
        <item x="27"/>
        <item x="26"/>
        <item x="46"/>
        <item x="24"/>
        <item x="22"/>
        <item x="19"/>
        <item x="5"/>
        <item x="51"/>
        <item x="8"/>
      </items>
    </pivotField>
    <pivotField showAll="0" defaultSubtotal="0">
      <items count="6">
        <item x="2"/>
        <item x="4"/>
        <item x="3"/>
        <item x="5"/>
        <item x="0"/>
        <item x="1"/>
      </items>
    </pivotField>
  </pivotFields>
  <rowFields count="2">
    <field x="0"/>
    <field x="6"/>
  </rowFields>
  <rowItems count="8">
    <i>
      <x v="1"/>
    </i>
    <i r="1">
      <x/>
    </i>
    <i r="1">
      <x v="1"/>
    </i>
    <i r="1">
      <x v="2"/>
    </i>
    <i r="1">
      <x v="3"/>
    </i>
    <i r="1">
      <x v="4"/>
    </i>
    <i r="1">
      <x v="5"/>
    </i>
    <i r="1">
      <x v="6"/>
    </i>
  </rowItems>
  <colItems count="1">
    <i/>
  </colItems>
  <dataFields count="1">
    <dataField name="Count of Emp Statu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0A9678-6492-40E6-B683-D95D93819642}"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showHeaders="0" outline="1" outlineData="1" multipleFieldFilters="0" chartFormat="3">
  <location ref="T4:V7" firstHeaderRow="0" firstDataRow="1" firstDataCol="1"/>
  <pivotFields count="16">
    <pivotField axis="axisRow" dataField="1" showAll="0" defaultSubtotal="0">
      <items count="3">
        <item h="1" x="1"/>
        <item x="0"/>
        <item h="1" x="2"/>
      </items>
    </pivotField>
    <pivotField showAll="0" defaultSubtotal="0"/>
    <pivotField showAll="0" defaultSubtotal="0"/>
    <pivotField showAll="0" defaultSubtotal="0"/>
    <pivotField numFmtId="14" showAll="0" defaultSubtotal="0"/>
    <pivotField showAll="0" defaultSubtotal="0"/>
    <pivotField showAll="0" defaultSubtotal="0">
      <items count="7">
        <item x="5"/>
        <item x="2"/>
        <item x="3"/>
        <item x="4"/>
        <item x="6"/>
        <item x="0"/>
        <item x="1"/>
      </items>
    </pivotField>
    <pivotField axis="axisRow" showAll="0" sortType="descending" defaultSubtotal="0">
      <items count="2">
        <item x="0"/>
        <item x="1"/>
      </items>
      <autoSortScope>
        <pivotArea dataOnly="0" outline="0" fieldPosition="0">
          <references count="1">
            <reference field="4294967294" count="1" selected="0">
              <x v="0"/>
            </reference>
          </references>
        </pivotArea>
      </autoSortScope>
    </pivotField>
    <pivotField subtotalTop="0" showAll="0" defaultSubtotal="0"/>
    <pivotField showAll="0" defaultSubtotal="0"/>
    <pivotField showAll="0" defaultSubtotal="0">
      <items count="4">
        <item x="0"/>
        <item x="2"/>
        <item x="3"/>
        <item x="1"/>
      </items>
    </pivotField>
    <pivotField showAll="0" defaultSubtotal="0">
      <items count="7">
        <item x="1"/>
        <item x="4"/>
        <item x="5"/>
        <item x="2"/>
        <item x="3"/>
        <item x="0"/>
        <item x="6"/>
      </items>
    </pivotField>
    <pivotField showAll="0" defaultSubtotal="0"/>
    <pivotField showAll="0" defaultSubtotal="0"/>
    <pivotField showAll="0" defaultSubtotal="0"/>
    <pivotField showAll="0" defaultSubtotal="0"/>
  </pivotFields>
  <rowFields count="2">
    <field x="0"/>
    <field x="7"/>
  </rowFields>
  <rowItems count="3">
    <i>
      <x v="1"/>
    </i>
    <i r="1">
      <x v="1"/>
    </i>
    <i r="1">
      <x/>
    </i>
  </rowItems>
  <colFields count="1">
    <field x="-2"/>
  </colFields>
  <colItems count="2">
    <i>
      <x/>
    </i>
    <i i="1">
      <x v="1"/>
    </i>
  </colItems>
  <dataFields count="2">
    <dataField name="Count of Emp Status" fld="0" subtotal="count" showDataAs="percentOfTotal" baseField="0" baseItem="0" numFmtId="10"/>
    <dataField name="Count of Emp Status2" fld="0" subtotal="count" baseField="0" baseItem="0"/>
  </dataFields>
  <formats count="2">
    <format dxfId="2">
      <pivotArea collapsedLevelsAreSubtotals="1" fieldPosition="0">
        <references count="2">
          <reference field="0" count="0" selected="0"/>
          <reference field="7" count="0"/>
        </references>
      </pivotArea>
    </format>
    <format dxfId="1">
      <pivotArea collapsedLevelsAreSubtotals="1" fieldPosition="0">
        <references count="3">
          <reference field="4294967294" count="1" selected="0">
            <x v="1"/>
          </reference>
          <reference field="0" count="0" selected="0"/>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F331D2-00F9-4421-92B5-AA3675FCE29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L4:AM11" firstHeaderRow="1" firstDataRow="1" firstDataCol="1"/>
  <pivotFields count="16">
    <pivotField axis="axisRow" dataField="1" showAll="0" defaultSubtotal="0">
      <items count="3">
        <item h="1" x="1"/>
        <item x="0"/>
        <item h="1" x="2"/>
      </items>
    </pivotField>
    <pivotField showAll="0" defaultSubtotal="0"/>
    <pivotField showAll="0" defaultSubtotal="0"/>
    <pivotField showAll="0" defaultSubtotal="0"/>
    <pivotField numFmtId="14" showAll="0" defaultSubtotal="0"/>
    <pivotField showAll="0" defaultSubtotal="0"/>
    <pivotField showAll="0" defaultSubtotal="0">
      <items count="7">
        <item x="5"/>
        <item x="2"/>
        <item x="3"/>
        <item x="4"/>
        <item x="6"/>
        <item x="0"/>
        <item x="1"/>
      </items>
    </pivotField>
    <pivotField showAll="0" sortType="descending" defaultSubtotal="0">
      <items count="2">
        <item x="0"/>
        <item x="1"/>
      </items>
      <autoSortScope>
        <pivotArea dataOnly="0" outline="0" fieldPosition="0">
          <references count="1">
            <reference field="4294967294" count="1" selected="0">
              <x v="0"/>
            </reference>
          </references>
        </pivotArea>
      </autoSortScope>
    </pivotField>
    <pivotField subtotalTop="0" showAll="0" defaultSubtotal="0"/>
    <pivotField showAll="0" defaultSubtotal="0"/>
    <pivotField showAll="0" defaultSubtotal="0">
      <items count="4">
        <item x="0"/>
        <item x="2"/>
        <item x="3"/>
        <item x="1"/>
      </items>
    </pivotField>
    <pivotField showAll="0" defaultSubtotal="0">
      <items count="7">
        <item x="1"/>
        <item x="4"/>
        <item x="5"/>
        <item x="2"/>
        <item x="3"/>
        <item x="0"/>
        <item x="6"/>
      </items>
    </pivotField>
    <pivotField showAll="0" defaultSubtotal="0"/>
    <pivotField showAll="0" defaultSubtotal="0"/>
    <pivotField showAll="0" defaultSubtotal="0"/>
    <pivotField axis="axisRow" showAll="0" defaultSubtotal="0">
      <items count="6">
        <item x="2"/>
        <item x="4"/>
        <item x="3"/>
        <item x="5"/>
        <item x="0"/>
        <item x="1"/>
      </items>
    </pivotField>
  </pivotFields>
  <rowFields count="2">
    <field x="0"/>
    <field x="15"/>
  </rowFields>
  <rowItems count="7">
    <i>
      <x v="1"/>
    </i>
    <i r="1">
      <x/>
    </i>
    <i r="1">
      <x v="1"/>
    </i>
    <i r="1">
      <x v="2"/>
    </i>
    <i r="1">
      <x v="3"/>
    </i>
    <i r="1">
      <x v="4"/>
    </i>
    <i r="1">
      <x v="5"/>
    </i>
  </rowItems>
  <colItems count="1">
    <i/>
  </colItems>
  <dataFields count="1">
    <dataField name="Count of Emp Statu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D45B40A-66A6-4AD9-A2FA-BDEA21D0A36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4:F7" firstHeaderRow="1" firstDataRow="1" firstDataCol="1"/>
  <pivotFields count="16">
    <pivotField axis="axisRow" dataField="1" showAll="0" defaultSubtotal="0">
      <items count="3">
        <item x="1"/>
        <item x="0"/>
        <item x="2"/>
      </items>
    </pivotField>
    <pivotField showAll="0" defaultSubtotal="0"/>
    <pivotField showAll="0" defaultSubtotal="0"/>
    <pivotField showAll="0" defaultSubtotal="0"/>
    <pivotField numFmtId="14" showAll="0" defaultSubtotal="0"/>
    <pivotField showAll="0" defaultSubtotal="0"/>
    <pivotField showAll="0" defaultSubtotal="0">
      <items count="7">
        <item x="5"/>
        <item x="2"/>
        <item x="3"/>
        <item x="4"/>
        <item x="6"/>
        <item x="0"/>
        <item x="1"/>
      </items>
    </pivotField>
    <pivotField showAll="0" defaultSubtotal="0"/>
    <pivotField subtotalTop="0" showAll="0" defaultSubtotal="0"/>
    <pivotField showAll="0" defaultSubtotal="0"/>
    <pivotField showAll="0" defaultSubtotal="0">
      <items count="4">
        <item x="0"/>
        <item x="2"/>
        <item x="3"/>
        <item x="1"/>
      </items>
    </pivotField>
    <pivotField showAll="0" defaultSubtotal="0">
      <items count="7">
        <item x="1"/>
        <item x="4"/>
        <item x="5"/>
        <item x="2"/>
        <item x="3"/>
        <item x="0"/>
        <item x="6"/>
      </items>
    </pivotField>
    <pivotField showAll="0" defaultSubtotal="0"/>
    <pivotField showAll="0" defaultSubtotal="0"/>
    <pivotField showAll="0" defaultSubtotal="0"/>
    <pivotField showAll="0" defaultSubtotal="0"/>
  </pivotFields>
  <rowFields count="1">
    <field x="0"/>
  </rowFields>
  <rowItems count="3">
    <i>
      <x/>
    </i>
    <i>
      <x v="1"/>
    </i>
    <i>
      <x v="2"/>
    </i>
  </rowItems>
  <colItems count="1">
    <i/>
  </colItems>
  <dataFields count="1">
    <dataField name="Count of Emp Statu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ing_Manager" xr10:uid="{E5394A55-4188-4C57-A212-F1E36679882F}" sourceName="Reporting Manager">
  <pivotTables>
    <pivotTable tabId="3" name="PivotTable7"/>
    <pivotTable tabId="3" name="PivotTable1"/>
    <pivotTable tabId="3" name="PivotTable10"/>
    <pivotTable tabId="3" name="PivotTable11"/>
    <pivotTable tabId="3" name="PivotTable2"/>
    <pivotTable tabId="3" name="PivotTable3"/>
    <pivotTable tabId="3" name="PivotTable5"/>
    <pivotTable tabId="3" name="PivotTable8"/>
    <pivotTable tabId="3" name="PivotTable9"/>
  </pivotTables>
  <data>
    <tabular pivotCacheId="58949292">
      <items count="7">
        <i x="5" s="1"/>
        <i x="2" s="1"/>
        <i x="3" s="1"/>
        <i x="4" s="1"/>
        <i x="6"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EC2A9814-0140-4603-8B96-FA797AD4C8A7}" sourceName="Grade">
  <pivotTables>
    <pivotTable tabId="3" name="PivotTable7"/>
    <pivotTable tabId="3" name="PivotTable1"/>
    <pivotTable tabId="3" name="PivotTable10"/>
    <pivotTable tabId="3" name="PivotTable11"/>
    <pivotTable tabId="3" name="PivotTable2"/>
    <pivotTable tabId="3" name="PivotTable3"/>
    <pivotTable tabId="3" name="PivotTable5"/>
    <pivotTable tabId="3" name="PivotTable8"/>
    <pivotTable tabId="3" name="PivotTable9"/>
  </pivotTables>
  <data>
    <tabular pivotCacheId="58949292">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A938A9D-ED85-4E85-A598-8682ABF62837}" sourceName="Department">
  <pivotTables>
    <pivotTable tabId="3" name="PivotTable7"/>
    <pivotTable tabId="3" name="PivotTable1"/>
    <pivotTable tabId="3" name="PivotTable10"/>
    <pivotTable tabId="3" name="PivotTable11"/>
    <pivotTable tabId="3" name="PivotTable2"/>
    <pivotTable tabId="3" name="PivotTable3"/>
    <pivotTable tabId="3" name="PivotTable5"/>
    <pivotTable tabId="3" name="PivotTable8"/>
    <pivotTable tabId="3" name="PivotTable9"/>
  </pivotTables>
  <data>
    <tabular pivotCacheId="58949292">
      <items count="7">
        <i x="1" s="1"/>
        <i x="4" s="1"/>
        <i x="5" s="1"/>
        <i x="2" s="1"/>
        <i x="3" s="1"/>
        <i x="0"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of_Service" xr10:uid="{8B82CCC3-9F21-435B-98D7-45E64DBAF26F}" sourceName="Years of Service">
  <pivotTables>
    <pivotTable tabId="3" name="PivotTable7"/>
  </pivotTables>
  <data>
    <tabular pivotCacheId="58949292">
      <items count="63">
        <i x="7" s="1"/>
        <i x="17" s="1"/>
        <i x="62" s="1"/>
        <i x="10" s="1"/>
        <i x="54" s="1"/>
        <i x="18" s="1"/>
        <i x="16" s="1"/>
        <i x="61" s="1"/>
        <i x="58" s="1"/>
        <i x="57" s="1"/>
        <i x="15" s="1"/>
        <i x="43" s="1"/>
        <i x="14" s="1"/>
        <i x="13" s="1"/>
        <i x="39" s="1"/>
        <i x="40" s="1"/>
        <i x="60" s="1"/>
        <i x="32" s="1"/>
        <i x="33" s="1"/>
        <i x="53" s="1"/>
        <i x="56" s="1"/>
        <i x="11" s="1"/>
        <i x="35" s="1"/>
        <i x="9" s="1"/>
        <i x="55" s="1"/>
        <i x="36" s="1"/>
        <i x="52" s="1"/>
        <i x="45" s="1"/>
        <i x="20" s="1"/>
        <i x="50" s="1"/>
        <i x="49" s="1"/>
        <i x="47" s="1"/>
        <i x="44" s="1"/>
        <i x="42" s="1"/>
        <i x="25" s="1"/>
        <i x="0" s="1"/>
        <i x="3" s="1"/>
        <i x="2" s="1"/>
        <i x="38" s="1"/>
        <i x="37" s="1"/>
        <i x="29" s="1"/>
        <i x="27" s="1"/>
        <i x="26" s="1"/>
        <i x="46" s="1"/>
        <i x="24" s="1"/>
        <i x="22" s="1"/>
        <i x="19" s="1"/>
        <i x="51" s="1"/>
        <i x="8" s="1"/>
        <i x="48" s="1" nd="1"/>
        <i x="59" s="1" nd="1"/>
        <i x="4" s="1" nd="1"/>
        <i x="6" s="1" nd="1"/>
        <i x="41" s="1" nd="1"/>
        <i x="28" s="1" nd="1"/>
        <i x="23" s="1" nd="1"/>
        <i x="12" s="1" nd="1"/>
        <i x="1" s="1" nd="1"/>
        <i x="21" s="1" nd="1"/>
        <i x="34" s="1" nd="1"/>
        <i x="30" s="1" nd="1"/>
        <i x="31"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orting Manager" xr10:uid="{62E6AC3F-9C64-47F6-8C1D-3E724642C4CD}" cache="Slicer_Reporting_Manager" caption="Reporting Manager" style="Slicer Style 1" rowHeight="241300"/>
  <slicer name="Grade" xr10:uid="{7B5927B9-11A6-4833-8444-24CC85B7C275}" cache="Slicer_Grade" caption="Grade" style="Slicer Style 1" rowHeight="241300"/>
  <slicer name="Department" xr10:uid="{B0ADC5E1-6233-455A-AB3F-0E5C6C1B97BA}" cache="Slicer_Department" caption="Department" style="Slicer Style 1" rowHeight="241300"/>
  <slicer name="Years of Service" xr10:uid="{9CC7FF84-188E-472D-90AF-5076CC593274}" cache="Slicer_Years_of_Service" caption="Years of Servic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05DAFF1-5461-4563-A99A-6AA21E601922}" name="Table1" displayName="Table1" ref="A1:P172" totalsRowShown="0">
  <autoFilter ref="A1:P172" xr:uid="{405DAFF1-5461-4563-A99A-6AA21E601922}"/>
  <tableColumns count="16">
    <tableColumn id="1" xr3:uid="{002D6975-6161-44D5-83DD-B03308A125CA}" name="Emp Status"/>
    <tableColumn id="2" xr3:uid="{998D1259-CC16-4C2D-97F9-BAEABCA07087}" name="Movement"/>
    <tableColumn id="3" xr3:uid="{8E9E5D2B-E7E0-4887-A535-0879D5AE3C18}" name="Emp Id"/>
    <tableColumn id="4" xr3:uid="{5B50D68B-39E2-4251-9FE1-DBF041037341}" name="Name"/>
    <tableColumn id="5" xr3:uid="{EFC69B97-1B61-48FE-8BF3-9164A07D9567}" name="Date of Joining" dataDxfId="7"/>
    <tableColumn id="6" xr3:uid="{DB4E809A-EB9B-4BFE-B88C-F6CD34418F3D}" name="Data of Relieving" dataDxfId="6"/>
    <tableColumn id="7" xr3:uid="{5B5F8E8D-A290-4900-8CCE-6469E3DC96F2}" name="Reporting Manager"/>
    <tableColumn id="8" xr3:uid="{519D56D6-C863-41A0-BB64-BB1EB94CA46B}" name="Emp Type"/>
    <tableColumn id="9" xr3:uid="{38C441FC-4369-4B7F-B8D1-F2A3DD8CE40E}" name="Gender"/>
    <tableColumn id="10" xr3:uid="{89E48EB7-A5DA-45FE-BE16-B5C8D18FA39B}" name="Marital status"/>
    <tableColumn id="11" xr3:uid="{E8BC7EA6-82F3-4E1C-A2D2-723441D245CD}" name="Grade"/>
    <tableColumn id="12" xr3:uid="{A73D419D-AD4B-437D-835E-A270A10043F4}" name="Department"/>
    <tableColumn id="13" xr3:uid="{6187396A-48AE-4EB4-AC67-25802183A6A5}" name="Total Experience"/>
    <tableColumn id="14" xr3:uid="{48DE4C8D-F89F-4E58-BC8B-167BD6CA3ED0}" name="Year of Joining" dataDxfId="5">
      <calculatedColumnFormula>YEAR(Table1[[#This Row],[Date of Joining]])</calculatedColumnFormula>
    </tableColumn>
    <tableColumn id="15" xr3:uid="{9B3E7FBC-8505-488E-BA2B-DA990916F11F}" name="Years of Service" dataDxfId="4">
      <calculatedColumnFormula>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calculatedColumnFormula>
    </tableColumn>
    <tableColumn id="16" xr3:uid="{2DC499AC-0DDB-4432-B008-EF9708B0DD7C}" name="Employee Tenure Group" dataDxfId="3">
      <calculatedColumnFormula array="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calculatedColumnFormula>
    </tableColumn>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80"/>
  <sheetViews>
    <sheetView tabSelected="1" topLeftCell="G1" workbookViewId="0">
      <selection activeCell="P2" sqref="P2"/>
    </sheetView>
  </sheetViews>
  <sheetFormatPr defaultRowHeight="15" x14ac:dyDescent="0.25"/>
  <cols>
    <col min="1" max="1" width="12.85546875" customWidth="1"/>
    <col min="2" max="2" width="13" customWidth="1"/>
    <col min="3" max="3" width="9.140625" customWidth="1"/>
    <col min="4" max="4" width="19.140625" bestFit="1" customWidth="1"/>
    <col min="5" max="5" width="16.28515625" style="1" customWidth="1"/>
    <col min="6" max="6" width="18.140625" style="1" customWidth="1"/>
    <col min="7" max="7" width="20.140625" customWidth="1"/>
    <col min="8" max="8" width="11.7109375" customWidth="1"/>
    <col min="9" max="9" width="11" customWidth="1"/>
    <col min="10" max="10" width="15.28515625" customWidth="1"/>
    <col min="11" max="11" width="12.7109375" bestFit="1" customWidth="1"/>
    <col min="12" max="12" width="13.85546875" customWidth="1"/>
    <col min="13" max="13" width="17.85546875" customWidth="1"/>
    <col min="14" max="14" width="16.28515625" bestFit="1" customWidth="1"/>
    <col min="15" max="15" width="22.42578125" customWidth="1"/>
    <col min="16" max="16" width="25.28515625" bestFit="1" customWidth="1"/>
  </cols>
  <sheetData>
    <row r="1" spans="1:16" x14ac:dyDescent="0.25">
      <c r="A1" t="s">
        <v>0</v>
      </c>
      <c r="B1" t="s">
        <v>1</v>
      </c>
      <c r="C1" t="s">
        <v>2</v>
      </c>
      <c r="D1" t="s">
        <v>3</v>
      </c>
      <c r="E1" s="1" t="s">
        <v>4</v>
      </c>
      <c r="F1" s="1" t="s">
        <v>5</v>
      </c>
      <c r="G1" t="s">
        <v>6</v>
      </c>
      <c r="H1" t="s">
        <v>7</v>
      </c>
      <c r="I1" t="s">
        <v>239</v>
      </c>
      <c r="J1" t="s">
        <v>8</v>
      </c>
      <c r="K1" t="s">
        <v>9</v>
      </c>
      <c r="L1" t="s">
        <v>10</v>
      </c>
      <c r="M1" t="s">
        <v>11</v>
      </c>
      <c r="N1" t="s">
        <v>227</v>
      </c>
      <c r="O1" t="s">
        <v>228</v>
      </c>
      <c r="P1" t="s">
        <v>229</v>
      </c>
    </row>
    <row r="2" spans="1:16" x14ac:dyDescent="0.25">
      <c r="A2" t="s">
        <v>12</v>
      </c>
      <c r="B2" t="s">
        <v>13</v>
      </c>
      <c r="C2" t="s">
        <v>14</v>
      </c>
      <c r="D2" t="s">
        <v>15</v>
      </c>
      <c r="E2" s="1">
        <v>43950</v>
      </c>
      <c r="G2" t="s">
        <v>16</v>
      </c>
      <c r="H2" t="s">
        <v>17</v>
      </c>
      <c r="I2" t="s">
        <v>18</v>
      </c>
      <c r="J2" t="s">
        <v>19</v>
      </c>
      <c r="K2" t="s">
        <v>17</v>
      </c>
      <c r="L2" t="s">
        <v>20</v>
      </c>
      <c r="M2">
        <v>0</v>
      </c>
      <c r="N2">
        <f>YEAR(Table1[[#This Row],[Date of Joining]])</f>
        <v>2020</v>
      </c>
      <c r="O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11 Months</v>
      </c>
      <c r="P2" t="str" cm="1">
        <f t="array" aca="1" ref="P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3" spans="1:16" x14ac:dyDescent="0.25">
      <c r="A3" t="s">
        <v>21</v>
      </c>
      <c r="C3" t="s">
        <v>22</v>
      </c>
      <c r="D3" t="s">
        <v>23</v>
      </c>
      <c r="E3" s="1">
        <v>44075</v>
      </c>
      <c r="F3" s="1">
        <v>44183</v>
      </c>
      <c r="G3" t="s">
        <v>16</v>
      </c>
      <c r="H3" t="s">
        <v>17</v>
      </c>
      <c r="I3" t="s">
        <v>18</v>
      </c>
      <c r="J3" t="s">
        <v>24</v>
      </c>
      <c r="K3" t="s">
        <v>25</v>
      </c>
      <c r="L3" t="s">
        <v>26</v>
      </c>
      <c r="M3">
        <v>6.5</v>
      </c>
      <c r="N3">
        <f>YEAR(Table1[[#This Row],[Date of Joining]])</f>
        <v>2020</v>
      </c>
      <c r="O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Months</v>
      </c>
      <c r="P3" t="str" cm="1">
        <f t="array" aca="1" ref="P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4" spans="1:16" x14ac:dyDescent="0.25">
      <c r="A4" t="s">
        <v>12</v>
      </c>
      <c r="C4" t="s">
        <v>27</v>
      </c>
      <c r="D4" t="s">
        <v>28</v>
      </c>
      <c r="E4" s="1">
        <v>44197</v>
      </c>
      <c r="G4" t="s">
        <v>16</v>
      </c>
      <c r="H4" t="s">
        <v>17</v>
      </c>
      <c r="I4" t="s">
        <v>18</v>
      </c>
      <c r="J4" t="s">
        <v>19</v>
      </c>
      <c r="K4" t="s">
        <v>17</v>
      </c>
      <c r="L4" t="s">
        <v>20</v>
      </c>
      <c r="M4">
        <v>4.8</v>
      </c>
      <c r="N4">
        <f>YEAR(Table1[[#This Row],[Date of Joining]])</f>
        <v>2021</v>
      </c>
      <c r="O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3 Months</v>
      </c>
      <c r="P4" t="str" cm="1">
        <f t="array" aca="1" ref="P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5" spans="1:16" x14ac:dyDescent="0.25">
      <c r="A5" t="s">
        <v>12</v>
      </c>
      <c r="C5" t="s">
        <v>29</v>
      </c>
      <c r="D5" t="s">
        <v>30</v>
      </c>
      <c r="E5" s="1">
        <v>44236</v>
      </c>
      <c r="G5" t="s">
        <v>16</v>
      </c>
      <c r="H5" t="s">
        <v>17</v>
      </c>
      <c r="I5" t="s">
        <v>18</v>
      </c>
      <c r="J5" t="s">
        <v>19</v>
      </c>
      <c r="K5" t="s">
        <v>17</v>
      </c>
      <c r="L5" t="s">
        <v>31</v>
      </c>
      <c r="M5">
        <v>14</v>
      </c>
      <c r="N5">
        <f>YEAR(Table1[[#This Row],[Date of Joining]])</f>
        <v>2021</v>
      </c>
      <c r="O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2 Months</v>
      </c>
      <c r="P5" t="str" cm="1">
        <f t="array" aca="1" ref="P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6" spans="1:16" x14ac:dyDescent="0.25">
      <c r="A6" t="s">
        <v>21</v>
      </c>
      <c r="C6" t="s">
        <v>32</v>
      </c>
      <c r="D6" t="s">
        <v>33</v>
      </c>
      <c r="E6" s="1">
        <v>44469</v>
      </c>
      <c r="F6" s="1">
        <v>44834</v>
      </c>
      <c r="G6" t="s">
        <v>34</v>
      </c>
      <c r="H6" t="s">
        <v>17</v>
      </c>
      <c r="I6" t="s">
        <v>35</v>
      </c>
      <c r="J6" t="s">
        <v>19</v>
      </c>
      <c r="K6" t="s">
        <v>17</v>
      </c>
      <c r="L6" t="s">
        <v>36</v>
      </c>
      <c r="M6">
        <v>0</v>
      </c>
      <c r="N6">
        <f>YEAR(Table1[[#This Row],[Date of Joining]])</f>
        <v>2021</v>
      </c>
      <c r="O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0 Months</v>
      </c>
      <c r="P6" t="str" cm="1">
        <f t="array" aca="1" ref="P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7" spans="1:16" x14ac:dyDescent="0.25">
      <c r="A7" t="s">
        <v>21</v>
      </c>
      <c r="C7" t="s">
        <v>37</v>
      </c>
      <c r="D7" t="s">
        <v>38</v>
      </c>
      <c r="E7" s="1">
        <v>44655</v>
      </c>
      <c r="F7" s="1">
        <v>44758</v>
      </c>
      <c r="G7" t="s">
        <v>39</v>
      </c>
      <c r="H7" t="s">
        <v>17</v>
      </c>
      <c r="I7" t="s">
        <v>18</v>
      </c>
      <c r="J7" t="s">
        <v>19</v>
      </c>
      <c r="K7" t="s">
        <v>17</v>
      </c>
      <c r="L7" t="s">
        <v>40</v>
      </c>
      <c r="M7">
        <v>2</v>
      </c>
      <c r="N7">
        <f>YEAR(Table1[[#This Row],[Date of Joining]])</f>
        <v>2022</v>
      </c>
      <c r="O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Months</v>
      </c>
      <c r="P7" t="str" cm="1">
        <f t="array" aca="1" ref="P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8" spans="1:16" x14ac:dyDescent="0.25">
      <c r="A8" t="s">
        <v>21</v>
      </c>
      <c r="C8" t="s">
        <v>41</v>
      </c>
      <c r="D8" t="s">
        <v>42</v>
      </c>
      <c r="E8" s="1">
        <v>44715</v>
      </c>
      <c r="F8" s="1">
        <v>44951</v>
      </c>
      <c r="G8" t="s">
        <v>34</v>
      </c>
      <c r="H8" t="s">
        <v>17</v>
      </c>
      <c r="I8" t="s">
        <v>18</v>
      </c>
      <c r="J8" t="s">
        <v>19</v>
      </c>
      <c r="K8" t="s">
        <v>17</v>
      </c>
      <c r="L8" t="s">
        <v>36</v>
      </c>
      <c r="M8">
        <v>2.8</v>
      </c>
      <c r="N8">
        <f>YEAR(Table1[[#This Row],[Date of Joining]])</f>
        <v>2022</v>
      </c>
      <c r="O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7 Months</v>
      </c>
      <c r="P8" t="str" cm="1">
        <f t="array" aca="1" ref="P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9" spans="1:16" x14ac:dyDescent="0.25">
      <c r="A9" t="s">
        <v>21</v>
      </c>
      <c r="C9" t="s">
        <v>43</v>
      </c>
      <c r="D9" t="s">
        <v>44</v>
      </c>
      <c r="E9" s="1">
        <v>44721</v>
      </c>
      <c r="F9" s="1">
        <v>45149</v>
      </c>
      <c r="G9" t="s">
        <v>34</v>
      </c>
      <c r="H9" t="s">
        <v>17</v>
      </c>
      <c r="I9" t="s">
        <v>18</v>
      </c>
      <c r="J9" t="s">
        <v>19</v>
      </c>
      <c r="K9" t="s">
        <v>17</v>
      </c>
      <c r="L9" t="s">
        <v>45</v>
      </c>
      <c r="M9">
        <v>0</v>
      </c>
      <c r="N9">
        <f>YEAR(Table1[[#This Row],[Date of Joining]])</f>
        <v>2022</v>
      </c>
      <c r="O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2 Months</v>
      </c>
      <c r="P9" t="str" cm="1">
        <f t="array" aca="1" ref="P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0" spans="1:16" x14ac:dyDescent="0.25">
      <c r="A10" t="s">
        <v>21</v>
      </c>
      <c r="C10" t="s">
        <v>46</v>
      </c>
      <c r="D10" t="s">
        <v>47</v>
      </c>
      <c r="E10" s="1">
        <v>44749</v>
      </c>
      <c r="F10" s="1">
        <v>45168</v>
      </c>
      <c r="G10" t="s">
        <v>48</v>
      </c>
      <c r="H10" t="s">
        <v>17</v>
      </c>
      <c r="I10" t="s">
        <v>18</v>
      </c>
      <c r="J10" t="s">
        <v>19</v>
      </c>
      <c r="K10" t="s">
        <v>17</v>
      </c>
      <c r="L10" t="s">
        <v>45</v>
      </c>
      <c r="M10">
        <v>3</v>
      </c>
      <c r="N10">
        <f>YEAR(Table1[[#This Row],[Date of Joining]])</f>
        <v>2022</v>
      </c>
      <c r="O1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1 Months</v>
      </c>
      <c r="P10" t="str" cm="1">
        <f t="array" aca="1" ref="P1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1" spans="1:16" x14ac:dyDescent="0.25">
      <c r="A11" t="s">
        <v>21</v>
      </c>
      <c r="C11" t="s">
        <v>49</v>
      </c>
      <c r="D11" t="s">
        <v>50</v>
      </c>
      <c r="E11" s="1">
        <v>44777</v>
      </c>
      <c r="F11" s="1">
        <v>45059</v>
      </c>
      <c r="G11" t="s">
        <v>34</v>
      </c>
      <c r="H11" t="s">
        <v>17</v>
      </c>
      <c r="I11" t="s">
        <v>18</v>
      </c>
      <c r="J11" t="s">
        <v>19</v>
      </c>
      <c r="K11" t="s">
        <v>17</v>
      </c>
      <c r="L11" t="s">
        <v>31</v>
      </c>
      <c r="M11">
        <v>5.9</v>
      </c>
      <c r="N11">
        <f>YEAR(Table1[[#This Row],[Date of Joining]])</f>
        <v>2022</v>
      </c>
      <c r="O1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9 Months</v>
      </c>
      <c r="P11" t="str" cm="1">
        <f t="array" aca="1" ref="P1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12" spans="1:16" x14ac:dyDescent="0.25">
      <c r="A12" t="s">
        <v>12</v>
      </c>
      <c r="C12" t="s">
        <v>51</v>
      </c>
      <c r="D12" t="s">
        <v>52</v>
      </c>
      <c r="E12" s="1">
        <v>44805</v>
      </c>
      <c r="G12" t="s">
        <v>53</v>
      </c>
      <c r="H12" t="s">
        <v>17</v>
      </c>
      <c r="I12" t="s">
        <v>18</v>
      </c>
      <c r="J12" t="s">
        <v>24</v>
      </c>
      <c r="K12" t="s">
        <v>17</v>
      </c>
      <c r="L12" t="s">
        <v>40</v>
      </c>
      <c r="M12">
        <v>10</v>
      </c>
      <c r="N12">
        <f>YEAR(Table1[[#This Row],[Date of Joining]])</f>
        <v>2022</v>
      </c>
      <c r="O1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7 Months</v>
      </c>
      <c r="P12" t="str" cm="1">
        <f t="array" aca="1" ref="P1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3" spans="1:16" x14ac:dyDescent="0.25">
      <c r="A13" t="s">
        <v>21</v>
      </c>
      <c r="C13" t="s">
        <v>54</v>
      </c>
      <c r="D13" t="s">
        <v>55</v>
      </c>
      <c r="E13" s="1">
        <v>44812</v>
      </c>
      <c r="F13" s="1">
        <v>45290</v>
      </c>
      <c r="G13" t="s">
        <v>53</v>
      </c>
      <c r="H13" t="s">
        <v>17</v>
      </c>
      <c r="I13" t="s">
        <v>35</v>
      </c>
      <c r="J13" t="s">
        <v>19</v>
      </c>
      <c r="K13" t="s">
        <v>17</v>
      </c>
      <c r="L13" t="s">
        <v>36</v>
      </c>
      <c r="M13">
        <v>1</v>
      </c>
      <c r="N13">
        <f>YEAR(Table1[[#This Row],[Date of Joining]])</f>
        <v>2022</v>
      </c>
      <c r="O1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3 Months</v>
      </c>
      <c r="P13" t="str" cm="1">
        <f t="array" aca="1" ref="P1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4" spans="1:16" x14ac:dyDescent="0.25">
      <c r="A14" t="s">
        <v>12</v>
      </c>
      <c r="C14" t="s">
        <v>56</v>
      </c>
      <c r="D14" t="s">
        <v>57</v>
      </c>
      <c r="E14" s="1">
        <v>44873</v>
      </c>
      <c r="G14" t="s">
        <v>53</v>
      </c>
      <c r="H14" t="s">
        <v>17</v>
      </c>
      <c r="I14" t="s">
        <v>18</v>
      </c>
      <c r="J14" t="s">
        <v>24</v>
      </c>
      <c r="K14" t="s">
        <v>17</v>
      </c>
      <c r="L14" t="s">
        <v>58</v>
      </c>
      <c r="M14">
        <v>10</v>
      </c>
      <c r="N14">
        <f>YEAR(Table1[[#This Row],[Date of Joining]])</f>
        <v>2022</v>
      </c>
      <c r="O1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5 Months</v>
      </c>
      <c r="P14" t="str" cm="1">
        <f t="array" aca="1" ref="P1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5" spans="1:16" x14ac:dyDescent="0.25">
      <c r="A15" t="s">
        <v>21</v>
      </c>
      <c r="C15" t="s">
        <v>59</v>
      </c>
      <c r="D15" t="s">
        <v>60</v>
      </c>
      <c r="E15" s="1">
        <v>44947</v>
      </c>
      <c r="F15" s="1">
        <v>45251</v>
      </c>
      <c r="G15" t="s">
        <v>61</v>
      </c>
      <c r="H15" t="s">
        <v>17</v>
      </c>
      <c r="I15" t="s">
        <v>18</v>
      </c>
      <c r="J15" t="s">
        <v>19</v>
      </c>
      <c r="K15" t="s">
        <v>17</v>
      </c>
      <c r="L15" t="s">
        <v>36</v>
      </c>
      <c r="M15">
        <v>0</v>
      </c>
      <c r="N15">
        <f>YEAR(Table1[[#This Row],[Date of Joining]])</f>
        <v>2023</v>
      </c>
      <c r="O1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10 Months</v>
      </c>
      <c r="P15" t="str" cm="1">
        <f t="array" aca="1" ref="P1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16" spans="1:16" x14ac:dyDescent="0.25">
      <c r="A16" t="s">
        <v>21</v>
      </c>
      <c r="C16" t="s">
        <v>62</v>
      </c>
      <c r="D16" t="s">
        <v>63</v>
      </c>
      <c r="E16" s="1">
        <v>45083</v>
      </c>
      <c r="F16" s="1">
        <v>45415</v>
      </c>
      <c r="G16" t="s">
        <v>61</v>
      </c>
      <c r="H16" t="s">
        <v>17</v>
      </c>
      <c r="I16" t="s">
        <v>35</v>
      </c>
      <c r="J16" t="s">
        <v>19</v>
      </c>
      <c r="K16" t="s">
        <v>17</v>
      </c>
      <c r="L16" t="s">
        <v>45</v>
      </c>
      <c r="M16">
        <v>0.1</v>
      </c>
      <c r="N16">
        <f>YEAR(Table1[[#This Row],[Date of Joining]])</f>
        <v>2023</v>
      </c>
      <c r="O1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10 Months</v>
      </c>
      <c r="P16" t="str" cm="1">
        <f t="array" aca="1" ref="P1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17" spans="1:16" x14ac:dyDescent="0.25">
      <c r="A17" t="s">
        <v>12</v>
      </c>
      <c r="C17" t="s">
        <v>64</v>
      </c>
      <c r="D17" t="s">
        <v>65</v>
      </c>
      <c r="E17" s="1">
        <v>45218</v>
      </c>
      <c r="G17" t="s">
        <v>61</v>
      </c>
      <c r="H17" t="s">
        <v>17</v>
      </c>
      <c r="I17" t="s">
        <v>35</v>
      </c>
      <c r="J17" t="s">
        <v>19</v>
      </c>
      <c r="K17" t="s">
        <v>17</v>
      </c>
      <c r="L17" t="s">
        <v>45</v>
      </c>
      <c r="M17">
        <v>0</v>
      </c>
      <c r="N17">
        <f>YEAR(Table1[[#This Row],[Date of Joining]])</f>
        <v>2023</v>
      </c>
      <c r="O1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5 Months</v>
      </c>
      <c r="P17" t="str" cm="1">
        <f t="array" aca="1" ref="P1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8" spans="1:16" x14ac:dyDescent="0.25">
      <c r="A18" t="s">
        <v>12</v>
      </c>
      <c r="C18" t="s">
        <v>66</v>
      </c>
      <c r="D18" t="s">
        <v>67</v>
      </c>
      <c r="E18" s="1">
        <v>45274</v>
      </c>
      <c r="G18" t="s">
        <v>61</v>
      </c>
      <c r="H18" t="s">
        <v>17</v>
      </c>
      <c r="I18" t="s">
        <v>35</v>
      </c>
      <c r="J18" t="s">
        <v>19</v>
      </c>
      <c r="K18" t="s">
        <v>17</v>
      </c>
      <c r="L18" t="s">
        <v>31</v>
      </c>
      <c r="M18">
        <v>4</v>
      </c>
      <c r="N18">
        <f>YEAR(Table1[[#This Row],[Date of Joining]])</f>
        <v>2023</v>
      </c>
      <c r="O1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4 Months</v>
      </c>
      <c r="P18" t="str" cm="1">
        <f t="array" aca="1" ref="P1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9" spans="1:16" x14ac:dyDescent="0.25">
      <c r="A19" t="s">
        <v>12</v>
      </c>
      <c r="C19" t="s">
        <v>68</v>
      </c>
      <c r="D19" t="s">
        <v>69</v>
      </c>
      <c r="E19" s="1">
        <v>45328</v>
      </c>
      <c r="G19" t="s">
        <v>16</v>
      </c>
      <c r="H19" t="s">
        <v>17</v>
      </c>
      <c r="I19" t="s">
        <v>18</v>
      </c>
      <c r="J19" t="s">
        <v>19</v>
      </c>
      <c r="K19" t="s">
        <v>17</v>
      </c>
      <c r="L19" t="s">
        <v>45</v>
      </c>
      <c r="M19">
        <v>0</v>
      </c>
      <c r="N19">
        <f>YEAR(Table1[[#This Row],[Date of Joining]])</f>
        <v>2024</v>
      </c>
      <c r="O1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2 Months</v>
      </c>
      <c r="P19" t="str" cm="1">
        <f t="array" aca="1" ref="P1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20" spans="1:16" x14ac:dyDescent="0.25">
      <c r="A20" t="s">
        <v>12</v>
      </c>
      <c r="C20" t="s">
        <v>70</v>
      </c>
      <c r="D20" t="s">
        <v>71</v>
      </c>
      <c r="E20" s="1">
        <v>45378</v>
      </c>
      <c r="G20" t="s">
        <v>61</v>
      </c>
      <c r="H20" t="s">
        <v>17</v>
      </c>
      <c r="I20" t="s">
        <v>18</v>
      </c>
      <c r="J20" t="s">
        <v>24</v>
      </c>
      <c r="K20" t="s">
        <v>17</v>
      </c>
      <c r="L20" t="s">
        <v>36</v>
      </c>
      <c r="M20">
        <v>10</v>
      </c>
      <c r="N20">
        <f>YEAR(Table1[[#This Row],[Date of Joining]])</f>
        <v>2024</v>
      </c>
      <c r="O2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0 Months</v>
      </c>
      <c r="P20" t="str" cm="1">
        <f t="array" aca="1" ref="P2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21" spans="1:16" x14ac:dyDescent="0.25">
      <c r="A21" t="s">
        <v>12</v>
      </c>
      <c r="C21" t="s">
        <v>72</v>
      </c>
      <c r="D21" t="s">
        <v>73</v>
      </c>
      <c r="E21" s="1">
        <v>45444</v>
      </c>
      <c r="G21" t="s">
        <v>61</v>
      </c>
      <c r="H21" t="s">
        <v>17</v>
      </c>
      <c r="I21" t="s">
        <v>35</v>
      </c>
      <c r="J21" t="s">
        <v>24</v>
      </c>
      <c r="K21" t="s">
        <v>17</v>
      </c>
      <c r="L21" t="s">
        <v>31</v>
      </c>
      <c r="M21">
        <v>4</v>
      </c>
      <c r="N21">
        <f>YEAR(Table1[[#This Row],[Date of Joining]])</f>
        <v>2024</v>
      </c>
      <c r="O2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10 Months</v>
      </c>
      <c r="P21" t="str" cm="1">
        <f t="array" aca="1" ref="P2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22" spans="1:16" x14ac:dyDescent="0.25">
      <c r="A22" t="s">
        <v>12</v>
      </c>
      <c r="C22" t="s">
        <v>74</v>
      </c>
      <c r="D22" t="s">
        <v>75</v>
      </c>
      <c r="E22" s="1">
        <v>45662</v>
      </c>
      <c r="G22" t="s">
        <v>76</v>
      </c>
      <c r="H22" t="s">
        <v>17</v>
      </c>
      <c r="I22" t="s">
        <v>35</v>
      </c>
      <c r="J22" t="s">
        <v>24</v>
      </c>
      <c r="K22" t="s">
        <v>17</v>
      </c>
      <c r="L22" t="s">
        <v>40</v>
      </c>
      <c r="M22">
        <v>4.8</v>
      </c>
      <c r="N22">
        <f>YEAR(Table1[[#This Row],[Date of Joining]])</f>
        <v>2025</v>
      </c>
      <c r="O2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3 Months</v>
      </c>
      <c r="P22" t="str" cm="1">
        <f t="array" aca="1" ref="P2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23" spans="1:16" x14ac:dyDescent="0.25">
      <c r="A23" t="s">
        <v>12</v>
      </c>
      <c r="C23" t="s">
        <v>77</v>
      </c>
      <c r="D23" t="s">
        <v>78</v>
      </c>
      <c r="E23" s="1">
        <v>45671</v>
      </c>
      <c r="G23" t="s">
        <v>76</v>
      </c>
      <c r="H23" t="s">
        <v>17</v>
      </c>
      <c r="I23" t="s">
        <v>18</v>
      </c>
      <c r="J23" t="s">
        <v>19</v>
      </c>
      <c r="K23" t="s">
        <v>17</v>
      </c>
      <c r="L23" t="s">
        <v>20</v>
      </c>
      <c r="M23">
        <v>9</v>
      </c>
      <c r="N23">
        <f>YEAR(Table1[[#This Row],[Date of Joining]])</f>
        <v>2025</v>
      </c>
      <c r="O2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3 Months</v>
      </c>
      <c r="P23" t="str" cm="1">
        <f t="array" aca="1" ref="P2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24" spans="1:16" x14ac:dyDescent="0.25">
      <c r="A24" t="s">
        <v>12</v>
      </c>
      <c r="C24" t="s">
        <v>79</v>
      </c>
      <c r="D24" t="s">
        <v>80</v>
      </c>
      <c r="E24" s="1">
        <v>45775</v>
      </c>
      <c r="G24" t="s">
        <v>34</v>
      </c>
      <c r="H24" t="s">
        <v>17</v>
      </c>
      <c r="I24" t="s">
        <v>18</v>
      </c>
      <c r="J24" t="s">
        <v>24</v>
      </c>
      <c r="K24" t="s">
        <v>17</v>
      </c>
      <c r="L24" t="s">
        <v>36</v>
      </c>
      <c r="M24">
        <v>8</v>
      </c>
      <c r="N24">
        <f>YEAR(Table1[[#This Row],[Date of Joining]])</f>
        <v>2025</v>
      </c>
      <c r="O2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11 Months</v>
      </c>
      <c r="P24" t="str" cm="1">
        <f t="array" aca="1" ref="P2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25" spans="1:16" x14ac:dyDescent="0.25">
      <c r="A25" t="s">
        <v>12</v>
      </c>
      <c r="B25" t="s">
        <v>13</v>
      </c>
      <c r="C25">
        <v>107224</v>
      </c>
      <c r="D25" t="s">
        <v>81</v>
      </c>
      <c r="E25" s="1">
        <v>43867</v>
      </c>
      <c r="G25" t="s">
        <v>16</v>
      </c>
      <c r="H25" t="s">
        <v>82</v>
      </c>
      <c r="I25" t="s">
        <v>18</v>
      </c>
      <c r="J25" t="s">
        <v>19</v>
      </c>
      <c r="K25" t="s">
        <v>25</v>
      </c>
      <c r="L25" t="s">
        <v>20</v>
      </c>
      <c r="M25">
        <v>13</v>
      </c>
      <c r="N25">
        <f>YEAR(Table1[[#This Row],[Date of Joining]])</f>
        <v>2020</v>
      </c>
      <c r="O2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6 Years 2 Months</v>
      </c>
      <c r="P25" t="str" cm="1">
        <f t="array" aca="1" ref="P2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26" spans="1:16" x14ac:dyDescent="0.25">
      <c r="A26" t="s">
        <v>21</v>
      </c>
      <c r="B26" t="s">
        <v>13</v>
      </c>
      <c r="C26">
        <v>148467</v>
      </c>
      <c r="D26" t="s">
        <v>83</v>
      </c>
      <c r="E26" s="1">
        <v>43869</v>
      </c>
      <c r="F26" s="1">
        <v>45473</v>
      </c>
      <c r="G26" t="s">
        <v>76</v>
      </c>
      <c r="H26" t="s">
        <v>82</v>
      </c>
      <c r="I26" t="s">
        <v>35</v>
      </c>
      <c r="J26" t="s">
        <v>19</v>
      </c>
      <c r="K26" t="s">
        <v>25</v>
      </c>
      <c r="L26" t="s">
        <v>26</v>
      </c>
      <c r="M26">
        <v>5</v>
      </c>
      <c r="N26">
        <f>YEAR(Table1[[#This Row],[Date of Joining]])</f>
        <v>2020</v>
      </c>
      <c r="O2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4 Months</v>
      </c>
      <c r="P26" t="str" cm="1">
        <f t="array" aca="1" ref="P2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27" spans="1:16" x14ac:dyDescent="0.25">
      <c r="A27" t="s">
        <v>21</v>
      </c>
      <c r="C27">
        <v>114416</v>
      </c>
      <c r="D27" t="s">
        <v>84</v>
      </c>
      <c r="E27" s="1">
        <v>43874</v>
      </c>
      <c r="F27" s="1">
        <v>45300</v>
      </c>
      <c r="G27" t="s">
        <v>61</v>
      </c>
      <c r="H27" t="s">
        <v>82</v>
      </c>
      <c r="I27" t="s">
        <v>18</v>
      </c>
      <c r="J27" t="s">
        <v>24</v>
      </c>
      <c r="K27" t="s">
        <v>85</v>
      </c>
      <c r="L27" t="s">
        <v>40</v>
      </c>
      <c r="M27">
        <v>8</v>
      </c>
      <c r="N27">
        <f>YEAR(Table1[[#This Row],[Date of Joining]])</f>
        <v>2020</v>
      </c>
      <c r="O2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10 Months</v>
      </c>
      <c r="P27" t="str" cm="1">
        <f t="array" aca="1" ref="P2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28" spans="1:16" x14ac:dyDescent="0.25">
      <c r="A28" t="s">
        <v>12</v>
      </c>
      <c r="C28">
        <v>189095</v>
      </c>
      <c r="D28" t="s">
        <v>86</v>
      </c>
      <c r="E28" s="1">
        <v>43887</v>
      </c>
      <c r="G28" t="s">
        <v>61</v>
      </c>
      <c r="H28" t="s">
        <v>82</v>
      </c>
      <c r="I28" t="s">
        <v>18</v>
      </c>
      <c r="J28" t="s">
        <v>19</v>
      </c>
      <c r="K28" t="s">
        <v>85</v>
      </c>
      <c r="L28" t="s">
        <v>20</v>
      </c>
      <c r="M28">
        <v>17</v>
      </c>
      <c r="N28">
        <f>YEAR(Table1[[#This Row],[Date of Joining]])</f>
        <v>2020</v>
      </c>
      <c r="O2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6 Years 1 Months</v>
      </c>
      <c r="P28" t="str" cm="1">
        <f t="array" aca="1" ref="P2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29" spans="1:16" x14ac:dyDescent="0.25">
      <c r="A29" t="s">
        <v>21</v>
      </c>
      <c r="C29">
        <v>123874</v>
      </c>
      <c r="D29" t="s">
        <v>87</v>
      </c>
      <c r="E29" s="1">
        <v>43901</v>
      </c>
      <c r="F29" s="1">
        <v>44560</v>
      </c>
      <c r="G29" t="s">
        <v>61</v>
      </c>
      <c r="H29" t="s">
        <v>82</v>
      </c>
      <c r="I29" t="s">
        <v>18</v>
      </c>
      <c r="J29" t="s">
        <v>24</v>
      </c>
      <c r="K29" t="s">
        <v>25</v>
      </c>
      <c r="L29" t="s">
        <v>26</v>
      </c>
      <c r="M29">
        <v>14</v>
      </c>
      <c r="N29">
        <f>YEAR(Table1[[#This Row],[Date of Joining]])</f>
        <v>2020</v>
      </c>
      <c r="O2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9 Months</v>
      </c>
      <c r="P29" t="str" cm="1">
        <f t="array" aca="1" ref="P2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30" spans="1:16" x14ac:dyDescent="0.25">
      <c r="A30" t="s">
        <v>12</v>
      </c>
      <c r="B30" t="s">
        <v>13</v>
      </c>
      <c r="C30">
        <v>147637</v>
      </c>
      <c r="D30" t="s">
        <v>53</v>
      </c>
      <c r="E30" s="1">
        <v>43916</v>
      </c>
      <c r="G30" t="s">
        <v>16</v>
      </c>
      <c r="H30" t="s">
        <v>82</v>
      </c>
      <c r="I30" t="s">
        <v>18</v>
      </c>
      <c r="J30" t="s">
        <v>19</v>
      </c>
      <c r="K30" t="s">
        <v>25</v>
      </c>
      <c r="L30" t="s">
        <v>40</v>
      </c>
      <c r="M30">
        <v>14</v>
      </c>
      <c r="N30">
        <f>YEAR(Table1[[#This Row],[Date of Joining]])</f>
        <v>2020</v>
      </c>
      <c r="O3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6 Years 0 Months</v>
      </c>
      <c r="P30" t="str" cm="1">
        <f t="array" aca="1" ref="P3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31" spans="1:16" x14ac:dyDescent="0.25">
      <c r="A31" t="s">
        <v>12</v>
      </c>
      <c r="B31" t="s">
        <v>13</v>
      </c>
      <c r="C31">
        <v>183900</v>
      </c>
      <c r="D31" t="s">
        <v>88</v>
      </c>
      <c r="E31" s="1">
        <v>43950</v>
      </c>
      <c r="G31" t="s">
        <v>61</v>
      </c>
      <c r="H31" t="s">
        <v>82</v>
      </c>
      <c r="I31" t="s">
        <v>18</v>
      </c>
      <c r="J31" t="s">
        <v>19</v>
      </c>
      <c r="K31" t="s">
        <v>85</v>
      </c>
      <c r="L31" t="s">
        <v>26</v>
      </c>
      <c r="M31">
        <v>13</v>
      </c>
      <c r="N31">
        <f>YEAR(Table1[[#This Row],[Date of Joining]])</f>
        <v>2020</v>
      </c>
      <c r="O3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11 Months</v>
      </c>
      <c r="P31" t="str" cm="1">
        <f t="array" aca="1" ref="P3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32" spans="1:16" x14ac:dyDescent="0.25">
      <c r="A32" t="s">
        <v>12</v>
      </c>
      <c r="C32">
        <v>110700</v>
      </c>
      <c r="D32" t="s">
        <v>89</v>
      </c>
      <c r="E32" s="1">
        <v>43971</v>
      </c>
      <c r="G32" t="s">
        <v>61</v>
      </c>
      <c r="H32" t="s">
        <v>82</v>
      </c>
      <c r="I32" t="s">
        <v>18</v>
      </c>
      <c r="J32" t="s">
        <v>19</v>
      </c>
      <c r="K32" t="s">
        <v>85</v>
      </c>
      <c r="L32" t="s">
        <v>40</v>
      </c>
      <c r="M32">
        <v>13</v>
      </c>
      <c r="N32">
        <f>YEAR(Table1[[#This Row],[Date of Joining]])</f>
        <v>2020</v>
      </c>
      <c r="O3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10 Months</v>
      </c>
      <c r="P32" t="str" cm="1">
        <f t="array" aca="1" ref="P3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33" spans="1:16" x14ac:dyDescent="0.25">
      <c r="A33" t="s">
        <v>12</v>
      </c>
      <c r="B33" t="s">
        <v>13</v>
      </c>
      <c r="C33">
        <v>188035</v>
      </c>
      <c r="D33" t="s">
        <v>90</v>
      </c>
      <c r="E33" s="1">
        <v>43994</v>
      </c>
      <c r="G33" t="s">
        <v>53</v>
      </c>
      <c r="H33" t="s">
        <v>82</v>
      </c>
      <c r="I33" t="s">
        <v>18</v>
      </c>
      <c r="J33" t="s">
        <v>19</v>
      </c>
      <c r="K33" t="s">
        <v>25</v>
      </c>
      <c r="L33" t="s">
        <v>20</v>
      </c>
      <c r="M33">
        <v>7</v>
      </c>
      <c r="N33">
        <f>YEAR(Table1[[#This Row],[Date of Joining]])</f>
        <v>2020</v>
      </c>
      <c r="O3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10 Months</v>
      </c>
      <c r="P33" t="str" cm="1">
        <f t="array" aca="1" ref="P3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34" spans="1:16" x14ac:dyDescent="0.25">
      <c r="A34" t="s">
        <v>12</v>
      </c>
      <c r="C34">
        <v>131049</v>
      </c>
      <c r="D34" t="s">
        <v>91</v>
      </c>
      <c r="E34" s="1">
        <v>44000</v>
      </c>
      <c r="G34" t="s">
        <v>61</v>
      </c>
      <c r="H34" t="s">
        <v>82</v>
      </c>
      <c r="I34" t="s">
        <v>18</v>
      </c>
      <c r="J34" t="s">
        <v>19</v>
      </c>
      <c r="K34" t="s">
        <v>85</v>
      </c>
      <c r="L34" t="s">
        <v>20</v>
      </c>
      <c r="M34">
        <v>13</v>
      </c>
      <c r="N34">
        <f>YEAR(Table1[[#This Row],[Date of Joining]])</f>
        <v>2020</v>
      </c>
      <c r="O3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9 Months</v>
      </c>
      <c r="P34" t="str" cm="1">
        <f t="array" aca="1" ref="P3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35" spans="1:16" x14ac:dyDescent="0.25">
      <c r="A35" t="s">
        <v>21</v>
      </c>
      <c r="C35">
        <v>180582</v>
      </c>
      <c r="D35" t="s">
        <v>92</v>
      </c>
      <c r="E35" s="1">
        <v>44008</v>
      </c>
      <c r="F35" s="1">
        <v>44377</v>
      </c>
      <c r="G35" t="s">
        <v>53</v>
      </c>
      <c r="H35" t="s">
        <v>82</v>
      </c>
      <c r="I35" t="s">
        <v>35</v>
      </c>
      <c r="J35" t="s">
        <v>19</v>
      </c>
      <c r="K35" t="s">
        <v>93</v>
      </c>
      <c r="L35" t="s">
        <v>26</v>
      </c>
      <c r="M35">
        <v>0</v>
      </c>
      <c r="N35">
        <f>YEAR(Table1[[#This Row],[Date of Joining]])</f>
        <v>2020</v>
      </c>
      <c r="O3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0 Months</v>
      </c>
      <c r="P35" t="str" cm="1">
        <f t="array" aca="1" ref="P3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36" spans="1:16" x14ac:dyDescent="0.25">
      <c r="A36" t="s">
        <v>12</v>
      </c>
      <c r="C36">
        <v>126718</v>
      </c>
      <c r="D36" t="s">
        <v>94</v>
      </c>
      <c r="E36" s="1">
        <v>44020</v>
      </c>
      <c r="G36" t="s">
        <v>61</v>
      </c>
      <c r="H36" t="s">
        <v>82</v>
      </c>
      <c r="I36" t="s">
        <v>18</v>
      </c>
      <c r="J36" t="s">
        <v>19</v>
      </c>
      <c r="K36" t="s">
        <v>25</v>
      </c>
      <c r="L36" t="s">
        <v>26</v>
      </c>
      <c r="M36">
        <v>6.5</v>
      </c>
      <c r="N36">
        <f>YEAR(Table1[[#This Row],[Date of Joining]])</f>
        <v>2020</v>
      </c>
      <c r="O3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9 Months</v>
      </c>
      <c r="P36" t="str" cm="1">
        <f t="array" aca="1" ref="P3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37" spans="1:16" x14ac:dyDescent="0.25">
      <c r="A37" t="s">
        <v>12</v>
      </c>
      <c r="C37">
        <v>192425</v>
      </c>
      <c r="D37" t="s">
        <v>95</v>
      </c>
      <c r="E37" s="1">
        <v>44036</v>
      </c>
      <c r="G37" t="s">
        <v>16</v>
      </c>
      <c r="H37" t="s">
        <v>82</v>
      </c>
      <c r="I37" t="s">
        <v>18</v>
      </c>
      <c r="J37" t="s">
        <v>19</v>
      </c>
      <c r="K37" t="s">
        <v>25</v>
      </c>
      <c r="L37" t="s">
        <v>40</v>
      </c>
      <c r="M37">
        <v>8</v>
      </c>
      <c r="N37">
        <f>YEAR(Table1[[#This Row],[Date of Joining]])</f>
        <v>2020</v>
      </c>
      <c r="O3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8 Months</v>
      </c>
      <c r="P37" t="str" cm="1">
        <f t="array" aca="1" ref="P3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38" spans="1:16" x14ac:dyDescent="0.25">
      <c r="A38" t="s">
        <v>12</v>
      </c>
      <c r="C38">
        <v>174008</v>
      </c>
      <c r="D38" t="s">
        <v>96</v>
      </c>
      <c r="E38" s="1">
        <v>44043</v>
      </c>
      <c r="G38" t="s">
        <v>53</v>
      </c>
      <c r="H38" t="s">
        <v>82</v>
      </c>
      <c r="I38" t="s">
        <v>35</v>
      </c>
      <c r="J38" t="s">
        <v>19</v>
      </c>
      <c r="K38" t="s">
        <v>25</v>
      </c>
      <c r="L38" t="s">
        <v>26</v>
      </c>
      <c r="M38">
        <v>12</v>
      </c>
      <c r="N38">
        <f>YEAR(Table1[[#This Row],[Date of Joining]])</f>
        <v>2020</v>
      </c>
      <c r="O3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8 Months</v>
      </c>
      <c r="P38" t="str" cm="1">
        <f t="array" aca="1" ref="P3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39" spans="1:16" x14ac:dyDescent="0.25">
      <c r="A39" t="s">
        <v>21</v>
      </c>
      <c r="C39">
        <v>129735</v>
      </c>
      <c r="D39" t="s">
        <v>34</v>
      </c>
      <c r="E39" s="1">
        <v>44057</v>
      </c>
      <c r="F39" s="1">
        <v>44741</v>
      </c>
      <c r="G39" t="s">
        <v>61</v>
      </c>
      <c r="H39" t="s">
        <v>82</v>
      </c>
      <c r="I39" t="s">
        <v>18</v>
      </c>
      <c r="J39" t="s">
        <v>19</v>
      </c>
      <c r="K39" t="s">
        <v>25</v>
      </c>
      <c r="L39" t="s">
        <v>20</v>
      </c>
      <c r="M39">
        <v>5</v>
      </c>
      <c r="N39">
        <f>YEAR(Table1[[#This Row],[Date of Joining]])</f>
        <v>2020</v>
      </c>
      <c r="O3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10 Months</v>
      </c>
      <c r="P39" t="str" cm="1">
        <f t="array" aca="1" ref="P3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40" spans="1:16" x14ac:dyDescent="0.25">
      <c r="A40" t="s">
        <v>21</v>
      </c>
      <c r="C40">
        <v>117328</v>
      </c>
      <c r="D40" t="s">
        <v>97</v>
      </c>
      <c r="E40" s="1">
        <v>44069</v>
      </c>
      <c r="F40" s="1">
        <v>44681</v>
      </c>
      <c r="G40" t="s">
        <v>61</v>
      </c>
      <c r="H40" t="s">
        <v>82</v>
      </c>
      <c r="I40" t="s">
        <v>18</v>
      </c>
      <c r="J40" t="s">
        <v>24</v>
      </c>
      <c r="K40" t="s">
        <v>25</v>
      </c>
      <c r="L40" t="s">
        <v>20</v>
      </c>
      <c r="M40">
        <v>4.8</v>
      </c>
      <c r="N40">
        <f>YEAR(Table1[[#This Row],[Date of Joining]])</f>
        <v>2020</v>
      </c>
      <c r="O4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8 Months</v>
      </c>
      <c r="P40" t="str" cm="1">
        <f t="array" aca="1" ref="P4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41" spans="1:16" x14ac:dyDescent="0.25">
      <c r="A41" t="s">
        <v>12</v>
      </c>
      <c r="C41">
        <v>110646</v>
      </c>
      <c r="D41" t="s">
        <v>98</v>
      </c>
      <c r="E41" s="1">
        <v>44075</v>
      </c>
      <c r="G41" t="s">
        <v>48</v>
      </c>
      <c r="H41" t="s">
        <v>82</v>
      </c>
      <c r="I41" t="s">
        <v>18</v>
      </c>
      <c r="J41" t="s">
        <v>24</v>
      </c>
      <c r="K41" t="s">
        <v>25</v>
      </c>
      <c r="L41" t="s">
        <v>40</v>
      </c>
      <c r="M41">
        <v>9</v>
      </c>
      <c r="N41">
        <f>YEAR(Table1[[#This Row],[Date of Joining]])</f>
        <v>2020</v>
      </c>
      <c r="O4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7 Months</v>
      </c>
      <c r="P41" t="str" cm="1">
        <f t="array" aca="1" ref="P4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42" spans="1:16" x14ac:dyDescent="0.25">
      <c r="A42" t="s">
        <v>12</v>
      </c>
      <c r="C42">
        <v>114446</v>
      </c>
      <c r="D42" t="s">
        <v>99</v>
      </c>
      <c r="E42" s="1">
        <v>44075</v>
      </c>
      <c r="G42" t="s">
        <v>76</v>
      </c>
      <c r="H42" t="s">
        <v>82</v>
      </c>
      <c r="I42" t="s">
        <v>18</v>
      </c>
      <c r="J42" t="s">
        <v>24</v>
      </c>
      <c r="K42" t="s">
        <v>85</v>
      </c>
      <c r="L42" t="s">
        <v>40</v>
      </c>
      <c r="M42">
        <v>8</v>
      </c>
      <c r="N42">
        <f>YEAR(Table1[[#This Row],[Date of Joining]])</f>
        <v>2020</v>
      </c>
      <c r="O4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7 Months</v>
      </c>
      <c r="P42" t="str" cm="1">
        <f t="array" aca="1" ref="P4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43" spans="1:16" x14ac:dyDescent="0.25">
      <c r="A43" t="s">
        <v>12</v>
      </c>
      <c r="C43">
        <v>189125</v>
      </c>
      <c r="D43" t="s">
        <v>100</v>
      </c>
      <c r="E43" s="1">
        <v>44075</v>
      </c>
      <c r="G43" t="s">
        <v>34</v>
      </c>
      <c r="H43" t="s">
        <v>82</v>
      </c>
      <c r="I43" t="s">
        <v>18</v>
      </c>
      <c r="J43" t="s">
        <v>24</v>
      </c>
      <c r="K43" t="s">
        <v>85</v>
      </c>
      <c r="L43" t="s">
        <v>20</v>
      </c>
      <c r="M43">
        <v>17</v>
      </c>
      <c r="N43">
        <f>YEAR(Table1[[#This Row],[Date of Joining]])</f>
        <v>2020</v>
      </c>
      <c r="O4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7 Months</v>
      </c>
      <c r="P43" t="str" cm="1">
        <f t="array" aca="1" ref="P4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44" spans="1:16" x14ac:dyDescent="0.25">
      <c r="A44" t="s">
        <v>12</v>
      </c>
      <c r="B44" t="s">
        <v>13</v>
      </c>
      <c r="C44">
        <v>183930</v>
      </c>
      <c r="D44" t="s">
        <v>101</v>
      </c>
      <c r="E44" s="1">
        <v>44075</v>
      </c>
      <c r="G44" t="s">
        <v>34</v>
      </c>
      <c r="H44" t="s">
        <v>82</v>
      </c>
      <c r="I44" t="s">
        <v>18</v>
      </c>
      <c r="J44" t="s">
        <v>24</v>
      </c>
      <c r="K44" t="s">
        <v>85</v>
      </c>
      <c r="L44" t="s">
        <v>26</v>
      </c>
      <c r="M44">
        <v>13</v>
      </c>
      <c r="N44">
        <f>YEAR(Table1[[#This Row],[Date of Joining]])</f>
        <v>2020</v>
      </c>
      <c r="O4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7 Months</v>
      </c>
      <c r="P44" t="str" cm="1">
        <f t="array" aca="1" ref="P4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45" spans="1:16" x14ac:dyDescent="0.25">
      <c r="A45" t="s">
        <v>12</v>
      </c>
      <c r="C45">
        <v>110730</v>
      </c>
      <c r="D45" t="s">
        <v>39</v>
      </c>
      <c r="E45" s="1">
        <v>44075</v>
      </c>
      <c r="G45" t="s">
        <v>39</v>
      </c>
      <c r="H45" t="s">
        <v>82</v>
      </c>
      <c r="I45" t="s">
        <v>18</v>
      </c>
      <c r="J45" t="s">
        <v>19</v>
      </c>
      <c r="K45" t="s">
        <v>85</v>
      </c>
      <c r="L45" t="s">
        <v>40</v>
      </c>
      <c r="M45">
        <v>13</v>
      </c>
      <c r="N45">
        <f>YEAR(Table1[[#This Row],[Date of Joining]])</f>
        <v>2020</v>
      </c>
      <c r="O4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7 Months</v>
      </c>
      <c r="P45" t="str" cm="1">
        <f t="array" aca="1" ref="P4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46" spans="1:16" x14ac:dyDescent="0.25">
      <c r="A46" t="s">
        <v>12</v>
      </c>
      <c r="C46">
        <v>131079</v>
      </c>
      <c r="D46" t="s">
        <v>102</v>
      </c>
      <c r="E46" s="1">
        <v>44075</v>
      </c>
      <c r="G46" t="s">
        <v>16</v>
      </c>
      <c r="H46" t="s">
        <v>82</v>
      </c>
      <c r="I46" t="s">
        <v>18</v>
      </c>
      <c r="J46" t="s">
        <v>19</v>
      </c>
      <c r="K46" t="s">
        <v>85</v>
      </c>
      <c r="L46" t="s">
        <v>20</v>
      </c>
      <c r="M46">
        <v>13</v>
      </c>
      <c r="N46">
        <f>YEAR(Table1[[#This Row],[Date of Joining]])</f>
        <v>2020</v>
      </c>
      <c r="O4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7 Months</v>
      </c>
      <c r="P46" t="str" cm="1">
        <f t="array" aca="1" ref="P4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47" spans="1:16" x14ac:dyDescent="0.25">
      <c r="A47" t="s">
        <v>12</v>
      </c>
      <c r="C47">
        <v>180612</v>
      </c>
      <c r="D47" t="s">
        <v>103</v>
      </c>
      <c r="E47" s="1">
        <v>44075</v>
      </c>
      <c r="G47" t="s">
        <v>53</v>
      </c>
      <c r="H47" t="s">
        <v>82</v>
      </c>
      <c r="I47" t="s">
        <v>35</v>
      </c>
      <c r="J47" t="s">
        <v>19</v>
      </c>
      <c r="K47" t="s">
        <v>93</v>
      </c>
      <c r="L47" t="s">
        <v>26</v>
      </c>
      <c r="M47">
        <v>0</v>
      </c>
      <c r="N47">
        <f>YEAR(Table1[[#This Row],[Date of Joining]])</f>
        <v>2020</v>
      </c>
      <c r="O4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7 Months</v>
      </c>
      <c r="P47" t="str" cm="1">
        <f t="array" aca="1" ref="P4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48" spans="1:16" x14ac:dyDescent="0.25">
      <c r="A48" t="s">
        <v>21</v>
      </c>
      <c r="C48">
        <v>154702</v>
      </c>
      <c r="D48" t="s">
        <v>104</v>
      </c>
      <c r="E48" s="1">
        <v>44083</v>
      </c>
      <c r="F48" s="1">
        <v>45311</v>
      </c>
      <c r="G48" t="s">
        <v>61</v>
      </c>
      <c r="H48" t="s">
        <v>82</v>
      </c>
      <c r="I48" t="s">
        <v>35</v>
      </c>
      <c r="J48" t="s">
        <v>24</v>
      </c>
      <c r="K48" t="s">
        <v>93</v>
      </c>
      <c r="L48" t="s">
        <v>20</v>
      </c>
      <c r="M48">
        <v>0</v>
      </c>
      <c r="N48">
        <f>YEAR(Table1[[#This Row],[Date of Joining]])</f>
        <v>2020</v>
      </c>
      <c r="O4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4 Months</v>
      </c>
      <c r="P48" t="str" cm="1">
        <f t="array" aca="1" ref="P4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49" spans="1:16" x14ac:dyDescent="0.25">
      <c r="A49" t="s">
        <v>12</v>
      </c>
      <c r="C49">
        <v>101286</v>
      </c>
      <c r="D49" t="s">
        <v>105</v>
      </c>
      <c r="E49" s="1">
        <v>44083</v>
      </c>
      <c r="G49" t="s">
        <v>61</v>
      </c>
      <c r="H49" t="s">
        <v>82</v>
      </c>
      <c r="I49" t="s">
        <v>18</v>
      </c>
      <c r="J49" t="s">
        <v>19</v>
      </c>
      <c r="K49" t="s">
        <v>85</v>
      </c>
      <c r="L49" t="s">
        <v>31</v>
      </c>
      <c r="M49">
        <v>14</v>
      </c>
      <c r="N49">
        <f>YEAR(Table1[[#This Row],[Date of Joining]])</f>
        <v>2020</v>
      </c>
      <c r="O4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7 Months</v>
      </c>
      <c r="P49" t="str" cm="1">
        <f t="array" aca="1" ref="P4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50" spans="1:16" x14ac:dyDescent="0.25">
      <c r="A50" t="s">
        <v>21</v>
      </c>
      <c r="C50">
        <v>137383</v>
      </c>
      <c r="D50" t="s">
        <v>16</v>
      </c>
      <c r="E50" s="1">
        <v>44090</v>
      </c>
      <c r="F50" s="1">
        <v>44258</v>
      </c>
      <c r="G50" t="s">
        <v>48</v>
      </c>
      <c r="H50" t="s">
        <v>82</v>
      </c>
      <c r="I50" t="s">
        <v>18</v>
      </c>
      <c r="J50" t="s">
        <v>19</v>
      </c>
      <c r="K50" t="s">
        <v>85</v>
      </c>
      <c r="L50" t="s">
        <v>20</v>
      </c>
      <c r="M50">
        <v>9</v>
      </c>
      <c r="N50">
        <f>YEAR(Table1[[#This Row],[Date of Joining]])</f>
        <v>2020</v>
      </c>
      <c r="O5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Months</v>
      </c>
      <c r="P50" t="str" cm="1">
        <f t="array" aca="1" ref="P5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51" spans="1:16" x14ac:dyDescent="0.25">
      <c r="A51" t="s">
        <v>21</v>
      </c>
      <c r="C51">
        <v>185704</v>
      </c>
      <c r="D51" t="s">
        <v>61</v>
      </c>
      <c r="E51" s="1">
        <v>44090</v>
      </c>
      <c r="F51" s="1">
        <v>44395</v>
      </c>
      <c r="G51" t="s">
        <v>53</v>
      </c>
      <c r="H51" t="s">
        <v>82</v>
      </c>
      <c r="I51" t="s">
        <v>18</v>
      </c>
      <c r="J51" t="s">
        <v>19</v>
      </c>
      <c r="K51" t="s">
        <v>93</v>
      </c>
      <c r="L51" t="s">
        <v>45</v>
      </c>
      <c r="M51">
        <v>0</v>
      </c>
      <c r="N51">
        <f>YEAR(Table1[[#This Row],[Date of Joining]])</f>
        <v>2020</v>
      </c>
      <c r="O5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10 Months</v>
      </c>
      <c r="P51" t="str" cm="1">
        <f t="array" aca="1" ref="P5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52" spans="1:16" x14ac:dyDescent="0.25">
      <c r="A52" t="s">
        <v>21</v>
      </c>
      <c r="C52">
        <v>151727</v>
      </c>
      <c r="D52" t="s">
        <v>106</v>
      </c>
      <c r="E52" s="1">
        <v>44090</v>
      </c>
      <c r="F52" s="1">
        <v>45106</v>
      </c>
      <c r="G52" t="s">
        <v>53</v>
      </c>
      <c r="H52" t="s">
        <v>82</v>
      </c>
      <c r="I52" t="s">
        <v>18</v>
      </c>
      <c r="J52" t="s">
        <v>19</v>
      </c>
      <c r="K52" t="s">
        <v>93</v>
      </c>
      <c r="L52" t="s">
        <v>45</v>
      </c>
      <c r="M52">
        <v>0</v>
      </c>
      <c r="N52">
        <f>YEAR(Table1[[#This Row],[Date of Joining]])</f>
        <v>2020</v>
      </c>
      <c r="O5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9 Months</v>
      </c>
      <c r="P52" t="str" cm="1">
        <f t="array" aca="1" ref="P5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53" spans="1:16" x14ac:dyDescent="0.25">
      <c r="A53" t="s">
        <v>21</v>
      </c>
      <c r="C53">
        <v>135167</v>
      </c>
      <c r="D53" t="s">
        <v>107</v>
      </c>
      <c r="E53" s="1">
        <v>44090</v>
      </c>
      <c r="F53" s="1">
        <v>45195</v>
      </c>
      <c r="G53" t="s">
        <v>53</v>
      </c>
      <c r="H53" t="s">
        <v>82</v>
      </c>
      <c r="I53" t="s">
        <v>18</v>
      </c>
      <c r="J53" t="s">
        <v>19</v>
      </c>
      <c r="K53" t="s">
        <v>93</v>
      </c>
      <c r="L53" t="s">
        <v>45</v>
      </c>
      <c r="M53">
        <v>0</v>
      </c>
      <c r="N53">
        <f>YEAR(Table1[[#This Row],[Date of Joining]])</f>
        <v>2020</v>
      </c>
      <c r="O5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0 Months</v>
      </c>
      <c r="P53" t="str" cm="1">
        <f t="array" aca="1" ref="P5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54" spans="1:16" x14ac:dyDescent="0.25">
      <c r="A54" t="s">
        <v>21</v>
      </c>
      <c r="C54">
        <v>100971</v>
      </c>
      <c r="D54" t="s">
        <v>108</v>
      </c>
      <c r="E54" s="1">
        <v>44090</v>
      </c>
      <c r="F54" s="1">
        <v>45283</v>
      </c>
      <c r="G54" t="s">
        <v>53</v>
      </c>
      <c r="H54" t="s">
        <v>82</v>
      </c>
      <c r="I54" t="s">
        <v>18</v>
      </c>
      <c r="J54" t="s">
        <v>19</v>
      </c>
      <c r="K54" t="s">
        <v>93</v>
      </c>
      <c r="L54" t="s">
        <v>45</v>
      </c>
      <c r="M54">
        <v>0</v>
      </c>
      <c r="N54">
        <f>YEAR(Table1[[#This Row],[Date of Joining]])</f>
        <v>2020</v>
      </c>
      <c r="O5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3 Months</v>
      </c>
      <c r="P54" t="str" cm="1">
        <f t="array" aca="1" ref="P5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55" spans="1:16" x14ac:dyDescent="0.25">
      <c r="A55" t="s">
        <v>21</v>
      </c>
      <c r="C55">
        <v>145787</v>
      </c>
      <c r="D55" t="s">
        <v>109</v>
      </c>
      <c r="E55" s="1">
        <v>44090</v>
      </c>
      <c r="F55" s="1">
        <v>45318</v>
      </c>
      <c r="G55" t="s">
        <v>53</v>
      </c>
      <c r="H55" t="s">
        <v>82</v>
      </c>
      <c r="I55" t="s">
        <v>35</v>
      </c>
      <c r="J55" t="s">
        <v>24</v>
      </c>
      <c r="K55" t="s">
        <v>93</v>
      </c>
      <c r="L55" t="s">
        <v>45</v>
      </c>
      <c r="M55">
        <v>0</v>
      </c>
      <c r="N55">
        <f>YEAR(Table1[[#This Row],[Date of Joining]])</f>
        <v>2020</v>
      </c>
      <c r="O5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4 Months</v>
      </c>
      <c r="P55" t="str" cm="1">
        <f t="array" aca="1" ref="P5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56" spans="1:16" x14ac:dyDescent="0.25">
      <c r="A56" t="s">
        <v>21</v>
      </c>
      <c r="C56">
        <v>170924</v>
      </c>
      <c r="D56" t="s">
        <v>110</v>
      </c>
      <c r="E56" s="1">
        <v>44090</v>
      </c>
      <c r="F56" s="1">
        <v>45368</v>
      </c>
      <c r="G56" t="s">
        <v>76</v>
      </c>
      <c r="H56" t="s">
        <v>82</v>
      </c>
      <c r="I56" t="s">
        <v>18</v>
      </c>
      <c r="J56" t="s">
        <v>19</v>
      </c>
      <c r="K56" t="s">
        <v>93</v>
      </c>
      <c r="L56" t="s">
        <v>45</v>
      </c>
      <c r="M56">
        <v>0</v>
      </c>
      <c r="N56">
        <f>YEAR(Table1[[#This Row],[Date of Joining]])</f>
        <v>2020</v>
      </c>
      <c r="O5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6 Months</v>
      </c>
      <c r="P56" t="str" cm="1">
        <f t="array" aca="1" ref="P5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57" spans="1:16" x14ac:dyDescent="0.25">
      <c r="A57" t="s">
        <v>21</v>
      </c>
      <c r="C57">
        <v>129573</v>
      </c>
      <c r="D57" t="s">
        <v>111</v>
      </c>
      <c r="E57" s="1">
        <v>44090</v>
      </c>
      <c r="F57" s="1">
        <v>45564</v>
      </c>
      <c r="G57" t="s">
        <v>34</v>
      </c>
      <c r="H57" t="s">
        <v>82</v>
      </c>
      <c r="I57" t="s">
        <v>35</v>
      </c>
      <c r="J57" t="s">
        <v>19</v>
      </c>
      <c r="K57" t="s">
        <v>25</v>
      </c>
      <c r="L57" t="s">
        <v>45</v>
      </c>
      <c r="M57">
        <v>0</v>
      </c>
      <c r="N57">
        <f>YEAR(Table1[[#This Row],[Date of Joining]])</f>
        <v>2020</v>
      </c>
      <c r="O5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0 Months</v>
      </c>
      <c r="P57" t="str" cm="1">
        <f t="array" aca="1" ref="P5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58" spans="1:16" x14ac:dyDescent="0.25">
      <c r="A58" t="s">
        <v>12</v>
      </c>
      <c r="C58">
        <v>115742</v>
      </c>
      <c r="D58" t="s">
        <v>112</v>
      </c>
      <c r="E58" s="1">
        <v>44090</v>
      </c>
      <c r="G58" t="s">
        <v>34</v>
      </c>
      <c r="H58" t="s">
        <v>82</v>
      </c>
      <c r="I58" t="s">
        <v>35</v>
      </c>
      <c r="J58" t="s">
        <v>19</v>
      </c>
      <c r="K58" t="s">
        <v>25</v>
      </c>
      <c r="L58" t="s">
        <v>45</v>
      </c>
      <c r="M58">
        <v>0</v>
      </c>
      <c r="N58">
        <f>YEAR(Table1[[#This Row],[Date of Joining]])</f>
        <v>2020</v>
      </c>
      <c r="O5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6 Months</v>
      </c>
      <c r="P58" t="str" cm="1">
        <f t="array" aca="1" ref="P5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59" spans="1:16" x14ac:dyDescent="0.25">
      <c r="A59" t="s">
        <v>12</v>
      </c>
      <c r="C59">
        <v>126064</v>
      </c>
      <c r="D59" t="s">
        <v>113</v>
      </c>
      <c r="E59" s="1">
        <v>44090</v>
      </c>
      <c r="G59" t="s">
        <v>34</v>
      </c>
      <c r="H59" t="s">
        <v>82</v>
      </c>
      <c r="I59" t="s">
        <v>35</v>
      </c>
      <c r="J59" t="s">
        <v>19</v>
      </c>
      <c r="K59" t="s">
        <v>25</v>
      </c>
      <c r="L59" t="s">
        <v>45</v>
      </c>
      <c r="M59">
        <v>0</v>
      </c>
      <c r="N59">
        <f>YEAR(Table1[[#This Row],[Date of Joining]])</f>
        <v>2020</v>
      </c>
      <c r="O5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6 Months</v>
      </c>
      <c r="P59" t="str" cm="1">
        <f t="array" aca="1" ref="P5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60" spans="1:16" x14ac:dyDescent="0.25">
      <c r="A60" t="s">
        <v>12</v>
      </c>
      <c r="C60">
        <v>173140</v>
      </c>
      <c r="D60" t="s">
        <v>114</v>
      </c>
      <c r="E60" s="1">
        <v>44090</v>
      </c>
      <c r="G60" t="s">
        <v>76</v>
      </c>
      <c r="H60" t="s">
        <v>82</v>
      </c>
      <c r="I60" t="s">
        <v>18</v>
      </c>
      <c r="J60" t="s">
        <v>19</v>
      </c>
      <c r="K60" t="s">
        <v>25</v>
      </c>
      <c r="L60" t="s">
        <v>45</v>
      </c>
      <c r="M60">
        <v>0</v>
      </c>
      <c r="N60">
        <f>YEAR(Table1[[#This Row],[Date of Joining]])</f>
        <v>2020</v>
      </c>
      <c r="O6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6 Months</v>
      </c>
      <c r="P60" t="str" cm="1">
        <f t="array" aca="1" ref="P6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61" spans="1:16" x14ac:dyDescent="0.25">
      <c r="A61" t="s">
        <v>21</v>
      </c>
      <c r="C61">
        <v>181592</v>
      </c>
      <c r="D61" t="s">
        <v>115</v>
      </c>
      <c r="E61" s="1">
        <v>44120</v>
      </c>
      <c r="F61" s="1">
        <v>45325</v>
      </c>
      <c r="G61" t="s">
        <v>76</v>
      </c>
      <c r="H61" t="s">
        <v>82</v>
      </c>
      <c r="I61" t="s">
        <v>18</v>
      </c>
      <c r="J61" t="s">
        <v>24</v>
      </c>
      <c r="K61" t="s">
        <v>85</v>
      </c>
      <c r="L61" t="s">
        <v>45</v>
      </c>
      <c r="M61">
        <v>12</v>
      </c>
      <c r="N61">
        <f>YEAR(Table1[[#This Row],[Date of Joining]])</f>
        <v>2020</v>
      </c>
      <c r="O6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3 Months</v>
      </c>
      <c r="P61" t="str" cm="1">
        <f t="array" aca="1" ref="P6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62" spans="1:16" x14ac:dyDescent="0.25">
      <c r="A62" t="s">
        <v>21</v>
      </c>
      <c r="C62">
        <v>144158</v>
      </c>
      <c r="D62" t="s">
        <v>116</v>
      </c>
      <c r="E62" s="1">
        <v>44163</v>
      </c>
      <c r="F62" s="1">
        <v>45016</v>
      </c>
      <c r="G62" t="s">
        <v>16</v>
      </c>
      <c r="H62" t="s">
        <v>82</v>
      </c>
      <c r="I62" t="s">
        <v>18</v>
      </c>
      <c r="J62" t="s">
        <v>24</v>
      </c>
      <c r="K62" t="s">
        <v>25</v>
      </c>
      <c r="L62" t="s">
        <v>26</v>
      </c>
      <c r="M62">
        <v>6</v>
      </c>
      <c r="N62">
        <f>YEAR(Table1[[#This Row],[Date of Joining]])</f>
        <v>2020</v>
      </c>
      <c r="O6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4 Months</v>
      </c>
      <c r="P62" t="str" cm="1">
        <f t="array" aca="1" ref="P6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63" spans="1:16" x14ac:dyDescent="0.25">
      <c r="A63" t="s">
        <v>12</v>
      </c>
      <c r="C63">
        <v>178955</v>
      </c>
      <c r="D63" t="s">
        <v>117</v>
      </c>
      <c r="E63" s="1">
        <v>44167</v>
      </c>
      <c r="G63" t="s">
        <v>76</v>
      </c>
      <c r="H63" t="s">
        <v>82</v>
      </c>
      <c r="I63" t="s">
        <v>18</v>
      </c>
      <c r="J63" t="s">
        <v>19</v>
      </c>
      <c r="K63" t="s">
        <v>25</v>
      </c>
      <c r="L63" t="s">
        <v>26</v>
      </c>
      <c r="M63">
        <v>8</v>
      </c>
      <c r="N63">
        <f>YEAR(Table1[[#This Row],[Date of Joining]])</f>
        <v>2020</v>
      </c>
      <c r="O6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4 Months</v>
      </c>
      <c r="P63" t="str" cm="1">
        <f t="array" aca="1" ref="P6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64" spans="1:16" x14ac:dyDescent="0.25">
      <c r="A64" t="s">
        <v>21</v>
      </c>
      <c r="C64">
        <v>110616</v>
      </c>
      <c r="D64" t="s">
        <v>118</v>
      </c>
      <c r="E64" s="1">
        <v>44186</v>
      </c>
      <c r="F64" s="1">
        <v>44651</v>
      </c>
      <c r="G64" t="s">
        <v>16</v>
      </c>
      <c r="H64" t="s">
        <v>82</v>
      </c>
      <c r="I64" t="s">
        <v>18</v>
      </c>
      <c r="J64" t="s">
        <v>24</v>
      </c>
      <c r="K64" t="s">
        <v>25</v>
      </c>
      <c r="L64" t="s">
        <v>40</v>
      </c>
      <c r="M64">
        <v>9</v>
      </c>
      <c r="N64">
        <f>YEAR(Table1[[#This Row],[Date of Joining]])</f>
        <v>2020</v>
      </c>
      <c r="O6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3 Months</v>
      </c>
      <c r="P64" t="str" cm="1">
        <f t="array" aca="1" ref="P6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65" spans="1:16" x14ac:dyDescent="0.25">
      <c r="A65" t="s">
        <v>21</v>
      </c>
      <c r="C65">
        <v>120981</v>
      </c>
      <c r="D65" t="s">
        <v>119</v>
      </c>
      <c r="E65" s="1">
        <v>44191</v>
      </c>
      <c r="F65" s="1">
        <v>45108</v>
      </c>
      <c r="G65" t="s">
        <v>16</v>
      </c>
      <c r="H65" t="s">
        <v>82</v>
      </c>
      <c r="I65" t="s">
        <v>35</v>
      </c>
      <c r="J65" t="s">
        <v>19</v>
      </c>
      <c r="K65" t="s">
        <v>93</v>
      </c>
      <c r="L65" t="s">
        <v>20</v>
      </c>
      <c r="M65">
        <v>0</v>
      </c>
      <c r="N65">
        <f>YEAR(Table1[[#This Row],[Date of Joining]])</f>
        <v>2020</v>
      </c>
      <c r="O6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6 Months</v>
      </c>
      <c r="P65" t="str" cm="1">
        <f t="array" aca="1" ref="P6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66" spans="1:16" x14ac:dyDescent="0.25">
      <c r="A66" t="s">
        <v>21</v>
      </c>
      <c r="C66">
        <v>140182</v>
      </c>
      <c r="D66" t="s">
        <v>120</v>
      </c>
      <c r="E66" s="1">
        <v>44218</v>
      </c>
      <c r="F66" s="1">
        <v>44635</v>
      </c>
      <c r="G66" t="s">
        <v>53</v>
      </c>
      <c r="H66" t="s">
        <v>82</v>
      </c>
      <c r="I66" t="s">
        <v>35</v>
      </c>
      <c r="J66" t="s">
        <v>19</v>
      </c>
      <c r="K66" t="s">
        <v>93</v>
      </c>
      <c r="L66" t="s">
        <v>20</v>
      </c>
      <c r="M66">
        <v>0</v>
      </c>
      <c r="N66">
        <f>YEAR(Table1[[#This Row],[Date of Joining]])</f>
        <v>2021</v>
      </c>
      <c r="O6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1 Months</v>
      </c>
      <c r="P66" t="str" cm="1">
        <f t="array" aca="1" ref="P6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67" spans="1:16" x14ac:dyDescent="0.25">
      <c r="A67" t="s">
        <v>21</v>
      </c>
      <c r="C67">
        <v>174057</v>
      </c>
      <c r="D67" t="s">
        <v>121</v>
      </c>
      <c r="E67" s="1">
        <v>44218</v>
      </c>
      <c r="F67" s="1">
        <v>44965</v>
      </c>
      <c r="G67" t="s">
        <v>53</v>
      </c>
      <c r="H67" t="s">
        <v>82</v>
      </c>
      <c r="I67" t="s">
        <v>18</v>
      </c>
      <c r="J67" t="s">
        <v>24</v>
      </c>
      <c r="K67" t="s">
        <v>25</v>
      </c>
      <c r="L67" t="s">
        <v>20</v>
      </c>
      <c r="M67">
        <v>6</v>
      </c>
      <c r="N67">
        <f>YEAR(Table1[[#This Row],[Date of Joining]])</f>
        <v>2021</v>
      </c>
      <c r="O6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0 Months</v>
      </c>
      <c r="P67" t="str" cm="1">
        <f t="array" aca="1" ref="P6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68" spans="1:16" x14ac:dyDescent="0.25">
      <c r="A68" t="s">
        <v>21</v>
      </c>
      <c r="C68">
        <v>124194</v>
      </c>
      <c r="D68" t="s">
        <v>122</v>
      </c>
      <c r="E68" s="1">
        <v>44225</v>
      </c>
      <c r="F68" s="1">
        <v>44630</v>
      </c>
      <c r="G68" t="s">
        <v>34</v>
      </c>
      <c r="H68" t="s">
        <v>82</v>
      </c>
      <c r="I68" t="s">
        <v>18</v>
      </c>
      <c r="J68" t="s">
        <v>24</v>
      </c>
      <c r="K68" t="s">
        <v>85</v>
      </c>
      <c r="L68" t="s">
        <v>26</v>
      </c>
      <c r="M68">
        <v>13</v>
      </c>
      <c r="N68">
        <f>YEAR(Table1[[#This Row],[Date of Joining]])</f>
        <v>2021</v>
      </c>
      <c r="O6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1 Months</v>
      </c>
      <c r="P68" t="str" cm="1">
        <f t="array" aca="1" ref="P6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69" spans="1:16" x14ac:dyDescent="0.25">
      <c r="A69" t="s">
        <v>21</v>
      </c>
      <c r="C69">
        <v>185420</v>
      </c>
      <c r="D69" t="s">
        <v>123</v>
      </c>
      <c r="E69" s="1">
        <v>44246</v>
      </c>
      <c r="F69" s="1">
        <v>45199</v>
      </c>
      <c r="G69" t="s">
        <v>39</v>
      </c>
      <c r="H69" t="s">
        <v>82</v>
      </c>
      <c r="I69" t="s">
        <v>18</v>
      </c>
      <c r="J69" t="s">
        <v>24</v>
      </c>
      <c r="K69" t="s">
        <v>25</v>
      </c>
      <c r="L69" t="s">
        <v>31</v>
      </c>
      <c r="M69">
        <v>5</v>
      </c>
      <c r="N69">
        <f>YEAR(Table1[[#This Row],[Date of Joining]])</f>
        <v>2021</v>
      </c>
      <c r="O6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7 Months</v>
      </c>
      <c r="P69" t="str" cm="1">
        <f t="array" aca="1" ref="P6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70" spans="1:16" x14ac:dyDescent="0.25">
      <c r="A70" t="s">
        <v>21</v>
      </c>
      <c r="C70">
        <v>184945</v>
      </c>
      <c r="D70" t="s">
        <v>124</v>
      </c>
      <c r="E70" s="1">
        <v>44251</v>
      </c>
      <c r="F70" s="1">
        <v>44748</v>
      </c>
      <c r="G70" t="s">
        <v>34</v>
      </c>
      <c r="H70" t="s">
        <v>82</v>
      </c>
      <c r="I70" t="s">
        <v>18</v>
      </c>
      <c r="J70" t="s">
        <v>24</v>
      </c>
      <c r="K70" t="s">
        <v>25</v>
      </c>
      <c r="L70" t="s">
        <v>26</v>
      </c>
      <c r="M70">
        <v>10</v>
      </c>
      <c r="N70">
        <f>YEAR(Table1[[#This Row],[Date of Joining]])</f>
        <v>2021</v>
      </c>
      <c r="O7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4 Months</v>
      </c>
      <c r="P70" t="str" cm="1">
        <f t="array" aca="1" ref="P7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71" spans="1:16" x14ac:dyDescent="0.25">
      <c r="A71" t="s">
        <v>12</v>
      </c>
      <c r="C71">
        <v>129852</v>
      </c>
      <c r="D71" t="s">
        <v>125</v>
      </c>
      <c r="E71" s="1">
        <v>44257</v>
      </c>
      <c r="G71" t="s">
        <v>53</v>
      </c>
      <c r="H71" t="s">
        <v>82</v>
      </c>
      <c r="I71" t="s">
        <v>18</v>
      </c>
      <c r="J71" t="s">
        <v>19</v>
      </c>
      <c r="K71" t="s">
        <v>85</v>
      </c>
      <c r="L71" t="s">
        <v>20</v>
      </c>
      <c r="M71">
        <v>10</v>
      </c>
      <c r="N71">
        <f>YEAR(Table1[[#This Row],[Date of Joining]])</f>
        <v>2021</v>
      </c>
      <c r="O7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1 Months</v>
      </c>
      <c r="P71" t="str" cm="1">
        <f t="array" aca="1" ref="P7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72" spans="1:16" x14ac:dyDescent="0.25">
      <c r="A72" t="s">
        <v>21</v>
      </c>
      <c r="C72">
        <v>139272</v>
      </c>
      <c r="D72" t="s">
        <v>126</v>
      </c>
      <c r="E72" s="1">
        <v>44264</v>
      </c>
      <c r="F72" s="1">
        <v>45107</v>
      </c>
      <c r="G72" t="s">
        <v>16</v>
      </c>
      <c r="H72" t="s">
        <v>82</v>
      </c>
      <c r="I72" t="s">
        <v>35</v>
      </c>
      <c r="J72" t="s">
        <v>24</v>
      </c>
      <c r="K72" t="s">
        <v>25</v>
      </c>
      <c r="L72" t="s">
        <v>20</v>
      </c>
      <c r="M72">
        <v>8</v>
      </c>
      <c r="N72">
        <f>YEAR(Table1[[#This Row],[Date of Joining]])</f>
        <v>2021</v>
      </c>
      <c r="O7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3 Months</v>
      </c>
      <c r="P72" t="str" cm="1">
        <f t="array" aca="1" ref="P7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73" spans="1:16" x14ac:dyDescent="0.25">
      <c r="A73" t="s">
        <v>12</v>
      </c>
      <c r="C73">
        <v>194976</v>
      </c>
      <c r="D73" t="s">
        <v>127</v>
      </c>
      <c r="E73" s="1">
        <v>44271</v>
      </c>
      <c r="G73" t="s">
        <v>53</v>
      </c>
      <c r="H73" t="s">
        <v>82</v>
      </c>
      <c r="I73" t="s">
        <v>35</v>
      </c>
      <c r="J73" t="s">
        <v>19</v>
      </c>
      <c r="K73" t="s">
        <v>25</v>
      </c>
      <c r="L73" t="s">
        <v>20</v>
      </c>
      <c r="M73">
        <v>3.5</v>
      </c>
      <c r="N73">
        <f>YEAR(Table1[[#This Row],[Date of Joining]])</f>
        <v>2021</v>
      </c>
      <c r="O7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5 Years 0 Months</v>
      </c>
      <c r="P73" t="str" cm="1">
        <f t="array" aca="1" ref="P7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5+ Years</v>
      </c>
    </row>
    <row r="74" spans="1:16" x14ac:dyDescent="0.25">
      <c r="A74" t="s">
        <v>12</v>
      </c>
      <c r="C74">
        <v>132557</v>
      </c>
      <c r="D74" t="s">
        <v>128</v>
      </c>
      <c r="E74" s="1">
        <v>44343</v>
      </c>
      <c r="G74" t="s">
        <v>34</v>
      </c>
      <c r="H74" t="s">
        <v>82</v>
      </c>
      <c r="I74" t="s">
        <v>35</v>
      </c>
      <c r="J74" t="s">
        <v>19</v>
      </c>
      <c r="K74" t="s">
        <v>25</v>
      </c>
      <c r="L74" t="s">
        <v>31</v>
      </c>
      <c r="M74">
        <v>7</v>
      </c>
      <c r="N74">
        <f>YEAR(Table1[[#This Row],[Date of Joining]])</f>
        <v>2021</v>
      </c>
      <c r="O7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10 Months</v>
      </c>
      <c r="P74" t="str" cm="1">
        <f t="array" aca="1" ref="P7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75" spans="1:16" x14ac:dyDescent="0.25">
      <c r="A75" t="s">
        <v>21</v>
      </c>
      <c r="B75" t="s">
        <v>129</v>
      </c>
      <c r="C75">
        <v>187280</v>
      </c>
      <c r="D75" t="s">
        <v>130</v>
      </c>
      <c r="E75" s="1">
        <v>44418</v>
      </c>
      <c r="F75" s="1">
        <v>44611</v>
      </c>
      <c r="G75" t="s">
        <v>53</v>
      </c>
      <c r="H75" t="s">
        <v>82</v>
      </c>
      <c r="I75" t="s">
        <v>35</v>
      </c>
      <c r="J75" t="s">
        <v>19</v>
      </c>
      <c r="K75" t="s">
        <v>93</v>
      </c>
      <c r="L75" t="s">
        <v>20</v>
      </c>
      <c r="M75">
        <v>0</v>
      </c>
      <c r="N75">
        <f>YEAR(Table1[[#This Row],[Date of Joining]])</f>
        <v>2021</v>
      </c>
      <c r="O7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6 Months</v>
      </c>
      <c r="P75" t="str" cm="1">
        <f t="array" aca="1" ref="P7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76" spans="1:16" x14ac:dyDescent="0.25">
      <c r="A76" t="s">
        <v>12</v>
      </c>
      <c r="B76" t="s">
        <v>129</v>
      </c>
      <c r="C76">
        <v>190396</v>
      </c>
      <c r="D76" t="s">
        <v>131</v>
      </c>
      <c r="E76" s="1">
        <v>44418</v>
      </c>
      <c r="G76" t="s">
        <v>53</v>
      </c>
      <c r="H76" t="s">
        <v>82</v>
      </c>
      <c r="I76" t="s">
        <v>18</v>
      </c>
      <c r="J76" t="s">
        <v>19</v>
      </c>
      <c r="K76" t="s">
        <v>93</v>
      </c>
      <c r="L76" t="s">
        <v>20</v>
      </c>
      <c r="M76">
        <v>0</v>
      </c>
      <c r="N76">
        <f>YEAR(Table1[[#This Row],[Date of Joining]])</f>
        <v>2021</v>
      </c>
      <c r="O7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8 Months</v>
      </c>
      <c r="P76" t="str" cm="1">
        <f t="array" aca="1" ref="P7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77" spans="1:16" x14ac:dyDescent="0.25">
      <c r="A77" t="s">
        <v>132</v>
      </c>
      <c r="C77">
        <v>161242</v>
      </c>
      <c r="D77" t="s">
        <v>133</v>
      </c>
      <c r="E77" s="1">
        <v>44420</v>
      </c>
      <c r="G77" t="s">
        <v>48</v>
      </c>
      <c r="H77" t="s">
        <v>82</v>
      </c>
      <c r="I77" t="s">
        <v>18</v>
      </c>
      <c r="J77" t="s">
        <v>24</v>
      </c>
      <c r="K77" t="s">
        <v>25</v>
      </c>
      <c r="L77" t="s">
        <v>20</v>
      </c>
      <c r="M77">
        <v>10</v>
      </c>
      <c r="N77">
        <f>YEAR(Table1[[#This Row],[Date of Joining]])</f>
        <v>2021</v>
      </c>
      <c r="O7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8 Months</v>
      </c>
      <c r="P77" t="str" cm="1">
        <f t="array" aca="1" ref="P7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78" spans="1:16" x14ac:dyDescent="0.25">
      <c r="A78" t="s">
        <v>21</v>
      </c>
      <c r="C78">
        <v>156965</v>
      </c>
      <c r="D78" t="s">
        <v>134</v>
      </c>
      <c r="E78" s="1">
        <v>44425</v>
      </c>
      <c r="F78" s="1">
        <v>44636</v>
      </c>
      <c r="G78" t="s">
        <v>53</v>
      </c>
      <c r="H78" t="s">
        <v>82</v>
      </c>
      <c r="I78" t="s">
        <v>35</v>
      </c>
      <c r="J78" t="s">
        <v>24</v>
      </c>
      <c r="K78" t="s">
        <v>25</v>
      </c>
      <c r="L78" t="s">
        <v>20</v>
      </c>
      <c r="M78">
        <v>11</v>
      </c>
      <c r="N78">
        <f>YEAR(Table1[[#This Row],[Date of Joining]])</f>
        <v>2021</v>
      </c>
      <c r="O7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6 Months</v>
      </c>
      <c r="P78" t="str" cm="1">
        <f t="array" aca="1" ref="P7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79" spans="1:16" x14ac:dyDescent="0.25">
      <c r="A79" t="s">
        <v>21</v>
      </c>
      <c r="C79">
        <v>192455</v>
      </c>
      <c r="D79" t="s">
        <v>135</v>
      </c>
      <c r="E79" s="1">
        <v>44440</v>
      </c>
      <c r="F79" s="1">
        <v>44445</v>
      </c>
      <c r="G79" t="s">
        <v>16</v>
      </c>
      <c r="H79" t="s">
        <v>82</v>
      </c>
      <c r="I79" t="s">
        <v>18</v>
      </c>
      <c r="J79" t="s">
        <v>24</v>
      </c>
      <c r="K79" t="s">
        <v>25</v>
      </c>
      <c r="L79" t="s">
        <v>40</v>
      </c>
      <c r="M79">
        <v>8</v>
      </c>
      <c r="N79">
        <f>YEAR(Table1[[#This Row],[Date of Joining]])</f>
        <v>2021</v>
      </c>
      <c r="O7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0 Months</v>
      </c>
      <c r="P79" t="str" cm="1">
        <f t="array" aca="1" ref="P7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80" spans="1:16" x14ac:dyDescent="0.25">
      <c r="A80" t="s">
        <v>21</v>
      </c>
      <c r="C80">
        <v>174038</v>
      </c>
      <c r="D80" t="s">
        <v>136</v>
      </c>
      <c r="E80" s="1">
        <v>44440</v>
      </c>
      <c r="G80" t="s">
        <v>53</v>
      </c>
      <c r="H80" t="s">
        <v>82</v>
      </c>
      <c r="I80" t="s">
        <v>35</v>
      </c>
      <c r="J80" t="s">
        <v>24</v>
      </c>
      <c r="K80" t="s">
        <v>25</v>
      </c>
      <c r="L80" t="s">
        <v>26</v>
      </c>
      <c r="M80">
        <v>12</v>
      </c>
      <c r="N80">
        <f>YEAR(Table1[[#This Row],[Date of Joining]])</f>
        <v>2021</v>
      </c>
      <c r="O8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7 Months</v>
      </c>
      <c r="P80" t="str" cm="1">
        <f t="array" aca="1" ref="P8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81" spans="1:16" x14ac:dyDescent="0.25">
      <c r="A81" t="s">
        <v>12</v>
      </c>
      <c r="C81">
        <v>129765</v>
      </c>
      <c r="D81" t="s">
        <v>137</v>
      </c>
      <c r="E81" s="1">
        <v>44075</v>
      </c>
      <c r="F81" s="1">
        <v>44282</v>
      </c>
      <c r="G81" t="s">
        <v>16</v>
      </c>
      <c r="H81" t="s">
        <v>82</v>
      </c>
      <c r="I81" t="s">
        <v>18</v>
      </c>
      <c r="J81" t="s">
        <v>19</v>
      </c>
      <c r="K81" t="s">
        <v>25</v>
      </c>
      <c r="L81" t="s">
        <v>20</v>
      </c>
      <c r="M81">
        <v>5</v>
      </c>
      <c r="N81">
        <f>YEAR(Table1[[#This Row],[Date of Joining]])</f>
        <v>2020</v>
      </c>
      <c r="O8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6 Months</v>
      </c>
      <c r="P81" t="str" cm="1">
        <f t="array" aca="1" ref="P8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82" spans="1:16" x14ac:dyDescent="0.25">
      <c r="A82" t="s">
        <v>12</v>
      </c>
      <c r="C82">
        <v>154732</v>
      </c>
      <c r="D82" t="s">
        <v>138</v>
      </c>
      <c r="E82" s="1">
        <v>44448</v>
      </c>
      <c r="G82" t="s">
        <v>61</v>
      </c>
      <c r="H82" t="s">
        <v>82</v>
      </c>
      <c r="I82" t="s">
        <v>35</v>
      </c>
      <c r="J82" t="s">
        <v>19</v>
      </c>
      <c r="K82" t="s">
        <v>93</v>
      </c>
      <c r="L82" t="s">
        <v>20</v>
      </c>
      <c r="M82">
        <v>0</v>
      </c>
      <c r="N82">
        <f>YEAR(Table1[[#This Row],[Date of Joining]])</f>
        <v>2021</v>
      </c>
      <c r="O8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7 Months</v>
      </c>
      <c r="P82" t="str" cm="1">
        <f t="array" aca="1" ref="P8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83" spans="1:16" x14ac:dyDescent="0.25">
      <c r="A83" t="s">
        <v>12</v>
      </c>
      <c r="C83">
        <v>137413</v>
      </c>
      <c r="D83" t="s">
        <v>139</v>
      </c>
      <c r="E83" s="1">
        <v>44455</v>
      </c>
      <c r="G83" t="s">
        <v>61</v>
      </c>
      <c r="H83" t="s">
        <v>82</v>
      </c>
      <c r="I83" t="s">
        <v>18</v>
      </c>
      <c r="J83" t="s">
        <v>19</v>
      </c>
      <c r="K83" t="s">
        <v>85</v>
      </c>
      <c r="L83" t="s">
        <v>20</v>
      </c>
      <c r="M83">
        <v>9</v>
      </c>
      <c r="N83">
        <f>YEAR(Table1[[#This Row],[Date of Joining]])</f>
        <v>2021</v>
      </c>
      <c r="O8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6 Months</v>
      </c>
      <c r="P83" t="str" cm="1">
        <f t="array" aca="1" ref="P8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84" spans="1:16" x14ac:dyDescent="0.25">
      <c r="A84" t="s">
        <v>12</v>
      </c>
      <c r="C84">
        <v>185734</v>
      </c>
      <c r="D84" t="s">
        <v>140</v>
      </c>
      <c r="E84" s="1">
        <v>44455</v>
      </c>
      <c r="G84" t="s">
        <v>53</v>
      </c>
      <c r="H84" t="s">
        <v>82</v>
      </c>
      <c r="I84" t="s">
        <v>18</v>
      </c>
      <c r="J84" t="s">
        <v>19</v>
      </c>
      <c r="K84" t="s">
        <v>93</v>
      </c>
      <c r="L84" t="s">
        <v>45</v>
      </c>
      <c r="M84">
        <v>0</v>
      </c>
      <c r="N84">
        <f>YEAR(Table1[[#This Row],[Date of Joining]])</f>
        <v>2021</v>
      </c>
      <c r="O8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6 Months</v>
      </c>
      <c r="P84" t="str" cm="1">
        <f t="array" aca="1" ref="P8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85" spans="1:16" x14ac:dyDescent="0.25">
      <c r="A85" t="s">
        <v>12</v>
      </c>
      <c r="C85">
        <v>142749</v>
      </c>
      <c r="D85" t="s">
        <v>141</v>
      </c>
      <c r="E85" s="1">
        <v>44469</v>
      </c>
      <c r="G85" t="s">
        <v>53</v>
      </c>
      <c r="H85" t="s">
        <v>82</v>
      </c>
      <c r="I85" t="s">
        <v>18</v>
      </c>
      <c r="J85" t="s">
        <v>19</v>
      </c>
      <c r="K85" t="s">
        <v>25</v>
      </c>
      <c r="L85" t="s">
        <v>20</v>
      </c>
      <c r="M85">
        <v>17</v>
      </c>
      <c r="N85">
        <f>YEAR(Table1[[#This Row],[Date of Joining]])</f>
        <v>2021</v>
      </c>
      <c r="O8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6 Months</v>
      </c>
      <c r="P85" t="str" cm="1">
        <f t="array" aca="1" ref="P8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86" spans="1:16" x14ac:dyDescent="0.25">
      <c r="A86" t="s">
        <v>21</v>
      </c>
      <c r="C86">
        <v>116657</v>
      </c>
      <c r="D86" t="s">
        <v>142</v>
      </c>
      <c r="E86" s="1">
        <v>44490</v>
      </c>
      <c r="F86" s="1">
        <v>44740</v>
      </c>
      <c r="G86" t="s">
        <v>53</v>
      </c>
      <c r="H86" t="s">
        <v>82</v>
      </c>
      <c r="I86" t="s">
        <v>18</v>
      </c>
      <c r="J86" t="s">
        <v>19</v>
      </c>
      <c r="K86" t="s">
        <v>25</v>
      </c>
      <c r="L86" t="s">
        <v>20</v>
      </c>
      <c r="M86">
        <v>4.5999999999999996</v>
      </c>
      <c r="N86">
        <f>YEAR(Table1[[#This Row],[Date of Joining]])</f>
        <v>2021</v>
      </c>
      <c r="O8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8 Months</v>
      </c>
      <c r="P86" t="str" cm="1">
        <f t="array" aca="1" ref="P8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87" spans="1:16" x14ac:dyDescent="0.25">
      <c r="A87" t="s">
        <v>12</v>
      </c>
      <c r="C87">
        <v>144530</v>
      </c>
      <c r="D87" t="s">
        <v>143</v>
      </c>
      <c r="E87" s="1">
        <v>44518</v>
      </c>
      <c r="G87" t="s">
        <v>53</v>
      </c>
      <c r="H87" t="s">
        <v>82</v>
      </c>
      <c r="I87" t="s">
        <v>18</v>
      </c>
      <c r="J87" t="s">
        <v>19</v>
      </c>
      <c r="K87" t="s">
        <v>25</v>
      </c>
      <c r="L87" t="s">
        <v>58</v>
      </c>
      <c r="M87">
        <v>14</v>
      </c>
      <c r="N87">
        <f>YEAR(Table1[[#This Row],[Date of Joining]])</f>
        <v>2021</v>
      </c>
      <c r="O8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4 Months</v>
      </c>
      <c r="P87" t="str" cm="1">
        <f t="array" aca="1" ref="P8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88" spans="1:16" x14ac:dyDescent="0.25">
      <c r="A88" t="s">
        <v>12</v>
      </c>
      <c r="C88">
        <v>101259</v>
      </c>
      <c r="D88" t="s">
        <v>144</v>
      </c>
      <c r="E88" s="1">
        <v>44616</v>
      </c>
      <c r="G88" t="s">
        <v>34</v>
      </c>
      <c r="H88" t="s">
        <v>82</v>
      </c>
      <c r="I88" t="s">
        <v>18</v>
      </c>
      <c r="J88" t="s">
        <v>24</v>
      </c>
      <c r="K88" t="s">
        <v>85</v>
      </c>
      <c r="L88" t="s">
        <v>20</v>
      </c>
      <c r="M88">
        <v>12</v>
      </c>
      <c r="N88">
        <f>YEAR(Table1[[#This Row],[Date of Joining]])</f>
        <v>2022</v>
      </c>
      <c r="O8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1 Months</v>
      </c>
      <c r="P88" t="str" cm="1">
        <f t="array" aca="1" ref="P8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89" spans="1:16" x14ac:dyDescent="0.25">
      <c r="A89" t="s">
        <v>12</v>
      </c>
      <c r="C89">
        <v>122323</v>
      </c>
      <c r="D89" t="s">
        <v>145</v>
      </c>
      <c r="E89" s="1">
        <v>44623</v>
      </c>
      <c r="G89" t="s">
        <v>39</v>
      </c>
      <c r="H89" t="s">
        <v>82</v>
      </c>
      <c r="I89" t="s">
        <v>35</v>
      </c>
      <c r="J89" t="s">
        <v>24</v>
      </c>
      <c r="K89" t="s">
        <v>25</v>
      </c>
      <c r="L89" t="s">
        <v>58</v>
      </c>
      <c r="M89">
        <v>14</v>
      </c>
      <c r="N89">
        <f>YEAR(Table1[[#This Row],[Date of Joining]])</f>
        <v>2022</v>
      </c>
      <c r="O8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1 Months</v>
      </c>
      <c r="P89" t="str" cm="1">
        <f t="array" aca="1" ref="P8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90" spans="1:16" x14ac:dyDescent="0.25">
      <c r="A90" t="s">
        <v>12</v>
      </c>
      <c r="C90">
        <v>136489</v>
      </c>
      <c r="D90" t="s">
        <v>146</v>
      </c>
      <c r="E90" s="1">
        <v>44637</v>
      </c>
      <c r="G90" t="s">
        <v>53</v>
      </c>
      <c r="H90" t="s">
        <v>82</v>
      </c>
      <c r="I90" t="s">
        <v>18</v>
      </c>
      <c r="J90" t="s">
        <v>24</v>
      </c>
      <c r="K90" t="s">
        <v>25</v>
      </c>
      <c r="L90" t="s">
        <v>58</v>
      </c>
      <c r="M90">
        <v>5.3</v>
      </c>
      <c r="N90">
        <f>YEAR(Table1[[#This Row],[Date of Joining]])</f>
        <v>2022</v>
      </c>
      <c r="O9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0 Months</v>
      </c>
      <c r="P90" t="str" cm="1">
        <f t="array" aca="1" ref="P9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91" spans="1:16" x14ac:dyDescent="0.25">
      <c r="A91" t="s">
        <v>12</v>
      </c>
      <c r="C91">
        <v>107161</v>
      </c>
      <c r="D91" t="s">
        <v>147</v>
      </c>
      <c r="E91" s="1">
        <v>44644</v>
      </c>
      <c r="G91" t="s">
        <v>16</v>
      </c>
      <c r="H91" t="s">
        <v>82</v>
      </c>
      <c r="I91" t="s">
        <v>35</v>
      </c>
      <c r="J91" t="s">
        <v>19</v>
      </c>
      <c r="K91" t="s">
        <v>93</v>
      </c>
      <c r="L91" t="s">
        <v>58</v>
      </c>
      <c r="M91">
        <v>2.5</v>
      </c>
      <c r="N91">
        <f>YEAR(Table1[[#This Row],[Date of Joining]])</f>
        <v>2022</v>
      </c>
      <c r="O9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0 Months</v>
      </c>
      <c r="P91" t="str" cm="1">
        <f t="array" aca="1" ref="P9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92" spans="1:16" x14ac:dyDescent="0.25">
      <c r="A92" t="s">
        <v>12</v>
      </c>
      <c r="C92">
        <v>182061</v>
      </c>
      <c r="D92" t="s">
        <v>148</v>
      </c>
      <c r="E92" s="1">
        <v>44644</v>
      </c>
      <c r="G92" t="s">
        <v>53</v>
      </c>
      <c r="H92" t="s">
        <v>82</v>
      </c>
      <c r="I92" t="s">
        <v>18</v>
      </c>
      <c r="J92" t="s">
        <v>19</v>
      </c>
      <c r="K92" t="s">
        <v>25</v>
      </c>
      <c r="L92" t="s">
        <v>58</v>
      </c>
      <c r="M92">
        <v>2.11</v>
      </c>
      <c r="N92">
        <f>YEAR(Table1[[#This Row],[Date of Joining]])</f>
        <v>2022</v>
      </c>
      <c r="O9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0 Months</v>
      </c>
      <c r="P92" t="str" cm="1">
        <f t="array" aca="1" ref="P9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93" spans="1:16" x14ac:dyDescent="0.25">
      <c r="A93" t="s">
        <v>12</v>
      </c>
      <c r="C93">
        <v>123190</v>
      </c>
      <c r="D93" t="s">
        <v>149</v>
      </c>
      <c r="E93" s="1">
        <v>44658</v>
      </c>
      <c r="G93" t="s">
        <v>53</v>
      </c>
      <c r="H93" t="s">
        <v>82</v>
      </c>
      <c r="I93" t="s">
        <v>35</v>
      </c>
      <c r="J93" t="s">
        <v>19</v>
      </c>
      <c r="K93" t="s">
        <v>93</v>
      </c>
      <c r="L93" t="s">
        <v>58</v>
      </c>
      <c r="M93">
        <v>0</v>
      </c>
      <c r="N93">
        <f>YEAR(Table1[[#This Row],[Date of Joining]])</f>
        <v>2022</v>
      </c>
      <c r="O9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0 Months</v>
      </c>
      <c r="P93" t="str" cm="1">
        <f t="array" aca="1" ref="P9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94" spans="1:16" x14ac:dyDescent="0.25">
      <c r="A94" t="s">
        <v>12</v>
      </c>
      <c r="C94">
        <v>118638</v>
      </c>
      <c r="D94" t="s">
        <v>150</v>
      </c>
      <c r="E94" s="1">
        <v>44658</v>
      </c>
      <c r="G94" t="s">
        <v>53</v>
      </c>
      <c r="H94" t="s">
        <v>82</v>
      </c>
      <c r="I94" t="s">
        <v>18</v>
      </c>
      <c r="J94" t="s">
        <v>24</v>
      </c>
      <c r="K94" t="s">
        <v>25</v>
      </c>
      <c r="L94" t="s">
        <v>58</v>
      </c>
      <c r="M94">
        <v>15</v>
      </c>
      <c r="N94">
        <f>YEAR(Table1[[#This Row],[Date of Joining]])</f>
        <v>2022</v>
      </c>
      <c r="O9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0 Months</v>
      </c>
      <c r="P94" t="str" cm="1">
        <f t="array" aca="1" ref="P9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95" spans="1:16" x14ac:dyDescent="0.25">
      <c r="A95" t="s">
        <v>12</v>
      </c>
      <c r="C95">
        <v>132330</v>
      </c>
      <c r="D95" t="s">
        <v>151</v>
      </c>
      <c r="E95" s="1">
        <v>44665</v>
      </c>
      <c r="G95" t="s">
        <v>48</v>
      </c>
      <c r="H95" t="s">
        <v>82</v>
      </c>
      <c r="I95" t="s">
        <v>18</v>
      </c>
      <c r="J95" t="s">
        <v>24</v>
      </c>
      <c r="K95" t="s">
        <v>85</v>
      </c>
      <c r="L95" t="s">
        <v>45</v>
      </c>
      <c r="M95">
        <v>14</v>
      </c>
      <c r="N95">
        <f>YEAR(Table1[[#This Row],[Date of Joining]])</f>
        <v>2022</v>
      </c>
      <c r="O9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4 Years 0 Months</v>
      </c>
      <c r="P95" t="str" cm="1">
        <f t="array" aca="1" ref="P9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4+ Years</v>
      </c>
    </row>
    <row r="96" spans="1:16" x14ac:dyDescent="0.25">
      <c r="A96" t="s">
        <v>12</v>
      </c>
      <c r="C96">
        <v>191594</v>
      </c>
      <c r="D96" t="s">
        <v>152</v>
      </c>
      <c r="E96" s="1">
        <v>44670</v>
      </c>
      <c r="G96" t="s">
        <v>39</v>
      </c>
      <c r="H96" t="s">
        <v>82</v>
      </c>
      <c r="I96" t="s">
        <v>18</v>
      </c>
      <c r="J96" t="s">
        <v>24</v>
      </c>
      <c r="K96" t="s">
        <v>25</v>
      </c>
      <c r="L96" t="s">
        <v>20</v>
      </c>
      <c r="M96">
        <v>8</v>
      </c>
      <c r="N96">
        <f>YEAR(Table1[[#This Row],[Date of Joining]])</f>
        <v>2022</v>
      </c>
      <c r="O9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11 Months</v>
      </c>
      <c r="P96" t="str" cm="1">
        <f t="array" aca="1" ref="P9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97" spans="1:16" x14ac:dyDescent="0.25">
      <c r="A97" t="s">
        <v>132</v>
      </c>
      <c r="C97">
        <v>152991</v>
      </c>
      <c r="D97" t="s">
        <v>153</v>
      </c>
      <c r="E97" s="1">
        <v>44686</v>
      </c>
      <c r="G97" t="s">
        <v>34</v>
      </c>
      <c r="H97" t="s">
        <v>82</v>
      </c>
      <c r="I97" t="s">
        <v>18</v>
      </c>
      <c r="J97" t="s">
        <v>24</v>
      </c>
      <c r="K97" t="s">
        <v>25</v>
      </c>
      <c r="L97" t="s">
        <v>20</v>
      </c>
      <c r="M97">
        <v>15</v>
      </c>
      <c r="N97">
        <f>YEAR(Table1[[#This Row],[Date of Joining]])</f>
        <v>2022</v>
      </c>
      <c r="O9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11 Months</v>
      </c>
      <c r="P97" t="str" cm="1">
        <f t="array" aca="1" ref="P9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98" spans="1:16" x14ac:dyDescent="0.25">
      <c r="A98" t="s">
        <v>21</v>
      </c>
      <c r="B98" t="s">
        <v>129</v>
      </c>
      <c r="C98">
        <v>101996</v>
      </c>
      <c r="D98" t="s">
        <v>154</v>
      </c>
      <c r="E98" s="1">
        <v>44742</v>
      </c>
      <c r="F98" s="1">
        <v>45108</v>
      </c>
      <c r="G98" t="s">
        <v>34</v>
      </c>
      <c r="H98" t="s">
        <v>82</v>
      </c>
      <c r="I98" t="s">
        <v>18</v>
      </c>
      <c r="J98" t="s">
        <v>19</v>
      </c>
      <c r="K98" t="s">
        <v>93</v>
      </c>
      <c r="L98" t="s">
        <v>58</v>
      </c>
      <c r="M98">
        <v>1</v>
      </c>
      <c r="N98">
        <f>YEAR(Table1[[#This Row],[Date of Joining]])</f>
        <v>2022</v>
      </c>
      <c r="O9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0 Months</v>
      </c>
      <c r="P98" t="str" cm="1">
        <f t="array" aca="1" ref="P9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99" spans="1:16" x14ac:dyDescent="0.25">
      <c r="A99" t="s">
        <v>21</v>
      </c>
      <c r="C99">
        <v>138939</v>
      </c>
      <c r="D99" t="s">
        <v>155</v>
      </c>
      <c r="E99" s="1">
        <v>44749</v>
      </c>
      <c r="F99" s="1">
        <v>45054</v>
      </c>
      <c r="G99" t="s">
        <v>34</v>
      </c>
      <c r="H99" t="s">
        <v>82</v>
      </c>
      <c r="I99" t="s">
        <v>35</v>
      </c>
      <c r="J99" t="s">
        <v>24</v>
      </c>
      <c r="K99" t="s">
        <v>25</v>
      </c>
      <c r="L99" t="s">
        <v>20</v>
      </c>
      <c r="M99">
        <v>6</v>
      </c>
      <c r="N99">
        <f>YEAR(Table1[[#This Row],[Date of Joining]])</f>
        <v>2022</v>
      </c>
      <c r="O9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10 Months</v>
      </c>
      <c r="P99" t="str" cm="1">
        <f t="array" aca="1" ref="P9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100" spans="1:16" x14ac:dyDescent="0.25">
      <c r="A100" t="s">
        <v>21</v>
      </c>
      <c r="C100">
        <v>198396</v>
      </c>
      <c r="D100" t="s">
        <v>156</v>
      </c>
      <c r="E100" s="1">
        <v>44763</v>
      </c>
      <c r="F100" s="1">
        <v>45324</v>
      </c>
      <c r="G100" t="s">
        <v>34</v>
      </c>
      <c r="H100" t="s">
        <v>82</v>
      </c>
      <c r="I100" t="s">
        <v>18</v>
      </c>
      <c r="J100" t="s">
        <v>24</v>
      </c>
      <c r="K100" t="s">
        <v>85</v>
      </c>
      <c r="L100" t="s">
        <v>26</v>
      </c>
      <c r="M100">
        <v>18</v>
      </c>
      <c r="N100">
        <f>YEAR(Table1[[#This Row],[Date of Joining]])</f>
        <v>2022</v>
      </c>
      <c r="O10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6 Months</v>
      </c>
      <c r="P100" t="str" cm="1">
        <f t="array" aca="1" ref="P10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01" spans="1:16" x14ac:dyDescent="0.25">
      <c r="A101" t="s">
        <v>12</v>
      </c>
      <c r="C101">
        <v>194143</v>
      </c>
      <c r="D101" t="s">
        <v>157</v>
      </c>
      <c r="E101" s="1">
        <v>44763</v>
      </c>
      <c r="G101" t="s">
        <v>53</v>
      </c>
      <c r="H101" t="s">
        <v>82</v>
      </c>
      <c r="I101" t="s">
        <v>18</v>
      </c>
      <c r="J101" t="s">
        <v>24</v>
      </c>
      <c r="K101" t="s">
        <v>25</v>
      </c>
      <c r="L101" t="s">
        <v>58</v>
      </c>
      <c r="M101">
        <v>6.5</v>
      </c>
      <c r="N101">
        <f>YEAR(Table1[[#This Row],[Date of Joining]])</f>
        <v>2022</v>
      </c>
      <c r="O10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8 Months</v>
      </c>
      <c r="P101" t="str" cm="1">
        <f t="array" aca="1" ref="P10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02" spans="1:16" x14ac:dyDescent="0.25">
      <c r="A102" t="s">
        <v>132</v>
      </c>
      <c r="C102">
        <v>134729</v>
      </c>
      <c r="D102" t="s">
        <v>158</v>
      </c>
      <c r="E102" s="1">
        <v>44768</v>
      </c>
      <c r="G102" t="s">
        <v>34</v>
      </c>
      <c r="H102" t="s">
        <v>82</v>
      </c>
      <c r="I102" t="s">
        <v>18</v>
      </c>
      <c r="J102" t="s">
        <v>19</v>
      </c>
      <c r="K102" t="s">
        <v>25</v>
      </c>
      <c r="L102" t="s">
        <v>20</v>
      </c>
      <c r="M102">
        <v>7</v>
      </c>
      <c r="N102">
        <f>YEAR(Table1[[#This Row],[Date of Joining]])</f>
        <v>2022</v>
      </c>
      <c r="O10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8 Months</v>
      </c>
      <c r="P102" t="str" cm="1">
        <f t="array" aca="1" ref="P10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03" spans="1:16" x14ac:dyDescent="0.25">
      <c r="A103" t="s">
        <v>21</v>
      </c>
      <c r="C103">
        <v>186526</v>
      </c>
      <c r="D103" t="s">
        <v>159</v>
      </c>
      <c r="E103" s="1">
        <v>44805</v>
      </c>
      <c r="F103" s="1">
        <v>45269</v>
      </c>
      <c r="G103" t="s">
        <v>53</v>
      </c>
      <c r="H103" t="s">
        <v>82</v>
      </c>
      <c r="I103" t="s">
        <v>35</v>
      </c>
      <c r="J103" t="s">
        <v>24</v>
      </c>
      <c r="K103" t="s">
        <v>93</v>
      </c>
      <c r="L103" t="s">
        <v>58</v>
      </c>
      <c r="M103">
        <v>1.8</v>
      </c>
      <c r="N103">
        <f>YEAR(Table1[[#This Row],[Date of Joining]])</f>
        <v>2022</v>
      </c>
      <c r="O10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3 Months</v>
      </c>
      <c r="P103" t="str" cm="1">
        <f t="array" aca="1" ref="P10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04" spans="1:16" x14ac:dyDescent="0.25">
      <c r="A104" t="s">
        <v>12</v>
      </c>
      <c r="C104">
        <v>115395</v>
      </c>
      <c r="D104" t="s">
        <v>160</v>
      </c>
      <c r="E104" s="1">
        <v>44805</v>
      </c>
      <c r="G104" t="s">
        <v>53</v>
      </c>
      <c r="H104" t="s">
        <v>82</v>
      </c>
      <c r="I104" t="s">
        <v>35</v>
      </c>
      <c r="J104" t="s">
        <v>19</v>
      </c>
      <c r="K104" t="s">
        <v>93</v>
      </c>
      <c r="L104" t="s">
        <v>58</v>
      </c>
      <c r="M104">
        <v>3.5</v>
      </c>
      <c r="N104">
        <f>YEAR(Table1[[#This Row],[Date of Joining]])</f>
        <v>2022</v>
      </c>
      <c r="O10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7 Months</v>
      </c>
      <c r="P104" t="str" cm="1">
        <f t="array" aca="1" ref="P10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05" spans="1:16" x14ac:dyDescent="0.25">
      <c r="A105" t="s">
        <v>12</v>
      </c>
      <c r="C105">
        <v>160948</v>
      </c>
      <c r="D105" t="s">
        <v>161</v>
      </c>
      <c r="E105" s="1">
        <v>44805</v>
      </c>
      <c r="G105" t="s">
        <v>53</v>
      </c>
      <c r="H105" t="s">
        <v>82</v>
      </c>
      <c r="I105" t="s">
        <v>35</v>
      </c>
      <c r="J105" t="s">
        <v>19</v>
      </c>
      <c r="K105" t="s">
        <v>93</v>
      </c>
      <c r="L105" t="s">
        <v>58</v>
      </c>
      <c r="M105">
        <v>0</v>
      </c>
      <c r="N105">
        <f>YEAR(Table1[[#This Row],[Date of Joining]])</f>
        <v>2022</v>
      </c>
      <c r="O10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7 Months</v>
      </c>
      <c r="P105" t="str" cm="1">
        <f t="array" aca="1" ref="P10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06" spans="1:16" x14ac:dyDescent="0.25">
      <c r="A106" t="s">
        <v>12</v>
      </c>
      <c r="C106">
        <v>163814</v>
      </c>
      <c r="D106" t="s">
        <v>162</v>
      </c>
      <c r="E106" s="1">
        <v>44805</v>
      </c>
      <c r="G106" t="s">
        <v>16</v>
      </c>
      <c r="H106" t="s">
        <v>82</v>
      </c>
      <c r="I106" t="s">
        <v>18</v>
      </c>
      <c r="J106" t="s">
        <v>19</v>
      </c>
      <c r="K106" t="s">
        <v>93</v>
      </c>
      <c r="L106" t="s">
        <v>58</v>
      </c>
      <c r="M106">
        <v>2</v>
      </c>
      <c r="N106">
        <f>YEAR(Table1[[#This Row],[Date of Joining]])</f>
        <v>2022</v>
      </c>
      <c r="O10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7 Months</v>
      </c>
      <c r="P106" t="str" cm="1">
        <f t="array" aca="1" ref="P10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07" spans="1:16" x14ac:dyDescent="0.25">
      <c r="A107" t="s">
        <v>12</v>
      </c>
      <c r="C107">
        <v>163161</v>
      </c>
      <c r="D107" t="s">
        <v>163</v>
      </c>
      <c r="E107" s="1">
        <v>44805</v>
      </c>
      <c r="G107" t="s">
        <v>53</v>
      </c>
      <c r="H107" t="s">
        <v>82</v>
      </c>
      <c r="I107" t="s">
        <v>18</v>
      </c>
      <c r="J107" t="s">
        <v>24</v>
      </c>
      <c r="K107" t="s">
        <v>25</v>
      </c>
      <c r="L107" t="s">
        <v>58</v>
      </c>
      <c r="M107">
        <v>13</v>
      </c>
      <c r="N107">
        <f>YEAR(Table1[[#This Row],[Date of Joining]])</f>
        <v>2022</v>
      </c>
      <c r="O10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7 Months</v>
      </c>
      <c r="P107" t="str" cm="1">
        <f t="array" aca="1" ref="P10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08" spans="1:16" x14ac:dyDescent="0.25">
      <c r="A108" t="s">
        <v>12</v>
      </c>
      <c r="C108">
        <v>173240</v>
      </c>
      <c r="D108" t="s">
        <v>164</v>
      </c>
      <c r="E108" s="1">
        <v>44819</v>
      </c>
      <c r="G108" t="s">
        <v>16</v>
      </c>
      <c r="H108" t="s">
        <v>82</v>
      </c>
      <c r="I108" t="s">
        <v>35</v>
      </c>
      <c r="J108" t="s">
        <v>24</v>
      </c>
      <c r="K108" t="s">
        <v>25</v>
      </c>
      <c r="L108" t="s">
        <v>58</v>
      </c>
      <c r="M108">
        <v>8.1999999999999993</v>
      </c>
      <c r="N108">
        <f>YEAR(Table1[[#This Row],[Date of Joining]])</f>
        <v>2022</v>
      </c>
      <c r="O10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7 Months</v>
      </c>
      <c r="P108" t="str" cm="1">
        <f t="array" aca="1" ref="P10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09" spans="1:16" x14ac:dyDescent="0.25">
      <c r="A109" t="s">
        <v>12</v>
      </c>
      <c r="C109">
        <v>109673</v>
      </c>
      <c r="D109" t="s">
        <v>165</v>
      </c>
      <c r="E109" s="1">
        <v>44840</v>
      </c>
      <c r="G109" t="s">
        <v>53</v>
      </c>
      <c r="H109" t="s">
        <v>82</v>
      </c>
      <c r="I109" t="s">
        <v>18</v>
      </c>
      <c r="J109" t="s">
        <v>19</v>
      </c>
      <c r="K109" t="s">
        <v>93</v>
      </c>
      <c r="L109" t="s">
        <v>58</v>
      </c>
      <c r="M109">
        <v>7.6</v>
      </c>
      <c r="N109">
        <f>YEAR(Table1[[#This Row],[Date of Joining]])</f>
        <v>2022</v>
      </c>
      <c r="O10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6 Months</v>
      </c>
      <c r="P109" t="str" cm="1">
        <f t="array" aca="1" ref="P10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10" spans="1:16" x14ac:dyDescent="0.25">
      <c r="A110" t="s">
        <v>12</v>
      </c>
      <c r="C110">
        <v>138302</v>
      </c>
      <c r="D110" t="s">
        <v>166</v>
      </c>
      <c r="E110" s="1">
        <v>44847</v>
      </c>
      <c r="G110" t="s">
        <v>53</v>
      </c>
      <c r="H110" t="s">
        <v>82</v>
      </c>
      <c r="I110" t="s">
        <v>18</v>
      </c>
      <c r="J110" t="s">
        <v>19</v>
      </c>
      <c r="K110" t="s">
        <v>93</v>
      </c>
      <c r="L110" t="s">
        <v>58</v>
      </c>
      <c r="M110">
        <v>6.2</v>
      </c>
      <c r="N110">
        <f>YEAR(Table1[[#This Row],[Date of Joining]])</f>
        <v>2022</v>
      </c>
      <c r="O11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6 Months</v>
      </c>
      <c r="P110" t="str" cm="1">
        <f t="array" aca="1" ref="P11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11" spans="1:16" x14ac:dyDescent="0.25">
      <c r="A111" t="s">
        <v>132</v>
      </c>
      <c r="C111">
        <v>126765</v>
      </c>
      <c r="D111" t="s">
        <v>167</v>
      </c>
      <c r="E111" s="1">
        <v>44868</v>
      </c>
      <c r="G111" t="s">
        <v>34</v>
      </c>
      <c r="H111" t="s">
        <v>82</v>
      </c>
      <c r="I111" t="s">
        <v>18</v>
      </c>
      <c r="J111" t="s">
        <v>24</v>
      </c>
      <c r="K111" t="s">
        <v>25</v>
      </c>
      <c r="L111" t="s">
        <v>20</v>
      </c>
      <c r="M111">
        <v>15</v>
      </c>
      <c r="N111">
        <f>YEAR(Table1[[#This Row],[Date of Joining]])</f>
        <v>2022</v>
      </c>
      <c r="O11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5 Months</v>
      </c>
      <c r="P111" t="str" cm="1">
        <f t="array" aca="1" ref="P11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12" spans="1:16" x14ac:dyDescent="0.25">
      <c r="A112" t="s">
        <v>132</v>
      </c>
      <c r="C112">
        <v>188099</v>
      </c>
      <c r="D112" t="s">
        <v>168</v>
      </c>
      <c r="E112" s="1">
        <v>44901</v>
      </c>
      <c r="G112" t="s">
        <v>34</v>
      </c>
      <c r="H112" t="s">
        <v>82</v>
      </c>
      <c r="I112" t="s">
        <v>18</v>
      </c>
      <c r="J112" t="s">
        <v>24</v>
      </c>
      <c r="K112" t="s">
        <v>25</v>
      </c>
      <c r="L112" t="s">
        <v>20</v>
      </c>
      <c r="M112">
        <v>16</v>
      </c>
      <c r="N112">
        <f>YEAR(Table1[[#This Row],[Date of Joining]])</f>
        <v>2022</v>
      </c>
      <c r="O11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4 Months</v>
      </c>
      <c r="P112" t="str" cm="1">
        <f t="array" aca="1" ref="P11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13" spans="1:16" x14ac:dyDescent="0.25">
      <c r="A113" t="s">
        <v>12</v>
      </c>
      <c r="B113" t="s">
        <v>129</v>
      </c>
      <c r="C113">
        <v>115441</v>
      </c>
      <c r="D113" t="s">
        <v>169</v>
      </c>
      <c r="E113" s="1">
        <v>44958</v>
      </c>
      <c r="G113" t="s">
        <v>34</v>
      </c>
      <c r="H113" t="s">
        <v>82</v>
      </c>
      <c r="I113" t="s">
        <v>18</v>
      </c>
      <c r="J113" t="s">
        <v>19</v>
      </c>
      <c r="K113" t="s">
        <v>93</v>
      </c>
      <c r="L113" t="s">
        <v>40</v>
      </c>
      <c r="M113">
        <v>1.5</v>
      </c>
      <c r="N113">
        <f>YEAR(Table1[[#This Row],[Date of Joining]])</f>
        <v>2023</v>
      </c>
      <c r="O11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2 Months</v>
      </c>
      <c r="P113" t="str" cm="1">
        <f t="array" aca="1" ref="P11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14" spans="1:16" x14ac:dyDescent="0.25">
      <c r="A114" t="s">
        <v>12</v>
      </c>
      <c r="B114" t="s">
        <v>129</v>
      </c>
      <c r="C114">
        <v>169669</v>
      </c>
      <c r="D114" t="s">
        <v>170</v>
      </c>
      <c r="E114" s="1">
        <v>45027</v>
      </c>
      <c r="G114" t="s">
        <v>34</v>
      </c>
      <c r="H114" t="s">
        <v>82</v>
      </c>
      <c r="I114" t="s">
        <v>35</v>
      </c>
      <c r="J114" t="s">
        <v>24</v>
      </c>
      <c r="K114" t="s">
        <v>25</v>
      </c>
      <c r="L114" t="s">
        <v>31</v>
      </c>
      <c r="M114">
        <v>6</v>
      </c>
      <c r="N114">
        <f>YEAR(Table1[[#This Row],[Date of Joining]])</f>
        <v>2023</v>
      </c>
      <c r="O11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3 Years 0 Months</v>
      </c>
      <c r="P114" t="str" cm="1">
        <f t="array" aca="1" ref="P11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3+ Years</v>
      </c>
    </row>
    <row r="115" spans="1:16" x14ac:dyDescent="0.25">
      <c r="A115" t="s">
        <v>12</v>
      </c>
      <c r="C115">
        <v>100957</v>
      </c>
      <c r="D115" t="s">
        <v>171</v>
      </c>
      <c r="E115" s="1">
        <v>45036</v>
      </c>
      <c r="G115" t="s">
        <v>34</v>
      </c>
      <c r="H115" t="s">
        <v>82</v>
      </c>
      <c r="I115" t="s">
        <v>35</v>
      </c>
      <c r="J115" t="s">
        <v>24</v>
      </c>
      <c r="K115" t="s">
        <v>25</v>
      </c>
      <c r="L115" t="s">
        <v>20</v>
      </c>
      <c r="M115">
        <v>8</v>
      </c>
      <c r="N115">
        <f>YEAR(Table1[[#This Row],[Date of Joining]])</f>
        <v>2023</v>
      </c>
      <c r="O11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11 Months</v>
      </c>
      <c r="P115" t="str" cm="1">
        <f t="array" aca="1" ref="P11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16" spans="1:16" x14ac:dyDescent="0.25">
      <c r="A116" t="s">
        <v>132</v>
      </c>
      <c r="C116">
        <v>193737</v>
      </c>
      <c r="D116" t="s">
        <v>172</v>
      </c>
      <c r="E116" s="1">
        <v>45057</v>
      </c>
      <c r="G116" t="s">
        <v>34</v>
      </c>
      <c r="H116" t="s">
        <v>82</v>
      </c>
      <c r="I116" t="s">
        <v>18</v>
      </c>
      <c r="J116" t="s">
        <v>24</v>
      </c>
      <c r="K116" t="s">
        <v>25</v>
      </c>
      <c r="L116" t="s">
        <v>20</v>
      </c>
      <c r="M116">
        <v>11.5</v>
      </c>
      <c r="N116">
        <f>YEAR(Table1[[#This Row],[Date of Joining]])</f>
        <v>2023</v>
      </c>
      <c r="O11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11 Months</v>
      </c>
      <c r="P116" t="str" cm="1">
        <f t="array" aca="1" ref="P11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17" spans="1:16" x14ac:dyDescent="0.25">
      <c r="A117" t="s">
        <v>12</v>
      </c>
      <c r="C117">
        <v>180698</v>
      </c>
      <c r="D117" t="s">
        <v>173</v>
      </c>
      <c r="E117" s="1">
        <v>45064</v>
      </c>
      <c r="G117" t="s">
        <v>34</v>
      </c>
      <c r="H117" t="s">
        <v>82</v>
      </c>
      <c r="I117" t="s">
        <v>18</v>
      </c>
      <c r="J117" t="s">
        <v>19</v>
      </c>
      <c r="K117" t="s">
        <v>25</v>
      </c>
      <c r="L117" t="s">
        <v>20</v>
      </c>
      <c r="M117">
        <v>3.5</v>
      </c>
      <c r="N117">
        <f>YEAR(Table1[[#This Row],[Date of Joining]])</f>
        <v>2023</v>
      </c>
      <c r="O11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10 Months</v>
      </c>
      <c r="P117" t="str" cm="1">
        <f t="array" aca="1" ref="P11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18" spans="1:16" x14ac:dyDescent="0.25">
      <c r="A118" t="s">
        <v>21</v>
      </c>
      <c r="C118">
        <v>124433</v>
      </c>
      <c r="D118" t="s">
        <v>174</v>
      </c>
      <c r="E118" s="1">
        <v>45078</v>
      </c>
      <c r="F118" s="1">
        <v>45118</v>
      </c>
      <c r="G118" t="s">
        <v>53</v>
      </c>
      <c r="H118" t="s">
        <v>82</v>
      </c>
      <c r="I118" t="s">
        <v>35</v>
      </c>
      <c r="J118" t="s">
        <v>19</v>
      </c>
      <c r="K118" t="s">
        <v>93</v>
      </c>
      <c r="L118" t="s">
        <v>45</v>
      </c>
      <c r="M118">
        <v>0</v>
      </c>
      <c r="N118">
        <f>YEAR(Table1[[#This Row],[Date of Joining]])</f>
        <v>2023</v>
      </c>
      <c r="O11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Months</v>
      </c>
      <c r="P118" t="str" cm="1">
        <f t="array" aca="1" ref="P11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119" spans="1:16" x14ac:dyDescent="0.25">
      <c r="A119" t="s">
        <v>12</v>
      </c>
      <c r="B119" t="s">
        <v>129</v>
      </c>
      <c r="C119">
        <v>151636</v>
      </c>
      <c r="D119" t="s">
        <v>175</v>
      </c>
      <c r="E119" s="1">
        <v>45083</v>
      </c>
      <c r="G119" t="s">
        <v>34</v>
      </c>
      <c r="H119" t="s">
        <v>82</v>
      </c>
      <c r="I119" t="s">
        <v>18</v>
      </c>
      <c r="J119" t="s">
        <v>19</v>
      </c>
      <c r="K119" t="s">
        <v>93</v>
      </c>
      <c r="L119" t="s">
        <v>45</v>
      </c>
      <c r="M119">
        <v>1.8</v>
      </c>
      <c r="N119">
        <f>YEAR(Table1[[#This Row],[Date of Joining]])</f>
        <v>2023</v>
      </c>
      <c r="O11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10 Months</v>
      </c>
      <c r="P119" t="str" cm="1">
        <f t="array" aca="1" ref="P11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20" spans="1:16" x14ac:dyDescent="0.25">
      <c r="A120" t="s">
        <v>12</v>
      </c>
      <c r="B120" t="s">
        <v>129</v>
      </c>
      <c r="C120">
        <v>173529</v>
      </c>
      <c r="D120" t="s">
        <v>176</v>
      </c>
      <c r="E120" s="1">
        <v>45083</v>
      </c>
      <c r="G120" t="s">
        <v>34</v>
      </c>
      <c r="H120" t="s">
        <v>82</v>
      </c>
      <c r="I120" t="s">
        <v>35</v>
      </c>
      <c r="J120" t="s">
        <v>19</v>
      </c>
      <c r="K120" t="s">
        <v>93</v>
      </c>
      <c r="L120" t="s">
        <v>45</v>
      </c>
      <c r="M120">
        <v>1.5</v>
      </c>
      <c r="N120">
        <f>YEAR(Table1[[#This Row],[Date of Joining]])</f>
        <v>2023</v>
      </c>
      <c r="O12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10 Months</v>
      </c>
      <c r="P120" t="str" cm="1">
        <f t="array" aca="1" ref="P12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21" spans="1:16" x14ac:dyDescent="0.25">
      <c r="A121" t="s">
        <v>12</v>
      </c>
      <c r="B121" t="s">
        <v>129</v>
      </c>
      <c r="C121">
        <v>116633</v>
      </c>
      <c r="D121" t="s">
        <v>177</v>
      </c>
      <c r="E121" s="1">
        <v>45083</v>
      </c>
      <c r="G121" t="s">
        <v>34</v>
      </c>
      <c r="H121" t="s">
        <v>82</v>
      </c>
      <c r="I121" t="s">
        <v>35</v>
      </c>
      <c r="J121" t="s">
        <v>19</v>
      </c>
      <c r="K121" t="s">
        <v>93</v>
      </c>
      <c r="L121" t="s">
        <v>45</v>
      </c>
      <c r="M121">
        <v>0.11</v>
      </c>
      <c r="N121">
        <f>YEAR(Table1[[#This Row],[Date of Joining]])</f>
        <v>2023</v>
      </c>
      <c r="O12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10 Months</v>
      </c>
      <c r="P121" t="str" cm="1">
        <f t="array" aca="1" ref="P12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22" spans="1:16" x14ac:dyDescent="0.25">
      <c r="A122" t="s">
        <v>12</v>
      </c>
      <c r="B122" t="s">
        <v>129</v>
      </c>
      <c r="C122">
        <v>160990</v>
      </c>
      <c r="D122" t="s">
        <v>178</v>
      </c>
      <c r="E122" s="1">
        <v>45083</v>
      </c>
      <c r="G122" t="s">
        <v>34</v>
      </c>
      <c r="H122" t="s">
        <v>82</v>
      </c>
      <c r="I122" t="s">
        <v>18</v>
      </c>
      <c r="J122" t="s">
        <v>19</v>
      </c>
      <c r="K122" t="s">
        <v>93</v>
      </c>
      <c r="L122" t="s">
        <v>45</v>
      </c>
      <c r="M122">
        <v>0</v>
      </c>
      <c r="N122">
        <f>YEAR(Table1[[#This Row],[Date of Joining]])</f>
        <v>2023</v>
      </c>
      <c r="O12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10 Months</v>
      </c>
      <c r="P122" t="str" cm="1">
        <f t="array" aca="1" ref="P12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23" spans="1:16" x14ac:dyDescent="0.25">
      <c r="A123" t="s">
        <v>21</v>
      </c>
      <c r="C123">
        <v>170513</v>
      </c>
      <c r="D123" t="s">
        <v>179</v>
      </c>
      <c r="E123" s="1">
        <v>45085</v>
      </c>
      <c r="F123" s="1">
        <v>45382</v>
      </c>
      <c r="G123" t="s">
        <v>34</v>
      </c>
      <c r="H123" t="s">
        <v>82</v>
      </c>
      <c r="I123" t="s">
        <v>35</v>
      </c>
      <c r="J123" t="s">
        <v>19</v>
      </c>
      <c r="K123" t="s">
        <v>25</v>
      </c>
      <c r="L123" t="s">
        <v>20</v>
      </c>
      <c r="M123">
        <v>7</v>
      </c>
      <c r="N123">
        <f>YEAR(Table1[[#This Row],[Date of Joining]])</f>
        <v>2023</v>
      </c>
      <c r="O12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9 Months</v>
      </c>
      <c r="P123" t="str" cm="1">
        <f t="array" aca="1" ref="P12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124" spans="1:16" x14ac:dyDescent="0.25">
      <c r="A124" t="s">
        <v>12</v>
      </c>
      <c r="C124">
        <v>167822</v>
      </c>
      <c r="D124" t="s">
        <v>180</v>
      </c>
      <c r="E124" s="1">
        <v>45106</v>
      </c>
      <c r="G124" t="s">
        <v>34</v>
      </c>
      <c r="H124" t="s">
        <v>82</v>
      </c>
      <c r="I124" t="s">
        <v>18</v>
      </c>
      <c r="J124" t="s">
        <v>24</v>
      </c>
      <c r="K124" t="s">
        <v>93</v>
      </c>
      <c r="L124" t="s">
        <v>45</v>
      </c>
      <c r="M124">
        <v>7</v>
      </c>
      <c r="N124">
        <f>YEAR(Table1[[#This Row],[Date of Joining]])</f>
        <v>2023</v>
      </c>
      <c r="O12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9 Months</v>
      </c>
      <c r="P124" t="str" cm="1">
        <f t="array" aca="1" ref="P12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25" spans="1:16" x14ac:dyDescent="0.25">
      <c r="A125" t="s">
        <v>12</v>
      </c>
      <c r="C125">
        <v>161037</v>
      </c>
      <c r="D125" t="s">
        <v>181</v>
      </c>
      <c r="E125" s="1">
        <v>45111</v>
      </c>
      <c r="G125" t="s">
        <v>34</v>
      </c>
      <c r="H125" t="s">
        <v>82</v>
      </c>
      <c r="I125" t="s">
        <v>35</v>
      </c>
      <c r="J125" t="s">
        <v>19</v>
      </c>
      <c r="K125" t="s">
        <v>93</v>
      </c>
      <c r="L125" t="s">
        <v>20</v>
      </c>
      <c r="M125">
        <v>5</v>
      </c>
      <c r="N125">
        <f>YEAR(Table1[[#This Row],[Date of Joining]])</f>
        <v>2023</v>
      </c>
      <c r="O12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9 Months</v>
      </c>
      <c r="P125" t="str" cm="1">
        <f t="array" aca="1" ref="P12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26" spans="1:16" x14ac:dyDescent="0.25">
      <c r="A126" t="s">
        <v>12</v>
      </c>
      <c r="C126">
        <v>153255</v>
      </c>
      <c r="D126" t="s">
        <v>182</v>
      </c>
      <c r="E126" s="1">
        <v>45120</v>
      </c>
      <c r="G126" t="s">
        <v>34</v>
      </c>
      <c r="H126" t="s">
        <v>82</v>
      </c>
      <c r="I126" t="s">
        <v>35</v>
      </c>
      <c r="J126" t="s">
        <v>19</v>
      </c>
      <c r="K126" t="s">
        <v>93</v>
      </c>
      <c r="L126" t="s">
        <v>31</v>
      </c>
      <c r="M126">
        <v>3.8</v>
      </c>
      <c r="N126">
        <f>YEAR(Table1[[#This Row],[Date of Joining]])</f>
        <v>2023</v>
      </c>
      <c r="O12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9 Months</v>
      </c>
      <c r="P126" t="str" cm="1">
        <f t="array" aca="1" ref="P12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27" spans="1:16" x14ac:dyDescent="0.25">
      <c r="A127" t="s">
        <v>12</v>
      </c>
      <c r="C127">
        <v>123179</v>
      </c>
      <c r="D127" t="s">
        <v>183</v>
      </c>
      <c r="E127" s="1">
        <v>45125</v>
      </c>
      <c r="G127" t="s">
        <v>34</v>
      </c>
      <c r="H127" t="s">
        <v>82</v>
      </c>
      <c r="I127" t="s">
        <v>35</v>
      </c>
      <c r="J127" t="s">
        <v>19</v>
      </c>
      <c r="K127" t="s">
        <v>25</v>
      </c>
      <c r="L127" t="s">
        <v>45</v>
      </c>
      <c r="M127">
        <v>6.5</v>
      </c>
      <c r="N127">
        <f>YEAR(Table1[[#This Row],[Date of Joining]])</f>
        <v>2023</v>
      </c>
      <c r="O12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8 Months</v>
      </c>
      <c r="P127" t="str" cm="1">
        <f t="array" aca="1" ref="P12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28" spans="1:16" x14ac:dyDescent="0.25">
      <c r="A128" t="s">
        <v>12</v>
      </c>
      <c r="C128">
        <v>189554</v>
      </c>
      <c r="D128" t="s">
        <v>184</v>
      </c>
      <c r="E128" s="1">
        <v>45134</v>
      </c>
      <c r="G128" t="s">
        <v>34</v>
      </c>
      <c r="H128" t="s">
        <v>82</v>
      </c>
      <c r="I128" t="s">
        <v>35</v>
      </c>
      <c r="J128" t="s">
        <v>24</v>
      </c>
      <c r="K128" t="s">
        <v>25</v>
      </c>
      <c r="L128" t="s">
        <v>45</v>
      </c>
      <c r="M128">
        <v>8</v>
      </c>
      <c r="N128">
        <f>YEAR(Table1[[#This Row],[Date of Joining]])</f>
        <v>2023</v>
      </c>
      <c r="O12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8 Months</v>
      </c>
      <c r="P128" t="str" cm="1">
        <f t="array" aca="1" ref="P12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29" spans="1:16" x14ac:dyDescent="0.25">
      <c r="A129" t="s">
        <v>12</v>
      </c>
      <c r="C129">
        <v>186786</v>
      </c>
      <c r="D129" t="s">
        <v>185</v>
      </c>
      <c r="E129" s="1">
        <v>45139</v>
      </c>
      <c r="G129" t="s">
        <v>16</v>
      </c>
      <c r="H129" t="s">
        <v>82</v>
      </c>
      <c r="I129" t="s">
        <v>35</v>
      </c>
      <c r="J129" t="s">
        <v>19</v>
      </c>
      <c r="K129" t="s">
        <v>93</v>
      </c>
      <c r="L129" t="s">
        <v>58</v>
      </c>
      <c r="M129">
        <v>1.5</v>
      </c>
      <c r="N129">
        <f>YEAR(Table1[[#This Row],[Date of Joining]])</f>
        <v>2023</v>
      </c>
      <c r="O12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8 Months</v>
      </c>
      <c r="P129" t="str" cm="1">
        <f t="array" aca="1" ref="P12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30" spans="1:16" x14ac:dyDescent="0.25">
      <c r="A130" t="s">
        <v>12</v>
      </c>
      <c r="C130">
        <v>186818</v>
      </c>
      <c r="D130" t="s">
        <v>186</v>
      </c>
      <c r="E130" s="1">
        <v>45141</v>
      </c>
      <c r="G130" t="s">
        <v>16</v>
      </c>
      <c r="H130" t="s">
        <v>82</v>
      </c>
      <c r="I130" t="s">
        <v>18</v>
      </c>
      <c r="J130" t="s">
        <v>19</v>
      </c>
      <c r="K130" t="s">
        <v>25</v>
      </c>
      <c r="L130" t="s">
        <v>58</v>
      </c>
      <c r="M130">
        <v>7</v>
      </c>
      <c r="N130">
        <f>YEAR(Table1[[#This Row],[Date of Joining]])</f>
        <v>2023</v>
      </c>
      <c r="O13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8 Months</v>
      </c>
      <c r="P130" t="str" cm="1">
        <f t="array" aca="1" ref="P13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31" spans="1:16" x14ac:dyDescent="0.25">
      <c r="A131" t="s">
        <v>12</v>
      </c>
      <c r="C131">
        <v>147963</v>
      </c>
      <c r="D131" t="s">
        <v>187</v>
      </c>
      <c r="E131" s="1">
        <v>45154</v>
      </c>
      <c r="G131" t="s">
        <v>34</v>
      </c>
      <c r="H131" t="s">
        <v>82</v>
      </c>
      <c r="I131" t="s">
        <v>35</v>
      </c>
      <c r="J131" t="s">
        <v>24</v>
      </c>
      <c r="K131" t="s">
        <v>25</v>
      </c>
      <c r="L131" t="s">
        <v>20</v>
      </c>
      <c r="M131">
        <v>15</v>
      </c>
      <c r="N131">
        <f>YEAR(Table1[[#This Row],[Date of Joining]])</f>
        <v>2023</v>
      </c>
      <c r="O13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7 Months</v>
      </c>
      <c r="P131" t="str" cm="1">
        <f t="array" aca="1" ref="P13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32" spans="1:16" x14ac:dyDescent="0.25">
      <c r="A132" t="s">
        <v>12</v>
      </c>
      <c r="C132">
        <v>150614</v>
      </c>
      <c r="D132" t="s">
        <v>188</v>
      </c>
      <c r="E132" s="1">
        <v>45181</v>
      </c>
      <c r="G132" t="s">
        <v>34</v>
      </c>
      <c r="H132" t="s">
        <v>82</v>
      </c>
      <c r="I132" t="s">
        <v>18</v>
      </c>
      <c r="J132" t="s">
        <v>24</v>
      </c>
      <c r="K132" t="s">
        <v>25</v>
      </c>
      <c r="L132" t="s">
        <v>40</v>
      </c>
      <c r="M132">
        <v>10.7</v>
      </c>
      <c r="N132">
        <f>YEAR(Table1[[#This Row],[Date of Joining]])</f>
        <v>2023</v>
      </c>
      <c r="O13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7 Months</v>
      </c>
      <c r="P132" t="str" cm="1">
        <f t="array" aca="1" ref="P13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33" spans="1:16" x14ac:dyDescent="0.25">
      <c r="A133" t="s">
        <v>12</v>
      </c>
      <c r="C133">
        <v>137151</v>
      </c>
      <c r="D133" t="s">
        <v>189</v>
      </c>
      <c r="E133" s="1">
        <v>45195</v>
      </c>
      <c r="G133" t="s">
        <v>53</v>
      </c>
      <c r="H133" t="s">
        <v>82</v>
      </c>
      <c r="I133" t="s">
        <v>35</v>
      </c>
      <c r="J133" t="s">
        <v>19</v>
      </c>
      <c r="K133" t="s">
        <v>93</v>
      </c>
      <c r="L133" t="s">
        <v>58</v>
      </c>
      <c r="M133">
        <v>2</v>
      </c>
      <c r="N133">
        <f>YEAR(Table1[[#This Row],[Date of Joining]])</f>
        <v>2023</v>
      </c>
      <c r="O13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6 Months</v>
      </c>
      <c r="P133" t="str" cm="1">
        <f t="array" aca="1" ref="P13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34" spans="1:16" x14ac:dyDescent="0.25">
      <c r="A134" t="s">
        <v>12</v>
      </c>
      <c r="B134" t="s">
        <v>129</v>
      </c>
      <c r="C134">
        <v>173998</v>
      </c>
      <c r="D134" t="s">
        <v>190</v>
      </c>
      <c r="E134" s="1">
        <v>45227</v>
      </c>
      <c r="G134" t="s">
        <v>34</v>
      </c>
      <c r="H134" t="s">
        <v>82</v>
      </c>
      <c r="I134" t="s">
        <v>18</v>
      </c>
      <c r="J134" t="s">
        <v>19</v>
      </c>
      <c r="K134" t="s">
        <v>25</v>
      </c>
      <c r="L134" t="s">
        <v>26</v>
      </c>
      <c r="M134">
        <v>5.3</v>
      </c>
      <c r="N134">
        <f>YEAR(Table1[[#This Row],[Date of Joining]])</f>
        <v>2023</v>
      </c>
      <c r="O13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5 Months</v>
      </c>
      <c r="P134" t="str" cm="1">
        <f t="array" aca="1" ref="P13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35" spans="1:16" x14ac:dyDescent="0.25">
      <c r="A135" t="s">
        <v>12</v>
      </c>
      <c r="B135" t="s">
        <v>129</v>
      </c>
      <c r="C135">
        <v>103925</v>
      </c>
      <c r="D135" t="s">
        <v>191</v>
      </c>
      <c r="E135" s="1">
        <v>45260</v>
      </c>
      <c r="G135" t="s">
        <v>34</v>
      </c>
      <c r="H135" t="s">
        <v>82</v>
      </c>
      <c r="I135" t="s">
        <v>18</v>
      </c>
      <c r="J135" t="s">
        <v>24</v>
      </c>
      <c r="K135" t="s">
        <v>93</v>
      </c>
      <c r="L135" t="s">
        <v>36</v>
      </c>
      <c r="M135">
        <v>4.5</v>
      </c>
      <c r="N135">
        <f>YEAR(Table1[[#This Row],[Date of Joining]])</f>
        <v>2023</v>
      </c>
      <c r="O13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4 Months</v>
      </c>
      <c r="P135" t="str" cm="1">
        <f t="array" aca="1" ref="P13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36" spans="1:16" x14ac:dyDescent="0.25">
      <c r="A136" t="s">
        <v>12</v>
      </c>
      <c r="C136">
        <v>118694</v>
      </c>
      <c r="D136" t="s">
        <v>192</v>
      </c>
      <c r="E136" s="1">
        <v>45265</v>
      </c>
      <c r="G136" t="s">
        <v>34</v>
      </c>
      <c r="H136" t="s">
        <v>82</v>
      </c>
      <c r="I136" t="s">
        <v>18</v>
      </c>
      <c r="J136" t="s">
        <v>19</v>
      </c>
      <c r="K136" t="s">
        <v>93</v>
      </c>
      <c r="L136" t="s">
        <v>36</v>
      </c>
      <c r="M136">
        <v>3.5</v>
      </c>
      <c r="N136">
        <f>YEAR(Table1[[#This Row],[Date of Joining]])</f>
        <v>2023</v>
      </c>
      <c r="O13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4 Months</v>
      </c>
      <c r="P136" t="str" cm="1">
        <f t="array" aca="1" ref="P13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37" spans="1:16" x14ac:dyDescent="0.25">
      <c r="A137" t="s">
        <v>12</v>
      </c>
      <c r="C137">
        <v>195849</v>
      </c>
      <c r="D137" t="s">
        <v>193</v>
      </c>
      <c r="E137" s="1">
        <v>45265</v>
      </c>
      <c r="G137" t="s">
        <v>34</v>
      </c>
      <c r="H137" t="s">
        <v>82</v>
      </c>
      <c r="I137" t="s">
        <v>35</v>
      </c>
      <c r="J137" t="s">
        <v>19</v>
      </c>
      <c r="K137" t="s">
        <v>93</v>
      </c>
      <c r="L137" t="s">
        <v>36</v>
      </c>
      <c r="M137">
        <v>1.5</v>
      </c>
      <c r="N137">
        <f>YEAR(Table1[[#This Row],[Date of Joining]])</f>
        <v>2023</v>
      </c>
      <c r="O13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4 Months</v>
      </c>
      <c r="P137" t="str" cm="1">
        <f t="array" aca="1" ref="P13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38" spans="1:16" x14ac:dyDescent="0.25">
      <c r="A138" t="s">
        <v>12</v>
      </c>
      <c r="C138">
        <v>182665</v>
      </c>
      <c r="D138" t="s">
        <v>194</v>
      </c>
      <c r="E138" s="1">
        <v>45267</v>
      </c>
      <c r="G138" t="s">
        <v>34</v>
      </c>
      <c r="H138" t="s">
        <v>82</v>
      </c>
      <c r="I138" t="s">
        <v>35</v>
      </c>
      <c r="J138" t="s">
        <v>24</v>
      </c>
      <c r="K138" t="s">
        <v>25</v>
      </c>
      <c r="L138" t="s">
        <v>31</v>
      </c>
      <c r="M138">
        <v>10.9</v>
      </c>
      <c r="N138">
        <f>YEAR(Table1[[#This Row],[Date of Joining]])</f>
        <v>2023</v>
      </c>
      <c r="O13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4 Months</v>
      </c>
      <c r="P138" t="str" cm="1">
        <f t="array" aca="1" ref="P13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39" spans="1:16" x14ac:dyDescent="0.25">
      <c r="A139" t="s">
        <v>12</v>
      </c>
      <c r="C139">
        <v>151067</v>
      </c>
      <c r="D139" t="s">
        <v>48</v>
      </c>
      <c r="E139" s="1">
        <v>45272</v>
      </c>
      <c r="G139" t="s">
        <v>39</v>
      </c>
      <c r="H139" t="s">
        <v>82</v>
      </c>
      <c r="I139" t="s">
        <v>35</v>
      </c>
      <c r="J139" t="s">
        <v>24</v>
      </c>
      <c r="K139" t="s">
        <v>93</v>
      </c>
      <c r="L139" t="s">
        <v>45</v>
      </c>
      <c r="M139">
        <v>2.8</v>
      </c>
      <c r="N139">
        <f>YEAR(Table1[[#This Row],[Date of Joining]])</f>
        <v>2023</v>
      </c>
      <c r="O13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4 Months</v>
      </c>
      <c r="P139" t="str" cm="1">
        <f t="array" aca="1" ref="P13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40" spans="1:16" x14ac:dyDescent="0.25">
      <c r="A140" t="s">
        <v>12</v>
      </c>
      <c r="B140" t="s">
        <v>129</v>
      </c>
      <c r="C140">
        <v>188212</v>
      </c>
      <c r="D140" t="s">
        <v>195</v>
      </c>
      <c r="E140" s="1">
        <v>45274</v>
      </c>
      <c r="G140" t="s">
        <v>34</v>
      </c>
      <c r="H140" t="s">
        <v>82</v>
      </c>
      <c r="I140" t="s">
        <v>18</v>
      </c>
      <c r="J140" t="s">
        <v>24</v>
      </c>
      <c r="K140" t="s">
        <v>25</v>
      </c>
      <c r="L140" t="s">
        <v>31</v>
      </c>
      <c r="M140">
        <v>7.5</v>
      </c>
      <c r="N140">
        <f>YEAR(Table1[[#This Row],[Date of Joining]])</f>
        <v>2023</v>
      </c>
      <c r="O14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4 Months</v>
      </c>
      <c r="P140" t="str" cm="1">
        <f t="array" aca="1" ref="P14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41" spans="1:16" x14ac:dyDescent="0.25">
      <c r="A141" t="s">
        <v>12</v>
      </c>
      <c r="B141" t="s">
        <v>129</v>
      </c>
      <c r="C141">
        <v>188527</v>
      </c>
      <c r="D141" t="s">
        <v>196</v>
      </c>
      <c r="E141" s="1">
        <v>45274</v>
      </c>
      <c r="G141" t="s">
        <v>34</v>
      </c>
      <c r="H141" t="s">
        <v>82</v>
      </c>
      <c r="I141" t="s">
        <v>35</v>
      </c>
      <c r="J141" t="s">
        <v>19</v>
      </c>
      <c r="K141" t="s">
        <v>93</v>
      </c>
      <c r="L141" t="s">
        <v>36</v>
      </c>
      <c r="M141">
        <v>10</v>
      </c>
      <c r="N141">
        <f>YEAR(Table1[[#This Row],[Date of Joining]])</f>
        <v>2023</v>
      </c>
      <c r="O14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4 Months</v>
      </c>
      <c r="P141" t="str" cm="1">
        <f t="array" aca="1" ref="P14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42" spans="1:16" x14ac:dyDescent="0.25">
      <c r="A142" t="s">
        <v>12</v>
      </c>
      <c r="C142">
        <v>151539</v>
      </c>
      <c r="D142" t="s">
        <v>197</v>
      </c>
      <c r="E142" s="1">
        <v>45279</v>
      </c>
      <c r="G142" t="s">
        <v>34</v>
      </c>
      <c r="H142" t="s">
        <v>82</v>
      </c>
      <c r="I142" t="s">
        <v>35</v>
      </c>
      <c r="J142" t="s">
        <v>19</v>
      </c>
      <c r="K142" t="s">
        <v>93</v>
      </c>
      <c r="L142" t="s">
        <v>36</v>
      </c>
      <c r="M142">
        <v>0</v>
      </c>
      <c r="N142">
        <f>YEAR(Table1[[#This Row],[Date of Joining]])</f>
        <v>2023</v>
      </c>
      <c r="O14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3 Months</v>
      </c>
      <c r="P142" t="str" cm="1">
        <f t="array" aca="1" ref="P14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43" spans="1:16" x14ac:dyDescent="0.25">
      <c r="A143" t="s">
        <v>12</v>
      </c>
      <c r="C143">
        <v>148895</v>
      </c>
      <c r="D143" t="s">
        <v>198</v>
      </c>
      <c r="E143" s="1">
        <v>45288</v>
      </c>
      <c r="G143" t="s">
        <v>39</v>
      </c>
      <c r="H143" t="s">
        <v>82</v>
      </c>
      <c r="I143" t="s">
        <v>35</v>
      </c>
      <c r="J143" t="s">
        <v>19</v>
      </c>
      <c r="K143" t="s">
        <v>93</v>
      </c>
      <c r="L143" t="s">
        <v>45</v>
      </c>
      <c r="M143">
        <v>0</v>
      </c>
      <c r="N143">
        <f>YEAR(Table1[[#This Row],[Date of Joining]])</f>
        <v>2023</v>
      </c>
      <c r="O14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3 Months</v>
      </c>
      <c r="P143" t="str" cm="1">
        <f t="array" aca="1" ref="P14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44" spans="1:16" x14ac:dyDescent="0.25">
      <c r="A144" t="s">
        <v>12</v>
      </c>
      <c r="B144" t="s">
        <v>129</v>
      </c>
      <c r="C144">
        <v>114477</v>
      </c>
      <c r="D144" t="s">
        <v>199</v>
      </c>
      <c r="E144" s="1">
        <v>45295</v>
      </c>
      <c r="G144" t="s">
        <v>34</v>
      </c>
      <c r="H144" t="s">
        <v>82</v>
      </c>
      <c r="I144" t="s">
        <v>18</v>
      </c>
      <c r="J144" t="s">
        <v>19</v>
      </c>
      <c r="K144" t="s">
        <v>93</v>
      </c>
      <c r="L144" t="s">
        <v>36</v>
      </c>
      <c r="M144">
        <v>1.6</v>
      </c>
      <c r="N144">
        <f>YEAR(Table1[[#This Row],[Date of Joining]])</f>
        <v>2024</v>
      </c>
      <c r="O14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3 Months</v>
      </c>
      <c r="P144" t="str" cm="1">
        <f t="array" aca="1" ref="P14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45" spans="1:16" x14ac:dyDescent="0.25">
      <c r="A145" t="s">
        <v>12</v>
      </c>
      <c r="C145">
        <v>170085</v>
      </c>
      <c r="D145" t="s">
        <v>200</v>
      </c>
      <c r="E145" s="1">
        <v>45302</v>
      </c>
      <c r="G145" t="s">
        <v>34</v>
      </c>
      <c r="H145" t="s">
        <v>82</v>
      </c>
      <c r="I145" t="s">
        <v>18</v>
      </c>
      <c r="J145" t="s">
        <v>19</v>
      </c>
      <c r="K145" t="s">
        <v>93</v>
      </c>
      <c r="L145" t="s">
        <v>36</v>
      </c>
      <c r="M145">
        <v>3.5</v>
      </c>
      <c r="N145">
        <f>YEAR(Table1[[#This Row],[Date of Joining]])</f>
        <v>2024</v>
      </c>
      <c r="O14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3 Months</v>
      </c>
      <c r="P145" t="str" cm="1">
        <f t="array" aca="1" ref="P14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46" spans="1:16" x14ac:dyDescent="0.25">
      <c r="A146" t="s">
        <v>12</v>
      </c>
      <c r="C146">
        <v>148355</v>
      </c>
      <c r="D146" t="s">
        <v>201</v>
      </c>
      <c r="E146" s="1">
        <v>45302</v>
      </c>
      <c r="G146" t="s">
        <v>16</v>
      </c>
      <c r="H146" t="s">
        <v>82</v>
      </c>
      <c r="I146" t="s">
        <v>18</v>
      </c>
      <c r="J146" t="s">
        <v>19</v>
      </c>
      <c r="K146" t="s">
        <v>93</v>
      </c>
      <c r="L146" t="s">
        <v>45</v>
      </c>
      <c r="M146">
        <v>14</v>
      </c>
      <c r="N146">
        <f>YEAR(Table1[[#This Row],[Date of Joining]])</f>
        <v>2024</v>
      </c>
      <c r="O14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3 Months</v>
      </c>
      <c r="P146" t="str" cm="1">
        <f t="array" aca="1" ref="P14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47" spans="1:16" x14ac:dyDescent="0.25">
      <c r="A147" t="s">
        <v>12</v>
      </c>
      <c r="C147">
        <v>132724</v>
      </c>
      <c r="D147" t="s">
        <v>202</v>
      </c>
      <c r="E147" s="1">
        <v>45314</v>
      </c>
      <c r="G147" t="s">
        <v>48</v>
      </c>
      <c r="H147" t="s">
        <v>82</v>
      </c>
      <c r="I147" t="s">
        <v>18</v>
      </c>
      <c r="J147" t="s">
        <v>19</v>
      </c>
      <c r="K147" t="s">
        <v>93</v>
      </c>
      <c r="L147" t="s">
        <v>36</v>
      </c>
      <c r="M147">
        <v>0.6</v>
      </c>
      <c r="N147">
        <f>YEAR(Table1[[#This Row],[Date of Joining]])</f>
        <v>2024</v>
      </c>
      <c r="O14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2 Months</v>
      </c>
      <c r="P147" t="str" cm="1">
        <f t="array" aca="1" ref="P14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48" spans="1:16" x14ac:dyDescent="0.25">
      <c r="A148" t="s">
        <v>12</v>
      </c>
      <c r="C148">
        <v>136024</v>
      </c>
      <c r="D148" t="s">
        <v>203</v>
      </c>
      <c r="E148" s="1">
        <v>45314</v>
      </c>
      <c r="G148" t="s">
        <v>53</v>
      </c>
      <c r="H148" t="s">
        <v>82</v>
      </c>
      <c r="I148" t="s">
        <v>18</v>
      </c>
      <c r="J148" t="s">
        <v>19</v>
      </c>
      <c r="K148" t="s">
        <v>85</v>
      </c>
      <c r="L148" t="s">
        <v>45</v>
      </c>
      <c r="M148">
        <v>14</v>
      </c>
      <c r="N148">
        <f>YEAR(Table1[[#This Row],[Date of Joining]])</f>
        <v>2024</v>
      </c>
      <c r="O14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2 Months</v>
      </c>
      <c r="P148" t="str" cm="1">
        <f t="array" aca="1" ref="P14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49" spans="1:16" x14ac:dyDescent="0.25">
      <c r="A149" t="s">
        <v>12</v>
      </c>
      <c r="B149" t="s">
        <v>129</v>
      </c>
      <c r="C149">
        <v>186654</v>
      </c>
      <c r="D149" t="s">
        <v>204</v>
      </c>
      <c r="E149" s="1">
        <v>45323</v>
      </c>
      <c r="G149" t="s">
        <v>34</v>
      </c>
      <c r="H149" t="s">
        <v>82</v>
      </c>
      <c r="I149" t="s">
        <v>35</v>
      </c>
      <c r="J149" t="s">
        <v>19</v>
      </c>
      <c r="K149" t="s">
        <v>93</v>
      </c>
      <c r="L149" t="s">
        <v>45</v>
      </c>
      <c r="M149">
        <v>3.3</v>
      </c>
      <c r="N149">
        <f>YEAR(Table1[[#This Row],[Date of Joining]])</f>
        <v>2024</v>
      </c>
      <c r="O14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2 Months</v>
      </c>
      <c r="P149" t="str" cm="1">
        <f t="array" aca="1" ref="P14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50" spans="1:16" x14ac:dyDescent="0.25">
      <c r="A150" t="s">
        <v>12</v>
      </c>
      <c r="C150">
        <v>140505</v>
      </c>
      <c r="D150" t="s">
        <v>205</v>
      </c>
      <c r="E150" s="1">
        <v>45323</v>
      </c>
      <c r="G150" t="s">
        <v>16</v>
      </c>
      <c r="H150" t="s">
        <v>82</v>
      </c>
      <c r="I150" t="s">
        <v>35</v>
      </c>
      <c r="J150" t="s">
        <v>19</v>
      </c>
      <c r="K150" t="s">
        <v>93</v>
      </c>
      <c r="L150" t="s">
        <v>45</v>
      </c>
      <c r="M150">
        <v>13</v>
      </c>
      <c r="N150">
        <f>YEAR(Table1[[#This Row],[Date of Joining]])</f>
        <v>2024</v>
      </c>
      <c r="O15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2 Months</v>
      </c>
      <c r="P150" t="str" cm="1">
        <f t="array" aca="1" ref="P15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51" spans="1:16" x14ac:dyDescent="0.25">
      <c r="A151" t="s">
        <v>12</v>
      </c>
      <c r="C151">
        <v>166500</v>
      </c>
      <c r="D151" t="s">
        <v>206</v>
      </c>
      <c r="E151" s="1">
        <v>45328</v>
      </c>
      <c r="G151" t="s">
        <v>34</v>
      </c>
      <c r="H151" t="s">
        <v>82</v>
      </c>
      <c r="I151" t="s">
        <v>35</v>
      </c>
      <c r="J151" t="s">
        <v>19</v>
      </c>
      <c r="K151" t="s">
        <v>93</v>
      </c>
      <c r="L151" t="s">
        <v>31</v>
      </c>
      <c r="M151">
        <v>1.5</v>
      </c>
      <c r="N151">
        <f>YEAR(Table1[[#This Row],[Date of Joining]])</f>
        <v>2024</v>
      </c>
      <c r="O15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2 Months</v>
      </c>
      <c r="P151" t="str" cm="1">
        <f t="array" aca="1" ref="P15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52" spans="1:16" x14ac:dyDescent="0.25">
      <c r="A152" t="s">
        <v>12</v>
      </c>
      <c r="B152" t="s">
        <v>129</v>
      </c>
      <c r="C152">
        <v>196256</v>
      </c>
      <c r="D152" t="s">
        <v>207</v>
      </c>
      <c r="E152" s="1">
        <v>45366</v>
      </c>
      <c r="G152" t="s">
        <v>34</v>
      </c>
      <c r="H152" t="s">
        <v>82</v>
      </c>
      <c r="I152" t="s">
        <v>35</v>
      </c>
      <c r="J152" t="s">
        <v>24</v>
      </c>
      <c r="K152" t="s">
        <v>93</v>
      </c>
      <c r="L152" t="s">
        <v>45</v>
      </c>
      <c r="M152">
        <v>3</v>
      </c>
      <c r="N152">
        <f>YEAR(Table1[[#This Row],[Date of Joining]])</f>
        <v>2024</v>
      </c>
      <c r="O15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1 Months</v>
      </c>
      <c r="P152" t="str" cm="1">
        <f t="array" aca="1" ref="P15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53" spans="1:16" x14ac:dyDescent="0.25">
      <c r="A153" t="s">
        <v>12</v>
      </c>
      <c r="C153">
        <v>107622</v>
      </c>
      <c r="D153" t="s">
        <v>208</v>
      </c>
      <c r="E153" s="1">
        <v>45366</v>
      </c>
      <c r="G153" t="s">
        <v>53</v>
      </c>
      <c r="H153" t="s">
        <v>82</v>
      </c>
      <c r="I153" t="s">
        <v>35</v>
      </c>
      <c r="J153" t="s">
        <v>19</v>
      </c>
      <c r="K153" t="s">
        <v>25</v>
      </c>
      <c r="L153" t="s">
        <v>45</v>
      </c>
      <c r="M153">
        <v>13</v>
      </c>
      <c r="N153">
        <f>YEAR(Table1[[#This Row],[Date of Joining]])</f>
        <v>2024</v>
      </c>
      <c r="O15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1 Months</v>
      </c>
      <c r="P153" t="str" cm="1">
        <f t="array" aca="1" ref="P15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54" spans="1:16" x14ac:dyDescent="0.25">
      <c r="A154" t="s">
        <v>12</v>
      </c>
      <c r="C154">
        <v>140845</v>
      </c>
      <c r="D154" t="s">
        <v>209</v>
      </c>
      <c r="E154" s="1">
        <v>45374</v>
      </c>
      <c r="G154" t="s">
        <v>39</v>
      </c>
      <c r="H154" t="s">
        <v>82</v>
      </c>
      <c r="I154" t="s">
        <v>18</v>
      </c>
      <c r="J154" t="s">
        <v>19</v>
      </c>
      <c r="K154" t="s">
        <v>25</v>
      </c>
      <c r="L154" t="s">
        <v>45</v>
      </c>
      <c r="M154">
        <v>10</v>
      </c>
      <c r="N154">
        <f>YEAR(Table1[[#This Row],[Date of Joining]])</f>
        <v>2024</v>
      </c>
      <c r="O15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0 Months</v>
      </c>
      <c r="P154" t="str" cm="1">
        <f t="array" aca="1" ref="P15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55" spans="1:16" x14ac:dyDescent="0.25">
      <c r="A155" t="s">
        <v>12</v>
      </c>
      <c r="C155">
        <v>196163</v>
      </c>
      <c r="D155" t="s">
        <v>210</v>
      </c>
      <c r="E155" s="1">
        <v>45374</v>
      </c>
      <c r="G155" t="s">
        <v>48</v>
      </c>
      <c r="H155" t="s">
        <v>82</v>
      </c>
      <c r="I155" t="s">
        <v>18</v>
      </c>
      <c r="J155" t="s">
        <v>19</v>
      </c>
      <c r="K155" t="s">
        <v>93</v>
      </c>
      <c r="L155" t="s">
        <v>45</v>
      </c>
      <c r="M155">
        <v>6.8</v>
      </c>
      <c r="N155">
        <f>YEAR(Table1[[#This Row],[Date of Joining]])</f>
        <v>2024</v>
      </c>
      <c r="O15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0 Months</v>
      </c>
      <c r="P155" t="str" cm="1">
        <f t="array" aca="1" ref="P15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56" spans="1:16" x14ac:dyDescent="0.25">
      <c r="A156" t="s">
        <v>12</v>
      </c>
      <c r="C156">
        <v>143527</v>
      </c>
      <c r="D156" t="s">
        <v>211</v>
      </c>
      <c r="E156" s="1">
        <v>45374</v>
      </c>
      <c r="G156" t="s">
        <v>16</v>
      </c>
      <c r="H156" t="s">
        <v>82</v>
      </c>
      <c r="I156" t="s">
        <v>18</v>
      </c>
      <c r="J156" t="s">
        <v>24</v>
      </c>
      <c r="K156" t="s">
        <v>85</v>
      </c>
      <c r="L156" t="s">
        <v>36</v>
      </c>
      <c r="M156">
        <v>7</v>
      </c>
      <c r="N156">
        <f>YEAR(Table1[[#This Row],[Date of Joining]])</f>
        <v>2024</v>
      </c>
      <c r="O15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0 Months</v>
      </c>
      <c r="P156" t="str" cm="1">
        <f t="array" aca="1" ref="P15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57" spans="1:16" x14ac:dyDescent="0.25">
      <c r="A157" t="s">
        <v>12</v>
      </c>
      <c r="C157">
        <v>121781</v>
      </c>
      <c r="D157" t="s">
        <v>212</v>
      </c>
      <c r="E157" s="1">
        <v>45374</v>
      </c>
      <c r="G157" t="s">
        <v>16</v>
      </c>
      <c r="H157" t="s">
        <v>82</v>
      </c>
      <c r="I157" t="s">
        <v>18</v>
      </c>
      <c r="J157" t="s">
        <v>19</v>
      </c>
      <c r="K157" t="s">
        <v>85</v>
      </c>
      <c r="L157" t="s">
        <v>36</v>
      </c>
      <c r="M157">
        <v>13</v>
      </c>
      <c r="N157">
        <f>YEAR(Table1[[#This Row],[Date of Joining]])</f>
        <v>2024</v>
      </c>
      <c r="O15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0 Months</v>
      </c>
      <c r="P157" t="str" cm="1">
        <f t="array" aca="1" ref="P15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58" spans="1:16" x14ac:dyDescent="0.25">
      <c r="A158" t="s">
        <v>12</v>
      </c>
      <c r="B158" t="s">
        <v>129</v>
      </c>
      <c r="C158">
        <v>190716</v>
      </c>
      <c r="D158" t="s">
        <v>213</v>
      </c>
      <c r="E158" s="1">
        <v>45385</v>
      </c>
      <c r="G158" t="s">
        <v>39</v>
      </c>
      <c r="H158" t="s">
        <v>82</v>
      </c>
      <c r="I158" t="s">
        <v>35</v>
      </c>
      <c r="J158" t="s">
        <v>24</v>
      </c>
      <c r="K158" t="s">
        <v>93</v>
      </c>
      <c r="L158" t="s">
        <v>36</v>
      </c>
      <c r="M158">
        <v>4</v>
      </c>
      <c r="N158">
        <f>YEAR(Table1[[#This Row],[Date of Joining]])</f>
        <v>2024</v>
      </c>
      <c r="O15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0 Months</v>
      </c>
      <c r="P158" t="str" cm="1">
        <f t="array" aca="1" ref="P15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59" spans="1:16" x14ac:dyDescent="0.25">
      <c r="A159" t="s">
        <v>12</v>
      </c>
      <c r="C159">
        <v>131453</v>
      </c>
      <c r="D159" t="s">
        <v>214</v>
      </c>
      <c r="E159" s="1">
        <v>45385</v>
      </c>
      <c r="G159" t="s">
        <v>53</v>
      </c>
      <c r="H159" t="s">
        <v>82</v>
      </c>
      <c r="I159" t="s">
        <v>18</v>
      </c>
      <c r="J159" t="s">
        <v>19</v>
      </c>
      <c r="K159" t="s">
        <v>93</v>
      </c>
      <c r="L159" t="s">
        <v>20</v>
      </c>
      <c r="M159">
        <v>8</v>
      </c>
      <c r="N159">
        <f>YEAR(Table1[[#This Row],[Date of Joining]])</f>
        <v>2024</v>
      </c>
      <c r="O15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2 Years 0 Months</v>
      </c>
      <c r="P159" t="str" cm="1">
        <f t="array" aca="1" ref="P15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2+ Years</v>
      </c>
    </row>
    <row r="160" spans="1:16" x14ac:dyDescent="0.25">
      <c r="A160" t="s">
        <v>12</v>
      </c>
      <c r="C160">
        <v>133611</v>
      </c>
      <c r="D160" t="s">
        <v>215</v>
      </c>
      <c r="E160" s="1">
        <v>45401</v>
      </c>
      <c r="G160" t="s">
        <v>53</v>
      </c>
      <c r="H160" t="s">
        <v>82</v>
      </c>
      <c r="I160" t="s">
        <v>35</v>
      </c>
      <c r="J160" t="s">
        <v>19</v>
      </c>
      <c r="K160" t="s">
        <v>93</v>
      </c>
      <c r="L160" t="s">
        <v>58</v>
      </c>
      <c r="M160">
        <v>0</v>
      </c>
      <c r="N160">
        <f>YEAR(Table1[[#This Row],[Date of Joining]])</f>
        <v>2024</v>
      </c>
      <c r="O16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11 Months</v>
      </c>
      <c r="P160" t="str" cm="1">
        <f t="array" aca="1" ref="P16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61" spans="1:16" x14ac:dyDescent="0.25">
      <c r="A161" t="s">
        <v>12</v>
      </c>
      <c r="C161">
        <v>158773</v>
      </c>
      <c r="D161" t="s">
        <v>216</v>
      </c>
      <c r="E161" s="1">
        <v>45427</v>
      </c>
      <c r="G161" t="s">
        <v>39</v>
      </c>
      <c r="H161" t="s">
        <v>82</v>
      </c>
      <c r="I161" t="s">
        <v>18</v>
      </c>
      <c r="J161" t="s">
        <v>19</v>
      </c>
      <c r="K161" t="s">
        <v>93</v>
      </c>
      <c r="L161" t="s">
        <v>36</v>
      </c>
      <c r="M161">
        <v>3</v>
      </c>
      <c r="N161">
        <f>YEAR(Table1[[#This Row],[Date of Joining]])</f>
        <v>2024</v>
      </c>
      <c r="O16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11 Months</v>
      </c>
      <c r="P161" t="str" cm="1">
        <f t="array" aca="1" ref="P16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62" spans="1:16" x14ac:dyDescent="0.25">
      <c r="A162" t="s">
        <v>12</v>
      </c>
      <c r="C162">
        <v>109333</v>
      </c>
      <c r="D162" t="s">
        <v>217</v>
      </c>
      <c r="E162" s="1">
        <v>45434</v>
      </c>
      <c r="G162" t="s">
        <v>34</v>
      </c>
      <c r="H162" t="s">
        <v>82</v>
      </c>
      <c r="I162" t="s">
        <v>18</v>
      </c>
      <c r="J162" t="s">
        <v>24</v>
      </c>
      <c r="K162" t="s">
        <v>25</v>
      </c>
      <c r="L162" t="s">
        <v>31</v>
      </c>
      <c r="M162">
        <v>10</v>
      </c>
      <c r="N162">
        <f>YEAR(Table1[[#This Row],[Date of Joining]])</f>
        <v>2024</v>
      </c>
      <c r="O16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10 Months</v>
      </c>
      <c r="P162" t="str" cm="1">
        <f t="array" aca="1" ref="P16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63" spans="1:16" x14ac:dyDescent="0.25">
      <c r="A163" t="s">
        <v>12</v>
      </c>
      <c r="C163">
        <v>165233</v>
      </c>
      <c r="D163" t="s">
        <v>218</v>
      </c>
      <c r="E163" s="1">
        <v>45455</v>
      </c>
      <c r="G163" t="s">
        <v>34</v>
      </c>
      <c r="H163" t="s">
        <v>82</v>
      </c>
      <c r="I163" t="s">
        <v>18</v>
      </c>
      <c r="J163" t="s">
        <v>19</v>
      </c>
      <c r="K163" t="s">
        <v>93</v>
      </c>
      <c r="L163" t="s">
        <v>36</v>
      </c>
      <c r="M163">
        <v>1.2</v>
      </c>
      <c r="N163">
        <f>YEAR(Table1[[#This Row],[Date of Joining]])</f>
        <v>2024</v>
      </c>
      <c r="O163"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10 Months</v>
      </c>
      <c r="P163" t="str" cm="1">
        <f t="array" aca="1" ref="P163"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64" spans="1:16" x14ac:dyDescent="0.25">
      <c r="A164" t="s">
        <v>12</v>
      </c>
      <c r="B164" t="s">
        <v>129</v>
      </c>
      <c r="C164">
        <v>103360</v>
      </c>
      <c r="D164" t="s">
        <v>219</v>
      </c>
      <c r="E164" s="1">
        <v>45569</v>
      </c>
      <c r="G164" t="s">
        <v>34</v>
      </c>
      <c r="H164" t="s">
        <v>82</v>
      </c>
      <c r="I164" t="s">
        <v>35</v>
      </c>
      <c r="J164" t="s">
        <v>19</v>
      </c>
      <c r="K164" t="s">
        <v>93</v>
      </c>
      <c r="L164" t="s">
        <v>45</v>
      </c>
      <c r="M164">
        <v>0.11</v>
      </c>
      <c r="N164">
        <f>YEAR(Table1[[#This Row],[Date of Joining]])</f>
        <v>2024</v>
      </c>
      <c r="O164"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6 Months</v>
      </c>
      <c r="P164" t="str" cm="1">
        <f t="array" aca="1" ref="P164"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65" spans="1:16" x14ac:dyDescent="0.25">
      <c r="A165" t="s">
        <v>12</v>
      </c>
      <c r="C165">
        <v>168841</v>
      </c>
      <c r="D165" t="s">
        <v>76</v>
      </c>
      <c r="E165" s="1">
        <v>45569</v>
      </c>
      <c r="G165" t="s">
        <v>34</v>
      </c>
      <c r="H165" t="s">
        <v>82</v>
      </c>
      <c r="I165" t="s">
        <v>18</v>
      </c>
      <c r="J165" t="s">
        <v>24</v>
      </c>
      <c r="K165" t="s">
        <v>85</v>
      </c>
      <c r="L165" t="s">
        <v>58</v>
      </c>
      <c r="M165">
        <v>19</v>
      </c>
      <c r="N165">
        <f>YEAR(Table1[[#This Row],[Date of Joining]])</f>
        <v>2024</v>
      </c>
      <c r="O165"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6 Months</v>
      </c>
      <c r="P165" t="str" cm="1">
        <f t="array" aca="1" ref="P165"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66" spans="1:16" x14ac:dyDescent="0.25">
      <c r="A166" t="s">
        <v>21</v>
      </c>
      <c r="C166">
        <v>123680</v>
      </c>
      <c r="D166" t="s">
        <v>220</v>
      </c>
      <c r="E166" s="1">
        <v>45658</v>
      </c>
      <c r="G166" t="s">
        <v>76</v>
      </c>
      <c r="H166" t="s">
        <v>82</v>
      </c>
      <c r="I166" t="s">
        <v>35</v>
      </c>
      <c r="J166" t="s">
        <v>19</v>
      </c>
      <c r="K166" t="s">
        <v>93</v>
      </c>
      <c r="L166" t="s">
        <v>20</v>
      </c>
      <c r="M166">
        <v>0</v>
      </c>
      <c r="N166">
        <f>YEAR(Table1[[#This Row],[Date of Joining]])</f>
        <v>2025</v>
      </c>
      <c r="O166"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3 Months</v>
      </c>
      <c r="P166" t="str" cm="1">
        <f t="array" aca="1" ref="P166"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67" spans="1:16" x14ac:dyDescent="0.25">
      <c r="A167" t="s">
        <v>12</v>
      </c>
      <c r="C167">
        <v>136555</v>
      </c>
      <c r="D167" t="s">
        <v>221</v>
      </c>
      <c r="E167" s="1">
        <v>45662</v>
      </c>
      <c r="G167" t="s">
        <v>76</v>
      </c>
      <c r="H167" t="s">
        <v>82</v>
      </c>
      <c r="I167" t="s">
        <v>18</v>
      </c>
      <c r="J167" t="s">
        <v>24</v>
      </c>
      <c r="K167" t="s">
        <v>85</v>
      </c>
      <c r="L167" t="s">
        <v>26</v>
      </c>
      <c r="M167">
        <v>5</v>
      </c>
      <c r="N167">
        <f>YEAR(Table1[[#This Row],[Date of Joining]])</f>
        <v>2025</v>
      </c>
      <c r="O167"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3 Months</v>
      </c>
      <c r="P167" t="str" cm="1">
        <f t="array" aca="1" ref="P167"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68" spans="1:16" x14ac:dyDescent="0.25">
      <c r="A168" t="s">
        <v>12</v>
      </c>
      <c r="C168">
        <v>109886</v>
      </c>
      <c r="D168" t="s">
        <v>222</v>
      </c>
      <c r="E168" s="1">
        <v>45664</v>
      </c>
      <c r="G168" t="s">
        <v>76</v>
      </c>
      <c r="H168" t="s">
        <v>82</v>
      </c>
      <c r="I168" t="s">
        <v>35</v>
      </c>
      <c r="J168" t="s">
        <v>24</v>
      </c>
      <c r="K168" t="s">
        <v>85</v>
      </c>
      <c r="L168" t="s">
        <v>20</v>
      </c>
      <c r="M168">
        <v>14</v>
      </c>
      <c r="N168">
        <f>YEAR(Table1[[#This Row],[Date of Joining]])</f>
        <v>2025</v>
      </c>
      <c r="O168"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3 Months</v>
      </c>
      <c r="P168" t="str" cm="1">
        <f t="array" aca="1" ref="P168"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69" spans="1:16" x14ac:dyDescent="0.25">
      <c r="A169" t="s">
        <v>12</v>
      </c>
      <c r="C169">
        <v>135596</v>
      </c>
      <c r="D169" t="s">
        <v>223</v>
      </c>
      <c r="E169" s="1">
        <v>45671</v>
      </c>
      <c r="G169" t="s">
        <v>39</v>
      </c>
      <c r="H169" t="s">
        <v>82</v>
      </c>
      <c r="I169" t="s">
        <v>18</v>
      </c>
      <c r="J169" t="s">
        <v>19</v>
      </c>
      <c r="K169" t="s">
        <v>25</v>
      </c>
      <c r="L169" t="s">
        <v>20</v>
      </c>
      <c r="M169">
        <v>0</v>
      </c>
      <c r="N169">
        <f>YEAR(Table1[[#This Row],[Date of Joining]])</f>
        <v>2025</v>
      </c>
      <c r="O169"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3 Months</v>
      </c>
      <c r="P169" t="str" cm="1">
        <f t="array" aca="1" ref="P169"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70" spans="1:16" x14ac:dyDescent="0.25">
      <c r="A170" t="s">
        <v>12</v>
      </c>
      <c r="C170">
        <v>102045</v>
      </c>
      <c r="D170" t="s">
        <v>224</v>
      </c>
      <c r="E170" s="1">
        <v>45720</v>
      </c>
      <c r="G170" t="s">
        <v>34</v>
      </c>
      <c r="H170" t="s">
        <v>82</v>
      </c>
      <c r="I170" t="s">
        <v>35</v>
      </c>
      <c r="J170" t="s">
        <v>19</v>
      </c>
      <c r="K170" t="s">
        <v>85</v>
      </c>
      <c r="L170" t="s">
        <v>26</v>
      </c>
      <c r="M170">
        <v>17</v>
      </c>
      <c r="N170">
        <f>YEAR(Table1[[#This Row],[Date of Joining]])</f>
        <v>2025</v>
      </c>
      <c r="O170"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1 Years 1 Months</v>
      </c>
      <c r="P170" t="str" cm="1">
        <f t="array" aca="1" ref="P170"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1+ Years</v>
      </c>
    </row>
    <row r="171" spans="1:16" x14ac:dyDescent="0.25">
      <c r="A171" t="s">
        <v>12</v>
      </c>
      <c r="C171">
        <v>137966</v>
      </c>
      <c r="D171" t="s">
        <v>225</v>
      </c>
      <c r="E171" s="1">
        <v>45852</v>
      </c>
      <c r="G171" t="s">
        <v>34</v>
      </c>
      <c r="H171" t="s">
        <v>82</v>
      </c>
      <c r="I171" t="s">
        <v>18</v>
      </c>
      <c r="J171" t="s">
        <v>24</v>
      </c>
      <c r="K171" t="s">
        <v>25</v>
      </c>
      <c r="L171" t="s">
        <v>20</v>
      </c>
      <c r="M171">
        <v>9</v>
      </c>
      <c r="N171">
        <f>YEAR(Table1[[#This Row],[Date of Joining]])</f>
        <v>2025</v>
      </c>
      <c r="O171"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9 Months</v>
      </c>
      <c r="P171" t="str" cm="1">
        <f t="array" aca="1" ref="P171"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172" spans="1:16" x14ac:dyDescent="0.25">
      <c r="A172" t="s">
        <v>12</v>
      </c>
      <c r="C172">
        <v>146341</v>
      </c>
      <c r="D172" t="s">
        <v>226</v>
      </c>
      <c r="E172" s="1">
        <v>45857</v>
      </c>
      <c r="G172" t="s">
        <v>34</v>
      </c>
      <c r="H172" t="s">
        <v>82</v>
      </c>
      <c r="I172" t="s">
        <v>35</v>
      </c>
      <c r="J172" t="s">
        <v>24</v>
      </c>
      <c r="K172" t="s">
        <v>25</v>
      </c>
      <c r="L172" t="s">
        <v>20</v>
      </c>
      <c r="M172">
        <v>13</v>
      </c>
      <c r="N172">
        <f>YEAR(Table1[[#This Row],[Date of Joining]])</f>
        <v>2025</v>
      </c>
      <c r="O172" t="str">
        <f ca="1">_xlfn.LET(_xlpm.x,IF(Table1[[#This Row],[Data of Relieving]]&lt;&gt;"",DATEDIF(Table1[[#This Row],[Date of Joining]],Table1[[#This Row],[Data of Relieving]],"M"),DATEDIF(Table1[[#This Row],[Date of Joining]],TODAY(),"M")),
           _xlpm._year,INT(_xlpm.x/12),_xlpm._month,MOD(_xlpm.x,12),
          IF(_xlpm._year=0,_xlpm._month &amp; " Months",_xlpm._year&amp;" Years " &amp; _xlpm._month &amp; " Months" ))</f>
        <v>8 Months</v>
      </c>
      <c r="P172" t="str" cm="1">
        <f t="array" aca="1" ref="P172" ca="1">_xlfn.LET(_xlpm.x,IF(Table1[[#This Row],[Data of Relieving]]&lt;&gt;"",DATEDIF(Table1[[#This Row],[Date of Joining]],Table1[[#This Row],[Data of Relieving]],"M"),DATEDIF(Table1[[#This Row],[Date of Joining]],TODAY(),"M")),
         _xlpm._year,INT(_xlpm.x/12),
         _xlfn.IFS(_xlpm._year&gt;=5,"5+ Years",_xlpm._year&gt;=4,"4+ Years",_xlpm._year&gt;=3,"3+ Years",_xlpm._year&gt;=2,"2+ Years",_xlpm._year&gt;=1,"1+ Years",_xlpm._year&lt;1,"Under 1 Year"))</f>
        <v>Under 1 Year</v>
      </c>
    </row>
    <row r="180" spans="1:6" x14ac:dyDescent="0.25">
      <c r="A180">
        <f>COUNTIF(Table1[Emp Status],A3)</f>
        <v>47</v>
      </c>
      <c r="F180" s="2"/>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42218-D0F6-4F96-B264-194D965E43BE}">
  <dimension ref="A1:AN26"/>
  <sheetViews>
    <sheetView showGridLines="0" workbookViewId="0">
      <selection activeCell="AA20" sqref="AA20"/>
    </sheetView>
  </sheetViews>
  <sheetFormatPr defaultRowHeight="15" x14ac:dyDescent="0.25"/>
  <cols>
    <col min="1" max="1" width="19" bestFit="1" customWidth="1"/>
    <col min="4" max="4" width="1.5703125" style="3" customWidth="1"/>
    <col min="5" max="5" width="13.140625" bestFit="1" customWidth="1"/>
    <col min="6" max="6" width="19" bestFit="1" customWidth="1"/>
    <col min="7" max="7" width="9.28515625" customWidth="1"/>
    <col min="8" max="8" width="1.5703125" style="3" customWidth="1"/>
    <col min="9" max="9" width="19" bestFit="1" customWidth="1"/>
    <col min="10" max="10" width="16.28515625" bestFit="1" customWidth="1"/>
    <col min="11" max="11" width="9.42578125" bestFit="1" customWidth="1"/>
    <col min="12" max="12" width="8.28515625" bestFit="1" customWidth="1"/>
    <col min="13" max="13" width="14.85546875" bestFit="1" customWidth="1"/>
    <col min="15" max="15" width="1.5703125" style="3" customWidth="1"/>
    <col min="16" max="16" width="18.42578125" bestFit="1" customWidth="1"/>
    <col min="17" max="17" width="19" bestFit="1" customWidth="1"/>
    <col min="18" max="18" width="19" customWidth="1"/>
    <col min="19" max="19" width="1.5703125" style="3" customWidth="1"/>
    <col min="20" max="20" width="14.5703125" bestFit="1" customWidth="1"/>
    <col min="21" max="21" width="19" bestFit="1" customWidth="1"/>
    <col min="22" max="22" width="20" bestFit="1" customWidth="1"/>
    <col min="23" max="23" width="20" customWidth="1"/>
    <col min="24" max="24" width="1.5703125" style="3" customWidth="1"/>
    <col min="25" max="25" width="13.140625" bestFit="1" customWidth="1"/>
    <col min="26" max="26" width="20" bestFit="1" customWidth="1"/>
    <col min="27" max="27" width="19" bestFit="1" customWidth="1"/>
    <col min="28" max="28" width="9.140625" customWidth="1"/>
    <col min="29" max="29" width="1.5703125" style="3" customWidth="1"/>
    <col min="30" max="30" width="16.5703125" bestFit="1" customWidth="1"/>
    <col min="31" max="32" width="19" bestFit="1" customWidth="1"/>
    <col min="33" max="33" width="1.5703125" style="3" customWidth="1"/>
    <col min="34" max="34" width="14.5703125" bestFit="1" customWidth="1"/>
    <col min="35" max="35" width="19" bestFit="1" customWidth="1"/>
    <col min="36" max="36" width="17" customWidth="1"/>
    <col min="37" max="37" width="1.5703125" style="3" customWidth="1"/>
    <col min="38" max="38" width="16" bestFit="1" customWidth="1"/>
    <col min="39" max="39" width="19" bestFit="1" customWidth="1"/>
    <col min="40" max="40" width="17" customWidth="1"/>
  </cols>
  <sheetData>
    <row r="1" spans="1:40" ht="15" customHeight="1" x14ac:dyDescent="0.25">
      <c r="A1" s="14" t="s">
        <v>230</v>
      </c>
      <c r="B1" s="14"/>
      <c r="C1" s="14"/>
      <c r="E1" s="13" t="s">
        <v>233</v>
      </c>
      <c r="F1" s="13"/>
      <c r="G1" s="13"/>
      <c r="I1" s="13" t="s">
        <v>237</v>
      </c>
      <c r="J1" s="13"/>
      <c r="K1" s="13"/>
      <c r="L1" s="13"/>
      <c r="M1" s="13"/>
      <c r="N1" s="13"/>
      <c r="P1" s="15" t="s">
        <v>6</v>
      </c>
      <c r="Q1" s="15"/>
      <c r="R1" s="15"/>
      <c r="T1" s="13" t="s">
        <v>254</v>
      </c>
      <c r="U1" s="13"/>
      <c r="V1" s="13"/>
      <c r="W1" s="9"/>
      <c r="Y1" s="13" t="s">
        <v>255</v>
      </c>
      <c r="Z1" s="13"/>
      <c r="AA1" s="13"/>
      <c r="AB1" s="13"/>
      <c r="AD1" s="13" t="s">
        <v>242</v>
      </c>
      <c r="AE1" s="13"/>
      <c r="AF1" s="13"/>
      <c r="AH1" s="13" t="s">
        <v>241</v>
      </c>
      <c r="AI1" s="13"/>
      <c r="AJ1" s="13"/>
      <c r="AL1" s="13" t="s">
        <v>257</v>
      </c>
      <c r="AM1" s="13"/>
      <c r="AN1" s="13"/>
    </row>
    <row r="2" spans="1:40" ht="15" customHeight="1" x14ac:dyDescent="0.25">
      <c r="A2" s="14"/>
      <c r="B2" s="14"/>
      <c r="C2" s="14"/>
      <c r="E2" s="13"/>
      <c r="F2" s="13"/>
      <c r="G2" s="13"/>
      <c r="I2" s="13"/>
      <c r="J2" s="13"/>
      <c r="K2" s="13"/>
      <c r="L2" s="13"/>
      <c r="M2" s="13"/>
      <c r="N2" s="13"/>
      <c r="P2" s="15"/>
      <c r="Q2" s="15"/>
      <c r="R2" s="15"/>
      <c r="T2" s="13"/>
      <c r="U2" s="13"/>
      <c r="V2" s="13"/>
      <c r="W2" s="9"/>
      <c r="Y2" s="13"/>
      <c r="Z2" s="13"/>
      <c r="AA2" s="13"/>
      <c r="AB2" s="13"/>
      <c r="AD2" s="13"/>
      <c r="AE2" s="13"/>
      <c r="AF2" s="13"/>
      <c r="AH2" s="13"/>
      <c r="AI2" s="13"/>
      <c r="AJ2" s="13"/>
      <c r="AL2" s="13"/>
      <c r="AM2" s="13"/>
      <c r="AN2" s="13"/>
    </row>
    <row r="4" spans="1:40" x14ac:dyDescent="0.25">
      <c r="E4" s="4" t="s">
        <v>232</v>
      </c>
      <c r="F4" t="s">
        <v>231</v>
      </c>
      <c r="I4" s="4" t="s">
        <v>231</v>
      </c>
      <c r="J4" s="4" t="s">
        <v>238</v>
      </c>
      <c r="P4" s="4" t="s">
        <v>232</v>
      </c>
      <c r="Q4" t="s">
        <v>231</v>
      </c>
      <c r="U4" t="s">
        <v>231</v>
      </c>
      <c r="V4" t="s">
        <v>240</v>
      </c>
      <c r="Y4" s="4" t="s">
        <v>232</v>
      </c>
      <c r="Z4" t="s">
        <v>240</v>
      </c>
      <c r="AA4" t="s">
        <v>231</v>
      </c>
      <c r="AD4" s="4" t="s">
        <v>232</v>
      </c>
      <c r="AE4" t="s">
        <v>231</v>
      </c>
      <c r="AH4" s="4" t="s">
        <v>232</v>
      </c>
      <c r="AI4" t="s">
        <v>231</v>
      </c>
      <c r="AL4" s="4" t="s">
        <v>232</v>
      </c>
      <c r="AM4" t="s">
        <v>231</v>
      </c>
    </row>
    <row r="5" spans="1:40" x14ac:dyDescent="0.25">
      <c r="A5" t="s">
        <v>231</v>
      </c>
      <c r="E5" s="5" t="s">
        <v>21</v>
      </c>
      <c r="F5" s="2">
        <v>47</v>
      </c>
      <c r="I5" s="4" t="s">
        <v>232</v>
      </c>
      <c r="J5" t="s">
        <v>21</v>
      </c>
      <c r="K5" t="s">
        <v>12</v>
      </c>
      <c r="L5" t="s">
        <v>132</v>
      </c>
      <c r="M5" t="s">
        <v>234</v>
      </c>
      <c r="P5" s="5" t="s">
        <v>12</v>
      </c>
      <c r="Q5" s="2"/>
      <c r="R5" s="2"/>
      <c r="T5" s="5" t="s">
        <v>12</v>
      </c>
      <c r="U5" s="7"/>
      <c r="V5" s="2"/>
      <c r="W5" s="2"/>
      <c r="Y5" s="5" t="s">
        <v>12</v>
      </c>
      <c r="Z5" s="7"/>
      <c r="AA5" s="2"/>
      <c r="AD5" s="5" t="s">
        <v>12</v>
      </c>
      <c r="AE5" s="2"/>
      <c r="AH5" s="5" t="s">
        <v>12</v>
      </c>
      <c r="AI5" s="2"/>
      <c r="AL5" s="5" t="s">
        <v>12</v>
      </c>
      <c r="AM5" s="2"/>
    </row>
    <row r="6" spans="1:40" x14ac:dyDescent="0.25">
      <c r="A6" s="2">
        <v>171</v>
      </c>
      <c r="E6" s="5" t="s">
        <v>12</v>
      </c>
      <c r="F6" s="2">
        <v>118</v>
      </c>
      <c r="I6" s="5">
        <v>2020</v>
      </c>
      <c r="J6" s="2">
        <v>20</v>
      </c>
      <c r="K6" s="2">
        <v>24</v>
      </c>
      <c r="L6" s="2"/>
      <c r="M6">
        <f>SUM($K$6:L6)</f>
        <v>24</v>
      </c>
      <c r="P6" s="6" t="s">
        <v>61</v>
      </c>
      <c r="Q6" s="2">
        <v>12</v>
      </c>
      <c r="R6" s="2"/>
      <c r="T6" s="6" t="s">
        <v>82</v>
      </c>
      <c r="U6" s="8">
        <v>0.88983050847457623</v>
      </c>
      <c r="V6" s="2">
        <v>105</v>
      </c>
      <c r="W6" s="2"/>
      <c r="Y6" s="6" t="s">
        <v>35</v>
      </c>
      <c r="Z6" s="8">
        <v>0.38135593220338981</v>
      </c>
      <c r="AA6" s="2">
        <v>45</v>
      </c>
      <c r="AD6" s="6" t="s">
        <v>17</v>
      </c>
      <c r="AE6" s="2">
        <v>13</v>
      </c>
      <c r="AH6" s="6" t="s">
        <v>26</v>
      </c>
      <c r="AI6" s="2">
        <v>9</v>
      </c>
      <c r="AL6" s="6" t="s">
        <v>243</v>
      </c>
      <c r="AM6" s="2">
        <v>13</v>
      </c>
    </row>
    <row r="7" spans="1:40" x14ac:dyDescent="0.25">
      <c r="E7" s="5" t="s">
        <v>132</v>
      </c>
      <c r="F7" s="2">
        <v>6</v>
      </c>
      <c r="I7" s="5">
        <v>2021</v>
      </c>
      <c r="J7" s="2">
        <v>12</v>
      </c>
      <c r="K7" s="2">
        <v>11</v>
      </c>
      <c r="L7" s="2">
        <v>1</v>
      </c>
      <c r="M7">
        <f>SUM($K$6:L7)</f>
        <v>36</v>
      </c>
      <c r="P7" s="6" t="s">
        <v>39</v>
      </c>
      <c r="Q7" s="2">
        <v>9</v>
      </c>
      <c r="R7" s="2"/>
      <c r="T7" s="6" t="s">
        <v>17</v>
      </c>
      <c r="U7" s="8">
        <v>0.11016949152542373</v>
      </c>
      <c r="V7" s="2">
        <v>13</v>
      </c>
      <c r="W7" s="2"/>
      <c r="Y7" s="6" t="s">
        <v>18</v>
      </c>
      <c r="Z7" s="8">
        <v>0.61864406779661019</v>
      </c>
      <c r="AA7" s="2">
        <v>73</v>
      </c>
      <c r="AD7" s="6" t="s">
        <v>85</v>
      </c>
      <c r="AE7" s="2">
        <v>21</v>
      </c>
      <c r="AH7" s="6" t="s">
        <v>40</v>
      </c>
      <c r="AI7" s="2">
        <v>10</v>
      </c>
      <c r="AL7" s="6" t="s">
        <v>244</v>
      </c>
      <c r="AM7" s="2">
        <v>46</v>
      </c>
    </row>
    <row r="8" spans="1:40" x14ac:dyDescent="0.25">
      <c r="A8" t="s">
        <v>234</v>
      </c>
      <c r="B8">
        <f>A6</f>
        <v>171</v>
      </c>
      <c r="I8" s="5">
        <v>2022</v>
      </c>
      <c r="J8" s="2">
        <v>10</v>
      </c>
      <c r="K8" s="2">
        <v>19</v>
      </c>
      <c r="L8" s="2">
        <v>4</v>
      </c>
      <c r="M8">
        <f>SUM($K$6:L8)</f>
        <v>59</v>
      </c>
      <c r="P8" s="6" t="s">
        <v>48</v>
      </c>
      <c r="Q8" s="2">
        <v>4</v>
      </c>
      <c r="R8" s="2"/>
      <c r="AD8" s="6" t="s">
        <v>93</v>
      </c>
      <c r="AE8" s="2">
        <v>43</v>
      </c>
      <c r="AH8" s="6" t="s">
        <v>45</v>
      </c>
      <c r="AI8" s="2">
        <v>25</v>
      </c>
      <c r="AL8" s="6" t="s">
        <v>246</v>
      </c>
      <c r="AM8" s="2">
        <v>13</v>
      </c>
    </row>
    <row r="9" spans="1:40" x14ac:dyDescent="0.25">
      <c r="A9" t="s">
        <v>235</v>
      </c>
      <c r="B9">
        <f>F6</f>
        <v>118</v>
      </c>
      <c r="I9" s="5">
        <v>2023</v>
      </c>
      <c r="J9" s="2">
        <v>4</v>
      </c>
      <c r="K9" s="2">
        <v>30</v>
      </c>
      <c r="L9" s="2">
        <v>1</v>
      </c>
      <c r="M9">
        <f>SUM($K$6:L9)</f>
        <v>90</v>
      </c>
      <c r="P9" s="6" t="s">
        <v>53</v>
      </c>
      <c r="Q9" s="2">
        <v>26</v>
      </c>
      <c r="R9" s="2"/>
      <c r="AD9" s="6" t="s">
        <v>25</v>
      </c>
      <c r="AE9" s="2">
        <v>41</v>
      </c>
      <c r="AH9" s="6" t="s">
        <v>31</v>
      </c>
      <c r="AI9" s="2">
        <v>11</v>
      </c>
      <c r="AL9" s="6" t="s">
        <v>247</v>
      </c>
      <c r="AM9" s="2">
        <v>15</v>
      </c>
    </row>
    <row r="10" spans="1:40" x14ac:dyDescent="0.25">
      <c r="A10" t="s">
        <v>132</v>
      </c>
      <c r="B10">
        <f>F7</f>
        <v>6</v>
      </c>
      <c r="I10" s="5">
        <v>2024</v>
      </c>
      <c r="J10" s="2"/>
      <c r="K10" s="2">
        <v>25</v>
      </c>
      <c r="L10" s="2"/>
      <c r="M10">
        <f>SUM($K$6:L10)</f>
        <v>115</v>
      </c>
      <c r="P10" s="6" t="s">
        <v>76</v>
      </c>
      <c r="Q10" s="2">
        <v>7</v>
      </c>
      <c r="R10" s="2"/>
      <c r="AH10" s="6" t="s">
        <v>36</v>
      </c>
      <c r="AI10" s="2">
        <v>15</v>
      </c>
      <c r="AL10" s="6" t="s">
        <v>245</v>
      </c>
      <c r="AM10" s="2">
        <v>27</v>
      </c>
    </row>
    <row r="11" spans="1:40" x14ac:dyDescent="0.25">
      <c r="A11" t="s">
        <v>21</v>
      </c>
      <c r="B11">
        <f>F5</f>
        <v>47</v>
      </c>
      <c r="I11" s="5">
        <v>2025</v>
      </c>
      <c r="J11" s="2">
        <v>1</v>
      </c>
      <c r="K11" s="2">
        <v>9</v>
      </c>
      <c r="L11" s="2"/>
      <c r="M11">
        <f>SUM($K$6:L11)</f>
        <v>124</v>
      </c>
      <c r="P11" s="6" t="s">
        <v>16</v>
      </c>
      <c r="Q11" s="2">
        <v>18</v>
      </c>
      <c r="R11" s="2"/>
      <c r="AH11" s="6" t="s">
        <v>20</v>
      </c>
      <c r="AI11" s="2">
        <v>27</v>
      </c>
      <c r="AL11" s="6" t="s">
        <v>248</v>
      </c>
      <c r="AM11" s="2">
        <v>4</v>
      </c>
    </row>
    <row r="12" spans="1:40" x14ac:dyDescent="0.25">
      <c r="P12" s="6" t="s">
        <v>34</v>
      </c>
      <c r="Q12" s="2">
        <v>42</v>
      </c>
      <c r="R12" s="2"/>
      <c r="AH12" s="6" t="s">
        <v>58</v>
      </c>
      <c r="AI12" s="2">
        <v>21</v>
      </c>
    </row>
    <row r="13" spans="1:40" x14ac:dyDescent="0.25">
      <c r="A13" t="s">
        <v>236</v>
      </c>
      <c r="B13" s="8">
        <f>B11/B8</f>
        <v>0.27485380116959063</v>
      </c>
      <c r="R13" s="2"/>
    </row>
    <row r="14" spans="1:40" x14ac:dyDescent="0.25">
      <c r="R14" s="2"/>
    </row>
    <row r="15" spans="1:40" x14ac:dyDescent="0.25">
      <c r="R15" s="2"/>
    </row>
    <row r="16" spans="1:40" x14ac:dyDescent="0.25">
      <c r="R16" s="2"/>
    </row>
    <row r="17" spans="4:39" x14ac:dyDescent="0.25">
      <c r="R17" s="2"/>
    </row>
    <row r="18" spans="4:39" x14ac:dyDescent="0.25">
      <c r="R18" s="2"/>
    </row>
    <row r="19" spans="4:39" s="10" customFormat="1" x14ac:dyDescent="0.25">
      <c r="D19" s="11"/>
      <c r="H19" s="11"/>
      <c r="I19" s="10" t="s">
        <v>249</v>
      </c>
      <c r="J19" s="10" t="s">
        <v>21</v>
      </c>
      <c r="K19" s="10" t="s">
        <v>12</v>
      </c>
      <c r="L19" s="10" t="s">
        <v>132</v>
      </c>
      <c r="M19" s="10" t="s">
        <v>234</v>
      </c>
      <c r="O19" s="11"/>
      <c r="P19" s="10" t="s">
        <v>253</v>
      </c>
      <c r="Q19" s="10" t="s">
        <v>251</v>
      </c>
      <c r="R19" s="12"/>
      <c r="S19" s="11"/>
      <c r="X19" s="11"/>
      <c r="Y19" s="10" t="s">
        <v>239</v>
      </c>
      <c r="Z19" s="10" t="s">
        <v>250</v>
      </c>
      <c r="AC19" s="11"/>
      <c r="AD19" s="10" t="s">
        <v>252</v>
      </c>
      <c r="AE19" s="10" t="s">
        <v>251</v>
      </c>
      <c r="AG19" s="11"/>
      <c r="AH19" s="10" t="s">
        <v>10</v>
      </c>
      <c r="AI19" s="10" t="s">
        <v>251</v>
      </c>
      <c r="AK19" s="11"/>
      <c r="AL19" s="10" t="s">
        <v>256</v>
      </c>
      <c r="AM19" s="10" t="s">
        <v>251</v>
      </c>
    </row>
    <row r="20" spans="4:39" x14ac:dyDescent="0.25">
      <c r="I20" cm="1">
        <f t="array" ref="I20:M25">I6:M11</f>
        <v>2020</v>
      </c>
      <c r="J20">
        <v>20</v>
      </c>
      <c r="K20">
        <v>24</v>
      </c>
      <c r="L20">
        <v>0</v>
      </c>
      <c r="M20">
        <v>24</v>
      </c>
      <c r="P20" t="str" cm="1">
        <f t="array" ref="P20:Q26">_xlfn._xlws.SORT(P6:Q12,2,-1)</f>
        <v>Ryan Simmons</v>
      </c>
      <c r="Q20">
        <v>42</v>
      </c>
      <c r="R20" s="2"/>
      <c r="T20" t="str" cm="1">
        <f t="array" ref="T20:U21">TRANSPOSE(T6:U7)</f>
        <v>Permanent</v>
      </c>
      <c r="U20" t="str">
        <v>Contract</v>
      </c>
      <c r="Y20" s="6" t="s">
        <v>35</v>
      </c>
      <c r="Z20" s="8">
        <v>0.38135593220338981</v>
      </c>
      <c r="AA20" s="2">
        <v>45</v>
      </c>
      <c r="AD20" t="str" cm="1">
        <f t="array" ref="AD20:AE23">AD6:AE9</f>
        <v>Contract</v>
      </c>
      <c r="AE20">
        <v>13</v>
      </c>
      <c r="AH20" t="str" cm="1">
        <f t="array" ref="AH20:AI26">AH6:AI12</f>
        <v>Accounting</v>
      </c>
      <c r="AI20">
        <v>9</v>
      </c>
      <c r="AL20" t="str" cm="1">
        <f t="array" ref="AL20:AM25">AL6:AM11</f>
        <v>1+ Years</v>
      </c>
      <c r="AM20">
        <v>13</v>
      </c>
    </row>
    <row r="21" spans="4:39" x14ac:dyDescent="0.25">
      <c r="I21">
        <v>2021</v>
      </c>
      <c r="J21">
        <v>12</v>
      </c>
      <c r="K21">
        <v>11</v>
      </c>
      <c r="L21">
        <v>1</v>
      </c>
      <c r="M21">
        <v>36</v>
      </c>
      <c r="P21" t="str">
        <v>Janelle Wiley</v>
      </c>
      <c r="Q21">
        <v>26</v>
      </c>
      <c r="R21" s="2"/>
      <c r="T21" s="8">
        <v>0.88983050847457623</v>
      </c>
      <c r="U21" s="8">
        <v>0.11016949152542373</v>
      </c>
      <c r="Y21" s="6" t="s">
        <v>18</v>
      </c>
      <c r="Z21" s="8">
        <v>0.61864406779661019</v>
      </c>
      <c r="AA21" s="2">
        <v>73</v>
      </c>
      <c r="AD21" t="str">
        <v>Management</v>
      </c>
      <c r="AE21">
        <v>21</v>
      </c>
      <c r="AH21" t="str">
        <v>Finance</v>
      </c>
      <c r="AI21">
        <v>10</v>
      </c>
      <c r="AL21" t="str">
        <v>2+ Years</v>
      </c>
      <c r="AM21">
        <v>46</v>
      </c>
    </row>
    <row r="22" spans="4:39" x14ac:dyDescent="0.25">
      <c r="I22">
        <v>2022</v>
      </c>
      <c r="J22">
        <v>10</v>
      </c>
      <c r="K22">
        <v>19</v>
      </c>
      <c r="L22">
        <v>4</v>
      </c>
      <c r="M22">
        <v>59</v>
      </c>
      <c r="P22" t="str">
        <v>Roberta Moyer</v>
      </c>
      <c r="Q22">
        <v>18</v>
      </c>
      <c r="R22" s="2"/>
      <c r="AA22">
        <f>SUM(AA20:AA21)</f>
        <v>118</v>
      </c>
      <c r="AD22" t="str">
        <v>Professional</v>
      </c>
      <c r="AE22">
        <v>43</v>
      </c>
      <c r="AH22" t="str">
        <v>HR</v>
      </c>
      <c r="AI22">
        <v>25</v>
      </c>
      <c r="AL22" t="str">
        <v>3+ Years</v>
      </c>
      <c r="AM22">
        <v>13</v>
      </c>
    </row>
    <row r="23" spans="4:39" x14ac:dyDescent="0.25">
      <c r="I23">
        <v>2023</v>
      </c>
      <c r="J23">
        <v>4</v>
      </c>
      <c r="K23">
        <v>30</v>
      </c>
      <c r="L23">
        <v>1</v>
      </c>
      <c r="M23">
        <v>90</v>
      </c>
      <c r="P23" t="str">
        <v>Alejandra Mack</v>
      </c>
      <c r="Q23">
        <v>12</v>
      </c>
      <c r="R23" s="2"/>
      <c r="AD23" t="str">
        <v>Trainees</v>
      </c>
      <c r="AE23">
        <v>41</v>
      </c>
      <c r="AH23" t="str">
        <v>Legal</v>
      </c>
      <c r="AI23">
        <v>11</v>
      </c>
      <c r="AL23" t="str">
        <v>4+ Years</v>
      </c>
      <c r="AM23">
        <v>15</v>
      </c>
    </row>
    <row r="24" spans="4:39" x14ac:dyDescent="0.25">
      <c r="I24">
        <v>2024</v>
      </c>
      <c r="J24">
        <v>0</v>
      </c>
      <c r="K24">
        <v>25</v>
      </c>
      <c r="L24">
        <v>0</v>
      </c>
      <c r="M24">
        <v>115</v>
      </c>
      <c r="P24" t="str">
        <v>Darryl Leon</v>
      </c>
      <c r="Q24">
        <v>9</v>
      </c>
      <c r="AH24" t="str">
        <v>Marketing</v>
      </c>
      <c r="AI24">
        <v>15</v>
      </c>
      <c r="AL24" t="str">
        <v>5+ Years</v>
      </c>
      <c r="AM24">
        <v>27</v>
      </c>
    </row>
    <row r="25" spans="4:39" x14ac:dyDescent="0.25">
      <c r="I25">
        <v>2025</v>
      </c>
      <c r="J25">
        <v>1</v>
      </c>
      <c r="K25">
        <v>9</v>
      </c>
      <c r="L25">
        <v>0</v>
      </c>
      <c r="M25">
        <v>124</v>
      </c>
      <c r="P25" t="str">
        <v>Jefferson Perry</v>
      </c>
      <c r="Q25">
        <v>7</v>
      </c>
      <c r="AH25" t="str">
        <v>Operations</v>
      </c>
      <c r="AI25">
        <v>27</v>
      </c>
      <c r="AL25" t="str">
        <v>Under 1 Year</v>
      </c>
      <c r="AM25">
        <v>4</v>
      </c>
    </row>
    <row r="26" spans="4:39" x14ac:dyDescent="0.25">
      <c r="P26" t="str">
        <v>Geneva Hardy</v>
      </c>
      <c r="Q26">
        <v>4</v>
      </c>
      <c r="AH26" t="str">
        <v>Sales</v>
      </c>
      <c r="AI26">
        <v>21</v>
      </c>
    </row>
  </sheetData>
  <mergeCells count="9">
    <mergeCell ref="Y1:AB2"/>
    <mergeCell ref="AD1:AF2"/>
    <mergeCell ref="AH1:AJ2"/>
    <mergeCell ref="AL1:AN2"/>
    <mergeCell ref="A1:C2"/>
    <mergeCell ref="E1:G2"/>
    <mergeCell ref="I1:N2"/>
    <mergeCell ref="T1:V2"/>
    <mergeCell ref="P1:R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559E1-A05D-4EDC-B774-81461F41305B}">
  <dimension ref="A6"/>
  <sheetViews>
    <sheetView showGridLines="0" topLeftCell="A10" workbookViewId="0">
      <selection activeCell="U25" sqref="U25"/>
    </sheetView>
  </sheetViews>
  <sheetFormatPr defaultRowHeight="15" x14ac:dyDescent="0.25"/>
  <sheetData>
    <row r="6"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Sheet</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2015-06-05T18:17:20Z</dcterms:created>
  <dcterms:modified xsi:type="dcterms:W3CDTF">2026-04-15T17:00:45Z</dcterms:modified>
</cp:coreProperties>
</file>