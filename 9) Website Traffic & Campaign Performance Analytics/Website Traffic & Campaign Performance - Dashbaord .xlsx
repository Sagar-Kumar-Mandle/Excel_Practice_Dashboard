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VCE\Sagar BCC\2) Pratice Project Dashboard\1) Excel\da\Website Traffic &amp; Campaign Performance Analytics\"/>
    </mc:Choice>
  </mc:AlternateContent>
  <xr:revisionPtr revIDLastSave="0" documentId="13_ncr:1_{8692975F-66A6-43DF-851A-C5A23C527A9D}" xr6:coauthVersionLast="47" xr6:coauthVersionMax="47" xr10:uidLastSave="{00000000-0000-0000-0000-000000000000}"/>
  <bookViews>
    <workbookView xWindow="-120" yWindow="-120" windowWidth="20730" windowHeight="11160" activeTab="2" xr2:uid="{41B43F34-5090-4523-A517-9A06B1B3D81D}"/>
  </bookViews>
  <sheets>
    <sheet name="Data" sheetId="1" r:id="rId1"/>
    <sheet name="Pivot" sheetId="2" r:id="rId2"/>
    <sheet name="Dashboard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24" i="2" l="1" a="1"/>
  <c r="AP24" i="2" s="1"/>
  <c r="AK24" i="2" a="1"/>
  <c r="AK24" i="2" s="1"/>
  <c r="AF24" i="2" a="1"/>
  <c r="AF24" i="2" s="1"/>
  <c r="Y25" i="2" a="1"/>
  <c r="Y25" i="2" s="1"/>
  <c r="AB25" i="2" a="1"/>
  <c r="AB25" i="2" s="1"/>
  <c r="T14" i="2" a="1"/>
  <c r="T14" i="2" s="1"/>
  <c r="R14" i="2" a="1"/>
  <c r="R14" i="2" s="1"/>
  <c r="P19" i="2"/>
  <c r="P20" i="2"/>
  <c r="P21" i="2"/>
  <c r="P22" i="2"/>
  <c r="P23" i="2"/>
  <c r="P18" i="2"/>
  <c r="A20" i="2"/>
  <c r="A17" i="2"/>
  <c r="A14" i="2"/>
  <c r="AR8" i="2"/>
  <c r="AR9" i="2"/>
  <c r="AR7" i="2"/>
  <c r="AM8" i="2"/>
  <c r="AM9" i="2"/>
  <c r="AM10" i="2"/>
  <c r="AM7" i="2"/>
  <c r="AH8" i="2"/>
  <c r="AH9" i="2"/>
  <c r="AH7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<sst xmlns="http://schemas.openxmlformats.org/spreadsheetml/2006/main" count="1142" uniqueCount="77">
  <si>
    <t>Traffic Source Type</t>
  </si>
  <si>
    <t>Traffic Source %</t>
  </si>
  <si>
    <t>Visitor Type</t>
  </si>
  <si>
    <t>Visitor Count</t>
  </si>
  <si>
    <t>Visitor Date</t>
  </si>
  <si>
    <t>Visits (in thousands)</t>
  </si>
  <si>
    <t>Bounce Rate %</t>
  </si>
  <si>
    <t>Avg. Session Duration (sec)</t>
  </si>
  <si>
    <t>Pages Per Visit</t>
  </si>
  <si>
    <t>Bounce Rate</t>
  </si>
  <si>
    <t>Total Page Views</t>
  </si>
  <si>
    <t>Goal Conversion Rate %</t>
  </si>
  <si>
    <t>Channel</t>
  </si>
  <si>
    <t>Conversion % (Channel)</t>
  </si>
  <si>
    <t>Campaign Name</t>
  </si>
  <si>
    <t>Conversion % (Campaign)</t>
  </si>
  <si>
    <t>Page Name</t>
  </si>
  <si>
    <t>Conversion % (Page)</t>
  </si>
  <si>
    <t>Social</t>
  </si>
  <si>
    <t>Returning</t>
  </si>
  <si>
    <t>Paid Search</t>
  </si>
  <si>
    <t>Campaign 2</t>
  </si>
  <si>
    <t>Page 3</t>
  </si>
  <si>
    <t>New</t>
  </si>
  <si>
    <t>Direct</t>
  </si>
  <si>
    <t>Page 1</t>
  </si>
  <si>
    <t>Paid</t>
  </si>
  <si>
    <t>Organic</t>
  </si>
  <si>
    <t>Defect</t>
  </si>
  <si>
    <t>Campaign 1</t>
  </si>
  <si>
    <t>Referral</t>
  </si>
  <si>
    <t>Campaign 3</t>
  </si>
  <si>
    <t>Email</t>
  </si>
  <si>
    <t>Campaign 4</t>
  </si>
  <si>
    <t>Page 2</t>
  </si>
  <si>
    <t>Guest</t>
  </si>
  <si>
    <t>Year</t>
  </si>
  <si>
    <t>Month</t>
  </si>
  <si>
    <t>Total Vistor Count</t>
  </si>
  <si>
    <t>Row Labels</t>
  </si>
  <si>
    <t>Grand Total</t>
  </si>
  <si>
    <t>Sum of Visitor Count</t>
  </si>
  <si>
    <t>Sum of Total Page Views</t>
  </si>
  <si>
    <t>% Vistor Count</t>
  </si>
  <si>
    <t>Average of Avg. Session Duration (sec)</t>
  </si>
  <si>
    <t>Average Session Duration</t>
  </si>
  <si>
    <t>Average of Pages Per Visit</t>
  </si>
  <si>
    <t>Average Pages per Visit</t>
  </si>
  <si>
    <t>Sum of Goal Conversion Rate %</t>
  </si>
  <si>
    <t xml:space="preserve">Goal Coversation Rate </t>
  </si>
  <si>
    <t>Jan</t>
  </si>
  <si>
    <t>Feb</t>
  </si>
  <si>
    <t>Apr</t>
  </si>
  <si>
    <t>Jun</t>
  </si>
  <si>
    <t>Jul</t>
  </si>
  <si>
    <t>Aug</t>
  </si>
  <si>
    <t>Sep</t>
  </si>
  <si>
    <t>Oct</t>
  </si>
  <si>
    <t>Nov</t>
  </si>
  <si>
    <t>Dec</t>
  </si>
  <si>
    <t>Mar</t>
  </si>
  <si>
    <t>May</t>
  </si>
  <si>
    <t>Sum of Bounce Rate</t>
  </si>
  <si>
    <t>Total Bounce Rate</t>
  </si>
  <si>
    <t>Vistor &amp; Bounce Rate by Month</t>
  </si>
  <si>
    <t>Average of Conversion % (Channel)</t>
  </si>
  <si>
    <t>% Average Channel Coversion</t>
  </si>
  <si>
    <t>Average of Conversion % (Campaign)</t>
  </si>
  <si>
    <t>% Average Campaign Coversion</t>
  </si>
  <si>
    <t>Campaign</t>
  </si>
  <si>
    <t>Average of Conversion % (Page)</t>
  </si>
  <si>
    <t>Page</t>
  </si>
  <si>
    <t>% Average Page Coversion</t>
  </si>
  <si>
    <t>Goal  Conversation</t>
  </si>
  <si>
    <t>Visitor</t>
  </si>
  <si>
    <t>% Count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</si>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</sst>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,&quot;K&quot;"/>
    <numFmt numFmtId="166" formatCode="General\ &quot;Sec&quot;"/>
  </numFmts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14">
    <dxf>
      <numFmt numFmtId="166" formatCode="General\ &quot;Sec&quot;"/>
    </dxf>
    <dxf>
      <numFmt numFmtId="164" formatCode="0.0"/>
    </dxf>
    <dxf>
      <numFmt numFmtId="13" formatCode="0%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3" formatCode="0%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[Website Traffic &amp; Campaign Performance Analytics.xlsx]Pivot!PivotTable3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Visitor Distribution by Source (%)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16040999462223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0000"/>
            </a:schemeClr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5">
              <a:shade val="7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5">
              <a:shade val="90000"/>
            </a:schemeClr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5">
              <a:tint val="70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50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5">
              <a:shade val="70000"/>
            </a:schemeClr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5">
              <a:shade val="90000"/>
            </a:schemeClr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5">
              <a:tint val="70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shade val="50000"/>
            </a:schemeClr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5">
              <a:shade val="70000"/>
            </a:schemeClr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5">
              <a:shade val="90000"/>
            </a:schemeClr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5">
              <a:tint val="70000"/>
            </a:schemeClr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5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532177960490383E-2"/>
          <c:y val="0.15323053368328957"/>
          <c:w val="0.62338606756724213"/>
          <c:h val="0.70780293088363955"/>
        </c:manualLayout>
      </c:layout>
      <c:doughnutChart>
        <c:varyColors val="1"/>
        <c:ser>
          <c:idx val="0"/>
          <c:order val="0"/>
          <c:tx>
            <c:strRef>
              <c:f>Pivot!$I$6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2-4248-B4F3-A7B497C3E9B2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2-4248-B4F3-A7B497C3E9B2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2-4248-B4F3-A7B497C3E9B2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2-4248-B4F3-A7B497C3E9B2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142-4248-B4F3-A7B497C3E9B2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142-4248-B4F3-A7B497C3E9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Pivot!$H$7:$H$12</c:f>
              <c:strCache>
                <c:ptCount val="6"/>
                <c:pt idx="0">
                  <c:v>Defect</c:v>
                </c:pt>
                <c:pt idx="1">
                  <c:v>Direct</c:v>
                </c:pt>
                <c:pt idx="2">
                  <c:v>Email</c:v>
                </c:pt>
                <c:pt idx="3">
                  <c:v>Paid</c:v>
                </c:pt>
                <c:pt idx="4">
                  <c:v>Referral</c:v>
                </c:pt>
                <c:pt idx="5">
                  <c:v>Social</c:v>
                </c:pt>
              </c:strCache>
            </c:strRef>
          </c:cat>
          <c:val>
            <c:numRef>
              <c:f>Pivot!$I$7:$I$12</c:f>
              <c:numCache>
                <c:formatCode>0%</c:formatCode>
                <c:ptCount val="6"/>
                <c:pt idx="0">
                  <c:v>0.22482573276224069</c:v>
                </c:pt>
                <c:pt idx="1">
                  <c:v>0.20173007474594776</c:v>
                </c:pt>
                <c:pt idx="2">
                  <c:v>0.11959351641891325</c:v>
                </c:pt>
                <c:pt idx="3">
                  <c:v>0.15780633240950701</c:v>
                </c:pt>
                <c:pt idx="4">
                  <c:v>0.11505836902662299</c:v>
                </c:pt>
                <c:pt idx="5">
                  <c:v>0.1809859746367683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42-4248-B4F3-A7B497C3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84254460038076"/>
          <c:y val="0.27972039953339162"/>
          <c:w val="0.2047577644153403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Traffic &amp; Campaign Performance Analytics.xlsx]Pivot!PivotTable1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Traffic Source-wise Visitor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downArrow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Pivot!$E$7:$E$12</c:f>
              <c:strCache>
                <c:ptCount val="6"/>
                <c:pt idx="0">
                  <c:v>Defect</c:v>
                </c:pt>
                <c:pt idx="1">
                  <c:v>Direct</c:v>
                </c:pt>
                <c:pt idx="2">
                  <c:v>Email</c:v>
                </c:pt>
                <c:pt idx="3">
                  <c:v>Paid</c:v>
                </c:pt>
                <c:pt idx="4">
                  <c:v>Referral</c:v>
                </c:pt>
                <c:pt idx="5">
                  <c:v>Social</c:v>
                </c:pt>
              </c:strCache>
            </c:strRef>
          </c:cat>
          <c:val>
            <c:numRef>
              <c:f>Pivot!$F$7:$F$12</c:f>
              <c:numCache>
                <c:formatCode>General</c:formatCode>
                <c:ptCount val="6"/>
                <c:pt idx="0">
                  <c:v>2677</c:v>
                </c:pt>
                <c:pt idx="1">
                  <c:v>2402</c:v>
                </c:pt>
                <c:pt idx="2">
                  <c:v>1424</c:v>
                </c:pt>
                <c:pt idx="3">
                  <c:v>1879</c:v>
                </c:pt>
                <c:pt idx="4">
                  <c:v>1370</c:v>
                </c:pt>
                <c:pt idx="5">
                  <c:v>2155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D9F-834A-BD00CF9A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351558287"/>
        <c:axId val="1351569327"/>
      </c:barChart>
      <c:catAx>
        <c:axId val="135155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69327"/>
        <c:crosses val="autoZero"/>
        <c:auto val="1"/>
        <c:lblAlgn val="ctr"/>
        <c:lblOffset val="100"/>
        <c:noMultiLvlLbl val="0"/>
      </c:catAx>
      <c:valAx>
        <c:axId val="1351569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155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Visitor Type </a:t>
            </a:r>
          </a:p>
        </c:rich>
      </c:tx>
      <c:layout>
        <c:manualLayout>
          <c:xMode val="edge"/>
          <c:yMode val="edge"/>
          <c:x val="0.3896456692913385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38835934981813"/>
          <c:y val="0.16439904891568319"/>
          <c:w val="0.57162100351491163"/>
          <c:h val="0.69570980869216947"/>
        </c:manualLayout>
      </c:layout>
      <c:pieChart>
        <c:varyColors val="1"/>
        <c:ser>
          <c:idx val="0"/>
          <c:order val="0"/>
          <c:tx>
            <c:strRef>
              <c:f>Pivot!$S$13</c:f>
              <c:strCache>
                <c:ptCount val="1"/>
                <c:pt idx="0">
                  <c:v>Total Count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78-443C-9D05-08EF9014038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78-443C-9D05-08EF90140382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78-443C-9D05-08EF90140382}"/>
              </c:ext>
            </c:extLst>
          </c:dPt>
          <c:dLbls>
            <c:dLbl>
              <c:idx val="0"/>
              <c:layout>
                <c:manualLayout>
                  <c:x val="-5.9052662276864586E-2"/>
                  <c:y val="0.167798981066487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78-443C-9D05-08EF901403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Pivot!$R$14:$R$16</c:f>
              <c:strCache>
                <c:ptCount val="3"/>
                <c:pt idx="0">
                  <c:v>Guest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Pivot!$S$14:$S$16</c:f>
              <c:numCache>
                <c:formatCode>0.0,"K"</c:formatCode>
                <c:ptCount val="3"/>
                <c:pt idx="0">
                  <c:v>924</c:v>
                </c:pt>
                <c:pt idx="1">
                  <c:v>6001</c:v>
                </c:pt>
                <c:pt idx="2">
                  <c:v>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78-443C-9D05-08EF90140382}"/>
            </c:ext>
          </c:extLst>
        </c:ser>
        <c:ser>
          <c:idx val="1"/>
          <c:order val="1"/>
          <c:tx>
            <c:strRef>
              <c:f>Pivot!$T$13</c:f>
              <c:strCache>
                <c:ptCount val="1"/>
                <c:pt idx="0">
                  <c:v>% Count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F78-443C-9D05-08EF9014038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F78-443C-9D05-08EF90140382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F78-443C-9D05-08EF90140382}"/>
              </c:ext>
            </c:extLst>
          </c:dPt>
          <c:cat>
            <c:strRef>
              <c:f>Pivot!$R$14:$R$16</c:f>
              <c:strCache>
                <c:ptCount val="3"/>
                <c:pt idx="0">
                  <c:v>Guest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Pivot!$T$14:$T$16</c:f>
              <c:numCache>
                <c:formatCode>0%</c:formatCode>
                <c:ptCount val="3"/>
                <c:pt idx="0">
                  <c:v>7.7601410934744264E-2</c:v>
                </c:pt>
                <c:pt idx="1">
                  <c:v>0.50398925002099604</c:v>
                </c:pt>
                <c:pt idx="2">
                  <c:v>0.4184093390442597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F78-443C-9D05-08EF90140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88328651900968"/>
          <c:y val="0.89826954662091574"/>
          <c:w val="0.47597611702046017"/>
          <c:h val="8.00717647217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Monthly Bounce Rate</a:t>
            </a:r>
            <a:endPara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2.59109289714109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E1-441C-B859-64BE8D7AEE46}"/>
                </c:ext>
              </c:extLst>
            </c:dLbl>
            <c:dLbl>
              <c:idx val="11"/>
              <c:layout>
                <c:manualLayout>
                  <c:x val="-3.4547905295214572E-2"/>
                  <c:y val="3.2407407407407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1-441C-B859-64BE8D7AEE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Pivot!$Y$25:$Y$36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Pivot!$Z$25:$Z$36</c:f>
              <c:numCache>
                <c:formatCode>General</c:formatCode>
                <c:ptCount val="12"/>
                <c:pt idx="0">
                  <c:v>1116</c:v>
                </c:pt>
                <c:pt idx="1">
                  <c:v>378</c:v>
                </c:pt>
                <c:pt idx="2">
                  <c:v>1660</c:v>
                </c:pt>
                <c:pt idx="3">
                  <c:v>1135</c:v>
                </c:pt>
                <c:pt idx="4">
                  <c:v>1839</c:v>
                </c:pt>
                <c:pt idx="5">
                  <c:v>832</c:v>
                </c:pt>
                <c:pt idx="6">
                  <c:v>717</c:v>
                </c:pt>
                <c:pt idx="7">
                  <c:v>819</c:v>
                </c:pt>
                <c:pt idx="8">
                  <c:v>1456</c:v>
                </c:pt>
                <c:pt idx="9">
                  <c:v>609</c:v>
                </c:pt>
                <c:pt idx="10">
                  <c:v>814</c:v>
                </c:pt>
                <c:pt idx="11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E1-441C-B859-64BE8D7AE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475615"/>
        <c:axId val="1323486175"/>
      </c:areaChart>
      <c:catAx>
        <c:axId val="1323475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486175"/>
        <c:crosses val="autoZero"/>
        <c:auto val="1"/>
        <c:lblAlgn val="ctr"/>
        <c:lblOffset val="100"/>
        <c:noMultiLvlLbl val="0"/>
      </c:catAx>
      <c:valAx>
        <c:axId val="1323486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347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Monthly Bounce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rgbClr val="7030A0"/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Pivot!$AB$25:$AB$36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Pivot!$AC$25:$AC$36</c:f>
              <c:numCache>
                <c:formatCode>0</c:formatCode>
                <c:ptCount val="12"/>
                <c:pt idx="0">
                  <c:v>1026.5</c:v>
                </c:pt>
                <c:pt idx="1">
                  <c:v>174</c:v>
                </c:pt>
                <c:pt idx="2">
                  <c:v>817</c:v>
                </c:pt>
                <c:pt idx="3">
                  <c:v>580.5</c:v>
                </c:pt>
                <c:pt idx="4">
                  <c:v>776.30000000000007</c:v>
                </c:pt>
                <c:pt idx="5">
                  <c:v>993.09999999999991</c:v>
                </c:pt>
                <c:pt idx="6">
                  <c:v>494.2</c:v>
                </c:pt>
                <c:pt idx="7">
                  <c:v>819.9</c:v>
                </c:pt>
                <c:pt idx="8">
                  <c:v>868.9</c:v>
                </c:pt>
                <c:pt idx="9">
                  <c:v>722.3</c:v>
                </c:pt>
                <c:pt idx="10">
                  <c:v>864.89999999999986</c:v>
                </c:pt>
                <c:pt idx="11">
                  <c:v>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48-4C0D-A5CE-CE741D6206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5422799"/>
        <c:axId val="1315411279"/>
      </c:lineChart>
      <c:catAx>
        <c:axId val="13154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11279"/>
        <c:crosses val="autoZero"/>
        <c:auto val="1"/>
        <c:lblAlgn val="ctr"/>
        <c:lblOffset val="100"/>
        <c:tickMarkSkip val="1"/>
        <c:noMultiLvlLbl val="0"/>
      </c:catAx>
      <c:valAx>
        <c:axId val="131541127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1542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Conversion Rate by Page (%)</a:t>
            </a:r>
          </a:p>
        </c:rich>
      </c:tx>
      <c:layout>
        <c:manualLayout>
          <c:xMode val="edge"/>
          <c:yMode val="edge"/>
          <c:x val="0.12497277392564736"/>
          <c:y val="7.6935492127033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57930507030991"/>
          <c:y val="0.2381443298969072"/>
          <c:w val="0.82742069492969006"/>
          <c:h val="0.686254295532646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Pivot!$AP$24:$AP$26</c:f>
              <c:strCache>
                <c:ptCount val="3"/>
                <c:pt idx="0">
                  <c:v>Page 1</c:v>
                </c:pt>
                <c:pt idx="1">
                  <c:v>Page 2</c:v>
                </c:pt>
                <c:pt idx="2">
                  <c:v>Page 3</c:v>
                </c:pt>
              </c:strCache>
            </c:strRef>
          </c:cat>
          <c:val>
            <c:numRef>
              <c:f>Pivot!$AQ$24:$AQ$26</c:f>
              <c:numCache>
                <c:formatCode>0%</c:formatCode>
                <c:ptCount val="3"/>
                <c:pt idx="0">
                  <c:v>0.32322183381688502</c:v>
                </c:pt>
                <c:pt idx="1">
                  <c:v>0.26216519516041864</c:v>
                </c:pt>
                <c:pt idx="2">
                  <c:v>0.41461297102269634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6AF-A35D-210853F59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435717359"/>
        <c:axId val="1435701999"/>
      </c:barChart>
      <c:catAx>
        <c:axId val="143571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01999"/>
        <c:crosses val="autoZero"/>
        <c:auto val="1"/>
        <c:lblAlgn val="ctr"/>
        <c:lblOffset val="100"/>
        <c:noMultiLvlLbl val="0"/>
      </c:catAx>
      <c:valAx>
        <c:axId val="143570199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4357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Conversion Rate by Channel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Pivot!$AF$24:$AF$26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Paid Search</c:v>
                </c:pt>
              </c:strCache>
            </c:strRef>
          </c:cat>
          <c:val>
            <c:numRef>
              <c:f>Pivot!$AG$24:$AG$26</c:f>
              <c:numCache>
                <c:formatCode>0%</c:formatCode>
                <c:ptCount val="3"/>
                <c:pt idx="0">
                  <c:v>0.45218541206557661</c:v>
                </c:pt>
                <c:pt idx="1">
                  <c:v>0.43450015698779915</c:v>
                </c:pt>
                <c:pt idx="2">
                  <c:v>0.11331443094662426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6AF-A35D-210853F59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435717359"/>
        <c:axId val="1435701999"/>
      </c:barChart>
      <c:catAx>
        <c:axId val="143571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01999"/>
        <c:crosses val="autoZero"/>
        <c:auto val="1"/>
        <c:lblAlgn val="ctr"/>
        <c:lblOffset val="100"/>
        <c:noMultiLvlLbl val="0"/>
      </c:catAx>
      <c:valAx>
        <c:axId val="143570199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4357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Conversion Rate by Campaign (%)</a:t>
            </a:r>
          </a:p>
        </c:rich>
      </c:tx>
      <c:layout>
        <c:manualLayout>
          <c:xMode val="edge"/>
          <c:yMode val="edge"/>
          <c:x val="0.17472388799082234"/>
          <c:y val="3.050085234191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12722670021277"/>
          <c:y val="0.2381443298969072"/>
          <c:w val="0.7678727732997872"/>
          <c:h val="0.686254295532646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Pivot!$AK$24:$AK$27</c:f>
              <c:strCache>
                <c:ptCount val="4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</c:strCache>
            </c:strRef>
          </c:cat>
          <c:val>
            <c:numRef>
              <c:f>Pivot!$AL$24:$AL$27</c:f>
              <c:numCache>
                <c:formatCode>0%</c:formatCode>
                <c:ptCount val="4"/>
                <c:pt idx="0">
                  <c:v>0.31992581680694177</c:v>
                </c:pt>
                <c:pt idx="1">
                  <c:v>0.22020436253345582</c:v>
                </c:pt>
                <c:pt idx="2">
                  <c:v>0.24477026768235779</c:v>
                </c:pt>
                <c:pt idx="3">
                  <c:v>0.2150995529772447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6AF-A35D-210853F59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435717359"/>
        <c:axId val="1435701999"/>
      </c:barChart>
      <c:catAx>
        <c:axId val="143571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01999"/>
        <c:crosses val="autoZero"/>
        <c:auto val="1"/>
        <c:lblAlgn val="ctr"/>
        <c:lblOffset val="100"/>
        <c:noMultiLvlLbl val="0"/>
      </c:catAx>
      <c:valAx>
        <c:axId val="143570199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4357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3" Type="http://schemas.openxmlformats.org/officeDocument/2006/relationships/chart" Target="../charts/chart3.xml"/><Relationship Id="rId21" Type="http://schemas.openxmlformats.org/officeDocument/2006/relationships/image" Target="../media/image13.png"/><Relationship Id="rId7" Type="http://schemas.openxmlformats.org/officeDocument/2006/relationships/chart" Target="../charts/chart7.xml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" Type="http://schemas.openxmlformats.org/officeDocument/2006/relationships/chart" Target="../charts/chart2.xml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5" Type="http://schemas.openxmlformats.org/officeDocument/2006/relationships/image" Target="../media/image7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47625</xdr:rowOff>
    </xdr:from>
    <xdr:to>
      <xdr:col>17</xdr:col>
      <xdr:colOff>409575</xdr:colOff>
      <xdr:row>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8C413EA-4563-8944-717A-269CCC49417C}"/>
            </a:ext>
          </a:extLst>
        </xdr:cNvPr>
        <xdr:cNvSpPr/>
      </xdr:nvSpPr>
      <xdr:spPr>
        <a:xfrm>
          <a:off x="66674" y="47625"/>
          <a:ext cx="10706101" cy="5619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3</xdr:row>
      <xdr:rowOff>142874</xdr:rowOff>
    </xdr:from>
    <xdr:to>
      <xdr:col>4</xdr:col>
      <xdr:colOff>476251</xdr:colOff>
      <xdr:row>17</xdr:row>
      <xdr:rowOff>133349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D6595ED-DA0D-E7CF-0DA4-00DA352CE91D}"/>
            </a:ext>
          </a:extLst>
        </xdr:cNvPr>
        <xdr:cNvSpPr/>
      </xdr:nvSpPr>
      <xdr:spPr>
        <a:xfrm>
          <a:off x="85725" y="714374"/>
          <a:ext cx="2828926" cy="2657475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95250</xdr:rowOff>
    </xdr:from>
    <xdr:to>
      <xdr:col>5</xdr:col>
      <xdr:colOff>66675</xdr:colOff>
      <xdr:row>18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C0F8F-C720-4C4D-AC83-3E1EAD16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504825</xdr:colOff>
      <xdr:row>3</xdr:row>
      <xdr:rowOff>85724</xdr:rowOff>
    </xdr:from>
    <xdr:to>
      <xdr:col>10</xdr:col>
      <xdr:colOff>95250</xdr:colOff>
      <xdr:row>17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20751-D277-4226-A5A2-017620A52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600074</xdr:colOff>
      <xdr:row>3</xdr:row>
      <xdr:rowOff>133349</xdr:rowOff>
    </xdr:from>
    <xdr:to>
      <xdr:col>10</xdr:col>
      <xdr:colOff>66675</xdr:colOff>
      <xdr:row>17</xdr:row>
      <xdr:rowOff>123824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AFA839B-9F2B-83B9-DB4A-2DF4C0944B6C}"/>
            </a:ext>
          </a:extLst>
        </xdr:cNvPr>
        <xdr:cNvSpPr/>
      </xdr:nvSpPr>
      <xdr:spPr>
        <a:xfrm>
          <a:off x="3038474" y="704849"/>
          <a:ext cx="3124201" cy="2657475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104774</xdr:colOff>
      <xdr:row>18</xdr:row>
      <xdr:rowOff>9525</xdr:rowOff>
    </xdr:from>
    <xdr:to>
      <xdr:col>7</xdr:col>
      <xdr:colOff>219075</xdr:colOff>
      <xdr:row>28</xdr:row>
      <xdr:rowOff>38101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CE8D671-6134-DE77-83E2-23C2D401D2B8}"/>
            </a:ext>
          </a:extLst>
        </xdr:cNvPr>
        <xdr:cNvSpPr/>
      </xdr:nvSpPr>
      <xdr:spPr>
        <a:xfrm>
          <a:off x="104774" y="3438525"/>
          <a:ext cx="4381501" cy="1933576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200025</xdr:colOff>
      <xdr:row>3</xdr:row>
      <xdr:rowOff>114299</xdr:rowOff>
    </xdr:from>
    <xdr:to>
      <xdr:col>14</xdr:col>
      <xdr:colOff>257175</xdr:colOff>
      <xdr:row>17</xdr:row>
      <xdr:rowOff>104774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7B2833-6A41-BFB4-54F2-95EF86203570}"/>
            </a:ext>
          </a:extLst>
        </xdr:cNvPr>
        <xdr:cNvSpPr/>
      </xdr:nvSpPr>
      <xdr:spPr>
        <a:xfrm>
          <a:off x="6296025" y="685799"/>
          <a:ext cx="2495550" cy="2657475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238125</xdr:colOff>
      <xdr:row>3</xdr:row>
      <xdr:rowOff>47626</xdr:rowOff>
    </xdr:from>
    <xdr:to>
      <xdr:col>14</xdr:col>
      <xdr:colOff>447675</xdr:colOff>
      <xdr:row>17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F40E0F3-CB02-49EC-A742-F60E933FC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17</xdr:row>
      <xdr:rowOff>114300</xdr:rowOff>
    </xdr:from>
    <xdr:to>
      <xdr:col>7</xdr:col>
      <xdr:colOff>295275</xdr:colOff>
      <xdr:row>27</xdr:row>
      <xdr:rowOff>176213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A70A735-9F76-42C2-BB3D-ACF46A61A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285749</xdr:colOff>
      <xdr:row>17</xdr:row>
      <xdr:rowOff>180975</xdr:rowOff>
    </xdr:from>
    <xdr:to>
      <xdr:col>14</xdr:col>
      <xdr:colOff>285750</xdr:colOff>
      <xdr:row>28</xdr:row>
      <xdr:rowOff>57151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53BC015-A457-398E-79A6-8FA086481DEB}"/>
            </a:ext>
          </a:extLst>
        </xdr:cNvPr>
        <xdr:cNvSpPr/>
      </xdr:nvSpPr>
      <xdr:spPr>
        <a:xfrm>
          <a:off x="4552949" y="3419475"/>
          <a:ext cx="4267201" cy="1971676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314324</xdr:colOff>
      <xdr:row>17</xdr:row>
      <xdr:rowOff>161925</xdr:rowOff>
    </xdr:from>
    <xdr:to>
      <xdr:col>14</xdr:col>
      <xdr:colOff>304800</xdr:colOff>
      <xdr:row>28</xdr:row>
      <xdr:rowOff>9524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C174040-1E30-4F43-A230-64278C105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190499</xdr:colOff>
      <xdr:row>28</xdr:row>
      <xdr:rowOff>66675</xdr:rowOff>
    </xdr:from>
    <xdr:to>
      <xdr:col>14</xdr:col>
      <xdr:colOff>447675</xdr:colOff>
      <xdr:row>38</xdr:row>
      <xdr:rowOff>76201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E125A8-2A16-4404-BECB-0A383109D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133350</xdr:colOff>
      <xdr:row>28</xdr:row>
      <xdr:rowOff>123825</xdr:rowOff>
    </xdr:from>
    <xdr:to>
      <xdr:col>4</xdr:col>
      <xdr:colOff>533399</xdr:colOff>
      <xdr:row>38</xdr:row>
      <xdr:rowOff>142875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7A7E62C-ED6C-0213-F015-84E58F9C0896}"/>
            </a:ext>
          </a:extLst>
        </xdr:cNvPr>
        <xdr:cNvSpPr/>
      </xdr:nvSpPr>
      <xdr:spPr>
        <a:xfrm>
          <a:off x="133350" y="5457825"/>
          <a:ext cx="2838449" cy="1924050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28576</xdr:colOff>
      <xdr:row>28</xdr:row>
      <xdr:rowOff>133350</xdr:rowOff>
    </xdr:from>
    <xdr:to>
      <xdr:col>10</xdr:col>
      <xdr:colOff>38100</xdr:colOff>
      <xdr:row>38</xdr:row>
      <xdr:rowOff>161926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2F62F218-C30B-65BB-825F-2764E1AD79DA}"/>
            </a:ext>
          </a:extLst>
        </xdr:cNvPr>
        <xdr:cNvSpPr/>
      </xdr:nvSpPr>
      <xdr:spPr>
        <a:xfrm>
          <a:off x="3076576" y="5467350"/>
          <a:ext cx="3057524" cy="1933576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28</xdr:row>
      <xdr:rowOff>142875</xdr:rowOff>
    </xdr:from>
    <xdr:to>
      <xdr:col>14</xdr:col>
      <xdr:colOff>304800</xdr:colOff>
      <xdr:row>38</xdr:row>
      <xdr:rowOff>171451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AE8FD48-836C-FA18-547C-9C5258343D4E}"/>
            </a:ext>
          </a:extLst>
        </xdr:cNvPr>
        <xdr:cNvSpPr/>
      </xdr:nvSpPr>
      <xdr:spPr>
        <a:xfrm>
          <a:off x="6267450" y="5476875"/>
          <a:ext cx="2571750" cy="1933576"/>
        </a:xfrm>
        <a:prstGeom prst="round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28</xdr:row>
      <xdr:rowOff>123826</xdr:rowOff>
    </xdr:from>
    <xdr:to>
      <xdr:col>4</xdr:col>
      <xdr:colOff>561975</xdr:colOff>
      <xdr:row>38</xdr:row>
      <xdr:rowOff>66676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143ACC5-F3D5-BE39-B7B2-53411B595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9524</xdr:colOff>
      <xdr:row>28</xdr:row>
      <xdr:rowOff>142874</xdr:rowOff>
    </xdr:from>
    <xdr:to>
      <xdr:col>10</xdr:col>
      <xdr:colOff>438150</xdr:colOff>
      <xdr:row>38</xdr:row>
      <xdr:rowOff>104775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6E3D760-BD11-4B07-278F-1169969F5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38099</xdr:colOff>
      <xdr:row>0</xdr:row>
      <xdr:rowOff>28576</xdr:rowOff>
    </xdr:from>
    <xdr:to>
      <xdr:col>17</xdr:col>
      <xdr:colOff>352424</xdr:colOff>
      <xdr:row>3</xdr:row>
      <xdr:rowOff>66676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C905C3-23A6-1BDF-7742-A4428BCE6F86}"/>
            </a:ext>
          </a:extLst>
        </xdr:cNvPr>
        <xdr:cNvSpPr txBox="1"/>
      </xdr:nvSpPr>
      <xdr:spPr>
        <a:xfrm>
          <a:off x="647699" y="28576"/>
          <a:ext cx="100679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3000" b="1">
              <a:solidFill>
                <a:schemeClr val="bg1"/>
              </a:solidFill>
            </a:rPr>
            <a:t>WEBSITE TRAFFIC &amp; CAMPAIGN PERFORMANCE ANALYTICS</a:t>
          </a:r>
        </a:p>
      </xdr:txBody>
    </xdr:sp>
    <xdr:clientData/>
  </xdr:twoCellAnchor>
  <xdr:twoCellAnchor>
    <xdr:from>
      <xdr:col>14</xdr:col>
      <xdr:colOff>400049</xdr:colOff>
      <xdr:row>3</xdr:row>
      <xdr:rowOff>171449</xdr:rowOff>
    </xdr:from>
    <xdr:to>
      <xdr:col>17</xdr:col>
      <xdr:colOff>466724</xdr:colOff>
      <xdr:row>10</xdr:row>
      <xdr:rowOff>28574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63E5D70C-1B99-A2A8-13E3-EBB28BC73CFE}"/>
            </a:ext>
          </a:extLst>
        </xdr:cNvPr>
        <xdr:cNvSpPr/>
      </xdr:nvSpPr>
      <xdr:spPr>
        <a:xfrm>
          <a:off x="8934449" y="742949"/>
          <a:ext cx="1895475" cy="11906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447674</xdr:colOff>
      <xdr:row>10</xdr:row>
      <xdr:rowOff>180974</xdr:rowOff>
    </xdr:from>
    <xdr:to>
      <xdr:col>17</xdr:col>
      <xdr:colOff>514349</xdr:colOff>
      <xdr:row>17</xdr:row>
      <xdr:rowOff>38099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9A962C24-8A92-3249-9D52-04E78CF3BFE0}"/>
            </a:ext>
          </a:extLst>
        </xdr:cNvPr>
        <xdr:cNvSpPr/>
      </xdr:nvSpPr>
      <xdr:spPr>
        <a:xfrm>
          <a:off x="8982074" y="2085974"/>
          <a:ext cx="1895475" cy="11906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495299</xdr:colOff>
      <xdr:row>18</xdr:row>
      <xdr:rowOff>19049</xdr:rowOff>
    </xdr:from>
    <xdr:to>
      <xdr:col>17</xdr:col>
      <xdr:colOff>561974</xdr:colOff>
      <xdr:row>24</xdr:row>
      <xdr:rowOff>66674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047045FE-E52C-9B1F-E400-F56525CD1B30}"/>
            </a:ext>
          </a:extLst>
        </xdr:cNvPr>
        <xdr:cNvSpPr/>
      </xdr:nvSpPr>
      <xdr:spPr>
        <a:xfrm>
          <a:off x="9029699" y="3448049"/>
          <a:ext cx="1895475" cy="11906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542924</xdr:colOff>
      <xdr:row>25</xdr:row>
      <xdr:rowOff>38099</xdr:rowOff>
    </xdr:from>
    <xdr:to>
      <xdr:col>17</xdr:col>
      <xdr:colOff>609599</xdr:colOff>
      <xdr:row>31</xdr:row>
      <xdr:rowOff>85724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577B4E3-B43D-6B04-9FD5-B00EC945E6BE}"/>
            </a:ext>
          </a:extLst>
        </xdr:cNvPr>
        <xdr:cNvSpPr/>
      </xdr:nvSpPr>
      <xdr:spPr>
        <a:xfrm>
          <a:off x="9077324" y="4800599"/>
          <a:ext cx="1895475" cy="11906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590549</xdr:colOff>
      <xdr:row>32</xdr:row>
      <xdr:rowOff>66674</xdr:rowOff>
    </xdr:from>
    <xdr:to>
      <xdr:col>18</xdr:col>
      <xdr:colOff>47624</xdr:colOff>
      <xdr:row>38</xdr:row>
      <xdr:rowOff>114299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AEFE154A-9969-8645-12A3-BA37EFB17FB8}"/>
            </a:ext>
          </a:extLst>
        </xdr:cNvPr>
        <xdr:cNvSpPr/>
      </xdr:nvSpPr>
      <xdr:spPr>
        <a:xfrm>
          <a:off x="9124949" y="6162674"/>
          <a:ext cx="1895475" cy="11906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571500</xdr:colOff>
      <xdr:row>18</xdr:row>
      <xdr:rowOff>76200</xdr:rowOff>
    </xdr:from>
    <xdr:to>
      <xdr:col>16</xdr:col>
      <xdr:colOff>252300</xdr:colOff>
      <xdr:row>23</xdr:row>
      <xdr:rowOff>23700</xdr:rowOff>
    </xdr:to>
    <xdr:pic>
      <xdr:nvPicPr>
        <xdr:cNvPr id="40" name="Graphic 39" descr="Open book with solid fill">
          <a:extLst>
            <a:ext uri="{FF2B5EF4-FFF2-40B4-BE49-F238E27FC236}">
              <a16:creationId xmlns:a16="http://schemas.microsoft.com/office/drawing/2014/main" id="{9261E6FC-8FCE-ABE7-BA27-CBA59A3A7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105900" y="350520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347625</xdr:colOff>
      <xdr:row>3</xdr:row>
      <xdr:rowOff>119025</xdr:rowOff>
    </xdr:from>
    <xdr:to>
      <xdr:col>16</xdr:col>
      <xdr:colOff>123825</xdr:colOff>
      <xdr:row>8</xdr:row>
      <xdr:rowOff>161925</xdr:rowOff>
    </xdr:to>
    <xdr:pic>
      <xdr:nvPicPr>
        <xdr:cNvPr id="42" name="Graphic 41" descr="User with solid fill">
          <a:extLst>
            <a:ext uri="{FF2B5EF4-FFF2-40B4-BE49-F238E27FC236}">
              <a16:creationId xmlns:a16="http://schemas.microsoft.com/office/drawing/2014/main" id="{EAF1667C-2FBE-64D0-1F61-43A36681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882025" y="690525"/>
          <a:ext cx="995400" cy="995400"/>
        </a:xfrm>
        <a:prstGeom prst="rect">
          <a:avLst/>
        </a:prstGeom>
      </xdr:spPr>
    </xdr:pic>
    <xdr:clientData/>
  </xdr:twoCellAnchor>
  <xdr:twoCellAnchor editAs="oneCell">
    <xdr:from>
      <xdr:col>14</xdr:col>
      <xdr:colOff>442875</xdr:colOff>
      <xdr:row>11</xdr:row>
      <xdr:rowOff>14250</xdr:rowOff>
    </xdr:from>
    <xdr:to>
      <xdr:col>16</xdr:col>
      <xdr:colOff>123675</xdr:colOff>
      <xdr:row>15</xdr:row>
      <xdr:rowOff>152250</xdr:rowOff>
    </xdr:to>
    <xdr:pic>
      <xdr:nvPicPr>
        <xdr:cNvPr id="44" name="Graphic 43" descr="Document with solid fill">
          <a:extLst>
            <a:ext uri="{FF2B5EF4-FFF2-40B4-BE49-F238E27FC236}">
              <a16:creationId xmlns:a16="http://schemas.microsoft.com/office/drawing/2014/main" id="{AE29CE6E-3E39-0316-CCDD-20847BD1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977275" y="2109750"/>
          <a:ext cx="900000" cy="900000"/>
        </a:xfrm>
        <a:prstGeom prst="rect">
          <a:avLst/>
        </a:prstGeom>
      </xdr:spPr>
    </xdr:pic>
    <xdr:clientData/>
  </xdr:twoCellAnchor>
  <xdr:twoCellAnchor>
    <xdr:from>
      <xdr:col>14</xdr:col>
      <xdr:colOff>466725</xdr:colOff>
      <xdr:row>8</xdr:row>
      <xdr:rowOff>66674</xdr:rowOff>
    </xdr:from>
    <xdr:to>
      <xdr:col>17</xdr:col>
      <xdr:colOff>523875</xdr:colOff>
      <xdr:row>10</xdr:row>
      <xdr:rowOff>28575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62EB0AC-B935-EADF-213E-920026213A94}"/>
            </a:ext>
          </a:extLst>
        </xdr:cNvPr>
        <xdr:cNvSpPr txBox="1"/>
      </xdr:nvSpPr>
      <xdr:spPr>
        <a:xfrm>
          <a:off x="9001125" y="1590674"/>
          <a:ext cx="18859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Total Visitor Count</a:t>
          </a:r>
        </a:p>
      </xdr:txBody>
    </xdr:sp>
    <xdr:clientData/>
  </xdr:twoCellAnchor>
  <xdr:twoCellAnchor>
    <xdr:from>
      <xdr:col>14</xdr:col>
      <xdr:colOff>571500</xdr:colOff>
      <xdr:row>15</xdr:row>
      <xdr:rowOff>85724</xdr:rowOff>
    </xdr:from>
    <xdr:to>
      <xdr:col>18</xdr:col>
      <xdr:colOff>19050</xdr:colOff>
      <xdr:row>17</xdr:row>
      <xdr:rowOff>47625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59270AA-211D-2B70-9E32-05ABB23E84FD}"/>
            </a:ext>
          </a:extLst>
        </xdr:cNvPr>
        <xdr:cNvSpPr txBox="1"/>
      </xdr:nvSpPr>
      <xdr:spPr>
        <a:xfrm>
          <a:off x="9105900" y="2943224"/>
          <a:ext cx="18859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Total Page Views</a:t>
          </a:r>
        </a:p>
      </xdr:txBody>
    </xdr:sp>
    <xdr:clientData/>
  </xdr:twoCellAnchor>
  <xdr:twoCellAnchor>
    <xdr:from>
      <xdr:col>15</xdr:col>
      <xdr:colOff>561976</xdr:colOff>
      <xdr:row>4</xdr:row>
      <xdr:rowOff>171449</xdr:rowOff>
    </xdr:from>
    <xdr:to>
      <xdr:col>17</xdr:col>
      <xdr:colOff>504826</xdr:colOff>
      <xdr:row>7</xdr:row>
      <xdr:rowOff>66675</xdr:rowOff>
    </xdr:to>
    <xdr:sp macro="" textlink="Pivot!A5">
      <xdr:nvSpPr>
        <xdr:cNvPr id="55" name="TextBox 54">
          <a:extLst>
            <a:ext uri="{FF2B5EF4-FFF2-40B4-BE49-F238E27FC236}">
              <a16:creationId xmlns:a16="http://schemas.microsoft.com/office/drawing/2014/main" id="{DDC4AE3D-23A6-D1E5-D670-795CFCDA5370}"/>
            </a:ext>
          </a:extLst>
        </xdr:cNvPr>
        <xdr:cNvSpPr txBox="1"/>
      </xdr:nvSpPr>
      <xdr:spPr>
        <a:xfrm>
          <a:off x="9705976" y="933449"/>
          <a:ext cx="1162050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86078B-7D80-4D4B-8864-A187DAE5EE13}" type="TxLink">
            <a:rPr lang="en-US" sz="2800" b="1" i="0" u="none" strike="noStrike">
              <a:solidFill>
                <a:schemeClr val="bg1"/>
              </a:solidFill>
              <a:latin typeface="Aptos Narrow"/>
            </a:rPr>
            <a:t>11907</a:t>
          </a:fld>
          <a:endParaRPr lang="en-US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581026</xdr:colOff>
      <xdr:row>12</xdr:row>
      <xdr:rowOff>9524</xdr:rowOff>
    </xdr:from>
    <xdr:to>
      <xdr:col>17</xdr:col>
      <xdr:colOff>523876</xdr:colOff>
      <xdr:row>14</xdr:row>
      <xdr:rowOff>95250</xdr:rowOff>
    </xdr:to>
    <xdr:sp macro="" textlink="Pivot!A8">
      <xdr:nvSpPr>
        <xdr:cNvPr id="56" name="TextBox 55">
          <a:extLst>
            <a:ext uri="{FF2B5EF4-FFF2-40B4-BE49-F238E27FC236}">
              <a16:creationId xmlns:a16="http://schemas.microsoft.com/office/drawing/2014/main" id="{45775F9C-36CA-50DA-4A4A-6AF73ABF9038}"/>
            </a:ext>
          </a:extLst>
        </xdr:cNvPr>
        <xdr:cNvSpPr txBox="1"/>
      </xdr:nvSpPr>
      <xdr:spPr>
        <a:xfrm>
          <a:off x="9725026" y="2295524"/>
          <a:ext cx="1162050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0ECEAF2-BA9E-477B-AEEF-A6EB5BDFDB69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10548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57150</xdr:colOff>
      <xdr:row>22</xdr:row>
      <xdr:rowOff>104774</xdr:rowOff>
    </xdr:from>
    <xdr:to>
      <xdr:col>18</xdr:col>
      <xdr:colOff>114300</xdr:colOff>
      <xdr:row>24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5EF11A-A79B-58A5-7251-E8385F01F2C4}"/>
            </a:ext>
          </a:extLst>
        </xdr:cNvPr>
        <xdr:cNvSpPr txBox="1"/>
      </xdr:nvSpPr>
      <xdr:spPr>
        <a:xfrm>
          <a:off x="9201150" y="4295774"/>
          <a:ext cx="18859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Avg Page per</a:t>
          </a:r>
          <a:r>
            <a:rPr lang="en-US" sz="1600" b="1" baseline="0">
              <a:solidFill>
                <a:schemeClr val="bg1"/>
              </a:solidFill>
            </a:rPr>
            <a:t> Visit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247651</xdr:colOff>
      <xdr:row>19</xdr:row>
      <xdr:rowOff>28573</xdr:rowOff>
    </xdr:from>
    <xdr:to>
      <xdr:col>18</xdr:col>
      <xdr:colOff>190501</xdr:colOff>
      <xdr:row>23</xdr:row>
      <xdr:rowOff>95250</xdr:rowOff>
    </xdr:to>
    <xdr:sp macro="" textlink="Pivot!A11">
      <xdr:nvSpPr>
        <xdr:cNvPr id="58" name="TextBox 57">
          <a:extLst>
            <a:ext uri="{FF2B5EF4-FFF2-40B4-BE49-F238E27FC236}">
              <a16:creationId xmlns:a16="http://schemas.microsoft.com/office/drawing/2014/main" id="{699218EB-2894-B6F2-FF05-958C277B8E8A}"/>
            </a:ext>
          </a:extLst>
        </xdr:cNvPr>
        <xdr:cNvSpPr txBox="1"/>
      </xdr:nvSpPr>
      <xdr:spPr>
        <a:xfrm>
          <a:off x="10001251" y="3648073"/>
          <a:ext cx="1162050" cy="8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68B56CB-76B6-4C0F-9CB6-09521F44AAF7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3.48 Sec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14250</xdr:colOff>
      <xdr:row>32</xdr:row>
      <xdr:rowOff>42825</xdr:rowOff>
    </xdr:from>
    <xdr:to>
      <xdr:col>16</xdr:col>
      <xdr:colOff>304650</xdr:colOff>
      <xdr:row>36</xdr:row>
      <xdr:rowOff>180825</xdr:rowOff>
    </xdr:to>
    <xdr:pic>
      <xdr:nvPicPr>
        <xdr:cNvPr id="64" name="Graphic 63" descr="Fireworks with solid fill">
          <a:extLst>
            <a:ext uri="{FF2B5EF4-FFF2-40B4-BE49-F238E27FC236}">
              <a16:creationId xmlns:a16="http://schemas.microsoft.com/office/drawing/2014/main" id="{ACF14832-C6C4-C00D-9983-89510677E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158250" y="6138825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21375</xdr:colOff>
      <xdr:row>25</xdr:row>
      <xdr:rowOff>49950</xdr:rowOff>
    </xdr:from>
    <xdr:to>
      <xdr:col>16</xdr:col>
      <xdr:colOff>326175</xdr:colOff>
      <xdr:row>30</xdr:row>
      <xdr:rowOff>11850</xdr:rowOff>
    </xdr:to>
    <xdr:pic>
      <xdr:nvPicPr>
        <xdr:cNvPr id="66" name="Graphic 65" descr="Eye with solid fill">
          <a:extLst>
            <a:ext uri="{FF2B5EF4-FFF2-40B4-BE49-F238E27FC236}">
              <a16:creationId xmlns:a16="http://schemas.microsoft.com/office/drawing/2014/main" id="{1B764B63-A18E-58EC-D407-961D4B9D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9165375" y="4812450"/>
          <a:ext cx="914400" cy="914400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36</xdr:row>
      <xdr:rowOff>142874</xdr:rowOff>
    </xdr:from>
    <xdr:to>
      <xdr:col>18</xdr:col>
      <xdr:colOff>152400</xdr:colOff>
      <xdr:row>38</xdr:row>
      <xdr:rowOff>104775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844986D-4607-C345-EB42-4E71CEE8801E}"/>
            </a:ext>
          </a:extLst>
        </xdr:cNvPr>
        <xdr:cNvSpPr txBox="1"/>
      </xdr:nvSpPr>
      <xdr:spPr>
        <a:xfrm>
          <a:off x="9239250" y="7000874"/>
          <a:ext cx="18859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Goal Conversion %</a:t>
          </a:r>
        </a:p>
      </xdr:txBody>
    </xdr:sp>
    <xdr:clientData/>
  </xdr:twoCellAnchor>
  <xdr:twoCellAnchor>
    <xdr:from>
      <xdr:col>16</xdr:col>
      <xdr:colOff>438151</xdr:colOff>
      <xdr:row>33</xdr:row>
      <xdr:rowOff>104773</xdr:rowOff>
    </xdr:from>
    <xdr:to>
      <xdr:col>18</xdr:col>
      <xdr:colOff>381001</xdr:colOff>
      <xdr:row>37</xdr:row>
      <xdr:rowOff>171450</xdr:rowOff>
    </xdr:to>
    <xdr:sp macro="" textlink="Pivot!A20">
      <xdr:nvSpPr>
        <xdr:cNvPr id="70" name="TextBox 69">
          <a:extLst>
            <a:ext uri="{FF2B5EF4-FFF2-40B4-BE49-F238E27FC236}">
              <a16:creationId xmlns:a16="http://schemas.microsoft.com/office/drawing/2014/main" id="{14EF8398-E4F5-093A-CE48-ACA0F64275CE}"/>
            </a:ext>
          </a:extLst>
        </xdr:cNvPr>
        <xdr:cNvSpPr txBox="1"/>
      </xdr:nvSpPr>
      <xdr:spPr>
        <a:xfrm>
          <a:off x="10191751" y="6391273"/>
          <a:ext cx="1162050" cy="8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AA26D52-4ACC-4561-88BE-FA6F946CDD82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21%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190500</xdr:colOff>
      <xdr:row>29</xdr:row>
      <xdr:rowOff>133349</xdr:rowOff>
    </xdr:from>
    <xdr:to>
      <xdr:col>18</xdr:col>
      <xdr:colOff>247650</xdr:colOff>
      <xdr:row>31</xdr:row>
      <xdr:rowOff>95250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F5DCF5F-75BA-A7A0-73C6-4590E456C68D}"/>
            </a:ext>
          </a:extLst>
        </xdr:cNvPr>
        <xdr:cNvSpPr txBox="1"/>
      </xdr:nvSpPr>
      <xdr:spPr>
        <a:xfrm>
          <a:off x="9334500" y="5657849"/>
          <a:ext cx="1885950" cy="3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Bounce Rate %</a:t>
          </a:r>
        </a:p>
      </xdr:txBody>
    </xdr:sp>
    <xdr:clientData/>
  </xdr:twoCellAnchor>
  <xdr:twoCellAnchor>
    <xdr:from>
      <xdr:col>16</xdr:col>
      <xdr:colOff>314326</xdr:colOff>
      <xdr:row>26</xdr:row>
      <xdr:rowOff>57148</xdr:rowOff>
    </xdr:from>
    <xdr:to>
      <xdr:col>18</xdr:col>
      <xdr:colOff>257176</xdr:colOff>
      <xdr:row>30</xdr:row>
      <xdr:rowOff>123825</xdr:rowOff>
    </xdr:to>
    <xdr:sp macro="" textlink="Pivot!A17">
      <xdr:nvSpPr>
        <xdr:cNvPr id="72" name="TextBox 71">
          <a:extLst>
            <a:ext uri="{FF2B5EF4-FFF2-40B4-BE49-F238E27FC236}">
              <a16:creationId xmlns:a16="http://schemas.microsoft.com/office/drawing/2014/main" id="{6D62EC72-5032-7A17-8819-5C7AC2E797AC}"/>
            </a:ext>
          </a:extLst>
        </xdr:cNvPr>
        <xdr:cNvSpPr txBox="1"/>
      </xdr:nvSpPr>
      <xdr:spPr>
        <a:xfrm>
          <a:off x="10067926" y="5010148"/>
          <a:ext cx="1162050" cy="8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E30FADC-6F9C-4E5D-BA61-A54C685CAA0C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76%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85725</xdr:rowOff>
    </xdr:from>
    <xdr:to>
      <xdr:col>1</xdr:col>
      <xdr:colOff>57150</xdr:colOff>
      <xdr:row>3</xdr:row>
      <xdr:rowOff>9525</xdr:rowOff>
    </xdr:to>
    <xdr:pic>
      <xdr:nvPicPr>
        <xdr:cNvPr id="75" name="Graphic 74" descr="Research with solid fill">
          <a:extLst>
            <a:ext uri="{FF2B5EF4-FFF2-40B4-BE49-F238E27FC236}">
              <a16:creationId xmlns:a16="http://schemas.microsoft.com/office/drawing/2014/main" id="{7E75274F-FA70-433B-E896-09338E74F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71450" y="85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291975</xdr:colOff>
      <xdr:row>0</xdr:row>
      <xdr:rowOff>0</xdr:rowOff>
    </xdr:from>
    <xdr:to>
      <xdr:col>17</xdr:col>
      <xdr:colOff>371475</xdr:colOff>
      <xdr:row>3</xdr:row>
      <xdr:rowOff>97650</xdr:rowOff>
    </xdr:to>
    <xdr:pic>
      <xdr:nvPicPr>
        <xdr:cNvPr id="77" name="Graphic 76" descr="Venn diagram with solid fill">
          <a:extLst>
            <a:ext uri="{FF2B5EF4-FFF2-40B4-BE49-F238E27FC236}">
              <a16:creationId xmlns:a16="http://schemas.microsoft.com/office/drawing/2014/main" id="{BAF96629-F558-A6D3-2C56-6CDB5B76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0045575" y="0"/>
          <a:ext cx="689100" cy="669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926083333332" createdVersion="8" refreshedVersion="8" minRefreshableVersion="3" recordCount="195" xr:uid="{74C202D1-2855-4BCF-9970-09FBA1320631}">
  <cacheSource type="worksheet">
    <worksheetSource name="Table1"/>
  </cacheSource>
  <cacheFields count="20">
    <cacheField name="Traffic Source Type" numFmtId="0">
      <sharedItems count="6">
        <s v="Social"/>
        <s v="Direct"/>
        <s v="Paid"/>
        <s v="Defect"/>
        <s v="Referral"/>
        <s v="Email"/>
      </sharedItems>
    </cacheField>
    <cacheField name="Traffic Source %" numFmtId="0">
      <sharedItems containsSemiMixedTypes="0" containsString="0" containsNumber="1" containsInteger="1" minValue="14" maxValue="91" count="6">
        <n v="91"/>
        <n v="44"/>
        <n v="26"/>
        <n v="68"/>
        <n v="14"/>
        <n v="33"/>
      </sharedItems>
    </cacheField>
    <cacheField name="Visitor Type" numFmtId="0">
      <sharedItems count="3">
        <s v="Returning"/>
        <s v="New"/>
        <s v="Guest"/>
      </sharedItems>
    </cacheField>
    <cacheField name="Visitor Count" numFmtId="0">
      <sharedItems containsSemiMixedTypes="0" containsString="0" containsNumber="1" containsInteger="1" minValue="0" maxValue="439" count="85">
        <n v="52"/>
        <n v="125"/>
        <n v="45"/>
        <n v="39"/>
        <n v="30"/>
        <n v="35"/>
        <n v="155"/>
        <n v="28"/>
        <n v="114"/>
        <n v="11"/>
        <n v="26"/>
        <n v="42"/>
        <n v="38"/>
        <n v="32"/>
        <n v="150"/>
        <n v="12"/>
        <n v="134"/>
        <n v="27"/>
        <n v="25"/>
        <n v="300"/>
        <n v="78"/>
        <n v="350"/>
        <n v="439"/>
        <n v="50"/>
        <n v="80"/>
        <n v="87"/>
        <n v="250"/>
        <n v="40"/>
        <n v="46"/>
        <n v="135"/>
        <n v="43"/>
        <n v="100"/>
        <n v="8"/>
        <n v="143"/>
        <n v="10"/>
        <n v="56"/>
        <n v="24"/>
        <n v="37"/>
        <n v="133"/>
        <n v="60"/>
        <n v="333"/>
        <n v="6"/>
        <n v="13"/>
        <n v="29"/>
        <n v="156"/>
        <n v="33"/>
        <n v="139"/>
        <n v="160"/>
        <n v="3"/>
        <n v="129"/>
        <n v="58"/>
        <n v="22"/>
        <n v="61"/>
        <n v="130"/>
        <n v="115"/>
        <n v="54"/>
        <n v="2"/>
        <n v="34"/>
        <n v="128"/>
        <n v="20"/>
        <n v="5"/>
        <n v="113"/>
        <n v="0"/>
        <n v="122"/>
        <n v="18"/>
        <n v="15"/>
        <n v="7"/>
        <n v="119"/>
        <n v="116"/>
        <n v="4"/>
        <n v="55"/>
        <n v="84"/>
        <n v="88"/>
        <n v="137"/>
        <n v="66"/>
        <n v="53"/>
        <n v="64"/>
        <n v="157"/>
        <n v="269"/>
        <n v="19"/>
        <n v="62"/>
        <n v="57"/>
        <n v="120"/>
        <n v="16"/>
        <n v="14"/>
      </sharedItems>
    </cacheField>
    <cacheField name="Visitor Date" numFmtId="14">
      <sharedItems containsSemiMixedTypes="0" containsNonDate="0" containsDate="1" containsString="0" minDate="2022-01-09T00:00:00" maxDate="2024-01-01T00:00:00"/>
    </cacheField>
    <cacheField name="Visits (in thousands)" numFmtId="0">
      <sharedItems containsSemiMixedTypes="0" containsString="0" containsNumber="1" containsInteger="1" minValue="6" maxValue="55"/>
    </cacheField>
    <cacheField name="Bounce Rate %" numFmtId="0">
      <sharedItems containsSemiMixedTypes="0" containsString="0" containsNumber="1" minValue="5" maxValue="91.5"/>
    </cacheField>
    <cacheField name="Avg. Session Duration (sec)" numFmtId="0">
      <sharedItems containsSemiMixedTypes="0" containsString="0" containsNumber="1" containsInteger="1" minValue="15" maxValue="79"/>
    </cacheField>
    <cacheField name="Pages Per Visit" numFmtId="0">
      <sharedItems containsSemiMixedTypes="0" containsString="0" containsNumber="1" minValue="2.5" maxValue="4.5999999999999996" count="20">
        <n v="4.3"/>
        <n v="3.7"/>
        <n v="2.9"/>
        <n v="2.7"/>
        <n v="3.2"/>
        <n v="3.1"/>
        <n v="3.4"/>
        <n v="3"/>
        <n v="3.9"/>
        <n v="3.6"/>
        <n v="4.0999999999999996"/>
        <n v="3.8"/>
        <n v="4.2"/>
        <n v="2.5"/>
        <n v="3.5"/>
        <n v="4.4000000000000004"/>
        <n v="3.3"/>
        <n v="2.8"/>
        <n v="4.5999999999999996"/>
        <n v="4"/>
      </sharedItems>
    </cacheField>
    <cacheField name="Bounce Rate" numFmtId="0">
      <sharedItems containsString="0" containsBlank="1" containsNumber="1" minValue="0" maxValue="68"/>
    </cacheField>
    <cacheField name="Total Page Views" numFmtId="0">
      <sharedItems containsSemiMixedTypes="0" containsString="0" containsNumber="1" containsInteger="1" minValue="25" maxValue="99"/>
    </cacheField>
    <cacheField name="Goal Conversion Rate %" numFmtId="0">
      <sharedItems containsSemiMixedTypes="0" containsString="0" containsNumber="1" minValue="4" maxValue="18.5"/>
    </cacheField>
    <cacheField name="Channel" numFmtId="0">
      <sharedItems count="3">
        <s v="Paid Search"/>
        <s v="Direct"/>
        <s v="Organic"/>
      </sharedItems>
    </cacheField>
    <cacheField name="Conversion % (Channel)" numFmtId="0">
      <sharedItems containsSemiMixedTypes="0" containsString="0" containsNumber="1" minValue="4" maxValue="27.5"/>
    </cacheField>
    <cacheField name="Campaign Name" numFmtId="0">
      <sharedItems count="4">
        <s v="Campaign 2"/>
        <s v="Campaign 1"/>
        <s v="Campaign 3"/>
        <s v="Campaign 4"/>
      </sharedItems>
    </cacheField>
    <cacheField name="Conversion % (Campaign)" numFmtId="0">
      <sharedItems containsSemiMixedTypes="0" containsString="0" containsNumber="1" minValue="6.5" maxValue="20.5"/>
    </cacheField>
    <cacheField name="Page Name" numFmtId="0">
      <sharedItems count="3">
        <s v="Page 3"/>
        <s v="Page 1"/>
        <s v="Page 2"/>
      </sharedItems>
    </cacheField>
    <cacheField name="Conversion % (Page)" numFmtId="0">
      <sharedItems containsSemiMixedTypes="0" containsString="0" containsNumber="1" minValue="5" maxValue="23"/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Jan"/>
        <s v="Apr"/>
        <s v="Jun"/>
        <s v="Oct"/>
        <s v="Dec"/>
        <s v="Sep"/>
        <s v="Mar"/>
        <s v="Aug"/>
        <s v="May"/>
        <s v="Nov"/>
        <s v="Jul"/>
        <s v="Feb"/>
      </sharedItems>
    </cacheField>
  </cacheFields>
  <extLst>
    <ext xmlns:x14="http://schemas.microsoft.com/office/spreadsheetml/2009/9/main" uri="{725AE2AE-9491-48be-B2B4-4EB974FC3084}">
      <x14:pivotCacheDefinition pivotCacheId="18195532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x v="0"/>
    <x v="0"/>
    <d v="2022-01-09T00:00:00"/>
    <n v="53"/>
    <n v="54.88"/>
    <n v="77"/>
    <x v="0"/>
    <n v="61.5"/>
    <n v="69"/>
    <n v="17.100000000000001"/>
    <x v="0"/>
    <n v="6.2"/>
    <x v="0"/>
    <n v="17.399999999999999"/>
    <x v="0"/>
    <n v="22.2"/>
    <x v="0"/>
    <x v="0"/>
  </r>
  <r>
    <x v="0"/>
    <x v="0"/>
    <x v="1"/>
    <x v="1"/>
    <d v="2022-04-23T00:00:00"/>
    <n v="30"/>
    <n v="56.3"/>
    <n v="73"/>
    <x v="1"/>
    <n v="59.2"/>
    <n v="56"/>
    <n v="16"/>
    <x v="0"/>
    <n v="6"/>
    <x v="0"/>
    <n v="16.8"/>
    <x v="0"/>
    <n v="21.5"/>
    <x v="0"/>
    <x v="1"/>
  </r>
  <r>
    <x v="1"/>
    <x v="1"/>
    <x v="0"/>
    <x v="2"/>
    <d v="2022-06-09T00:00:00"/>
    <n v="50"/>
    <n v="91.47"/>
    <n v="49"/>
    <x v="2"/>
    <n v="47.8"/>
    <n v="33"/>
    <n v="18"/>
    <x v="1"/>
    <n v="27.5"/>
    <x v="0"/>
    <n v="8.1"/>
    <x v="1"/>
    <n v="6.9"/>
    <x v="0"/>
    <x v="2"/>
  </r>
  <r>
    <x v="1"/>
    <x v="1"/>
    <x v="1"/>
    <x v="3"/>
    <d v="2022-10-03T00:00:00"/>
    <n v="42"/>
    <n v="85.3"/>
    <n v="35"/>
    <x v="3"/>
    <n v="45"/>
    <n v="28"/>
    <n v="17.5"/>
    <x v="1"/>
    <n v="26"/>
    <x v="0"/>
    <n v="7.5"/>
    <x v="1"/>
    <n v="6.3"/>
    <x v="0"/>
    <x v="3"/>
  </r>
  <r>
    <x v="2"/>
    <x v="2"/>
    <x v="0"/>
    <x v="4"/>
    <d v="2022-12-19T00:00:00"/>
    <n v="9"/>
    <n v="6.04"/>
    <n v="78"/>
    <x v="4"/>
    <n v="48.7"/>
    <n v="35"/>
    <n v="5.8"/>
    <x v="2"/>
    <n v="23.6"/>
    <x v="0"/>
    <n v="18.399999999999999"/>
    <x v="0"/>
    <n v="11.6"/>
    <x v="0"/>
    <x v="4"/>
  </r>
  <r>
    <x v="2"/>
    <x v="2"/>
    <x v="1"/>
    <x v="5"/>
    <d v="2023-09-15T00:00:00"/>
    <n v="14"/>
    <n v="7.5"/>
    <n v="75"/>
    <x v="5"/>
    <n v="46.2"/>
    <n v="29"/>
    <n v="5.5"/>
    <x v="2"/>
    <n v="22"/>
    <x v="0"/>
    <n v="16.7"/>
    <x v="0"/>
    <n v="10.8"/>
    <x v="1"/>
    <x v="5"/>
  </r>
  <r>
    <x v="3"/>
    <x v="3"/>
    <x v="0"/>
    <x v="6"/>
    <d v="2022-03-26T00:00:00"/>
    <n v="15"/>
    <n v="90"/>
    <n v="54"/>
    <x v="6"/>
    <n v="67.8"/>
    <n v="34"/>
    <n v="11"/>
    <x v="0"/>
    <n v="5.3"/>
    <x v="1"/>
    <n v="20.5"/>
    <x v="1"/>
    <n v="19.5"/>
    <x v="0"/>
    <x v="6"/>
  </r>
  <r>
    <x v="3"/>
    <x v="3"/>
    <x v="1"/>
    <x v="7"/>
    <d v="2022-08-09T00:00:00"/>
    <n v="10"/>
    <n v="88"/>
    <n v="50"/>
    <x v="7"/>
    <n v="4"/>
    <n v="28"/>
    <n v="10.199999999999999"/>
    <x v="0"/>
    <n v="4.8"/>
    <x v="1"/>
    <n v="19.7"/>
    <x v="1"/>
    <n v="18"/>
    <x v="0"/>
    <x v="7"/>
  </r>
  <r>
    <x v="4"/>
    <x v="4"/>
    <x v="0"/>
    <x v="8"/>
    <d v="2023-05-16T00:00:00"/>
    <n v="17"/>
    <n v="70.63"/>
    <n v="41"/>
    <x v="8"/>
    <n v="59.4"/>
    <n v="95"/>
    <n v="15.6"/>
    <x v="2"/>
    <n v="23.7"/>
    <x v="2"/>
    <n v="15.6"/>
    <x v="1"/>
    <n v="15.1"/>
    <x v="1"/>
    <x v="8"/>
  </r>
  <r>
    <x v="4"/>
    <x v="4"/>
    <x v="1"/>
    <x v="9"/>
    <d v="2022-01-15T00:00:00"/>
    <n v="8"/>
    <n v="65"/>
    <n v="25"/>
    <x v="9"/>
    <n v="55"/>
    <n v="65"/>
    <n v="14"/>
    <x v="2"/>
    <n v="21.5"/>
    <x v="2"/>
    <n v="13.9"/>
    <x v="1"/>
    <n v="14.2"/>
    <x v="0"/>
    <x v="0"/>
  </r>
  <r>
    <x v="5"/>
    <x v="5"/>
    <x v="0"/>
    <x v="4"/>
    <d v="2022-10-16T00:00:00"/>
    <n v="18"/>
    <n v="65.34"/>
    <n v="15"/>
    <x v="10"/>
    <n v="52.3"/>
    <n v="94"/>
    <n v="16.2"/>
    <x v="1"/>
    <n v="18.899999999999999"/>
    <x v="3"/>
    <n v="13.8"/>
    <x v="2"/>
    <n v="10.7"/>
    <x v="0"/>
    <x v="3"/>
  </r>
  <r>
    <x v="5"/>
    <x v="5"/>
    <x v="1"/>
    <x v="10"/>
    <d v="2023-09-13T00:00:00"/>
    <n v="13"/>
    <n v="60.2"/>
    <n v="16"/>
    <x v="11"/>
    <n v="50.5"/>
    <n v="75"/>
    <n v="15"/>
    <x v="1"/>
    <n v="17.8"/>
    <x v="3"/>
    <n v="12"/>
    <x v="2"/>
    <n v="9.5"/>
    <x v="1"/>
    <x v="5"/>
  </r>
  <r>
    <x v="0"/>
    <x v="0"/>
    <x v="0"/>
    <x v="2"/>
    <d v="2023-06-18T00:00:00"/>
    <n v="50"/>
    <n v="54.88"/>
    <n v="77"/>
    <x v="12"/>
    <n v="61.5"/>
    <n v="68"/>
    <n v="17.100000000000001"/>
    <x v="0"/>
    <n v="6.2"/>
    <x v="0"/>
    <n v="17.399999999999999"/>
    <x v="0"/>
    <n v="22.2"/>
    <x v="1"/>
    <x v="2"/>
  </r>
  <r>
    <x v="0"/>
    <x v="0"/>
    <x v="1"/>
    <x v="7"/>
    <d v="2022-11-27T00:00:00"/>
    <n v="33"/>
    <n v="56.3"/>
    <n v="73"/>
    <x v="1"/>
    <n v="59.2"/>
    <n v="57"/>
    <n v="16"/>
    <x v="0"/>
    <n v="6"/>
    <x v="0"/>
    <n v="16.8"/>
    <x v="0"/>
    <n v="21.5"/>
    <x v="0"/>
    <x v="9"/>
  </r>
  <r>
    <x v="1"/>
    <x v="1"/>
    <x v="0"/>
    <x v="11"/>
    <d v="2023-10-03T00:00:00"/>
    <n v="46"/>
    <n v="91.47"/>
    <n v="49"/>
    <x v="2"/>
    <n v="47.8"/>
    <n v="31"/>
    <n v="18"/>
    <x v="1"/>
    <n v="27.5"/>
    <x v="0"/>
    <n v="8.1"/>
    <x v="1"/>
    <n v="6.9"/>
    <x v="1"/>
    <x v="3"/>
  </r>
  <r>
    <x v="1"/>
    <x v="1"/>
    <x v="1"/>
    <x v="12"/>
    <d v="2022-10-26T00:00:00"/>
    <n v="35"/>
    <n v="85.3"/>
    <n v="35"/>
    <x v="13"/>
    <n v="45"/>
    <n v="27"/>
    <n v="17.5"/>
    <x v="1"/>
    <n v="26"/>
    <x v="0"/>
    <n v="7.5"/>
    <x v="1"/>
    <n v="6.3"/>
    <x v="0"/>
    <x v="3"/>
  </r>
  <r>
    <x v="2"/>
    <x v="2"/>
    <x v="0"/>
    <x v="5"/>
    <d v="2023-07-31T00:00:00"/>
    <n v="9"/>
    <n v="6.04"/>
    <n v="78"/>
    <x v="6"/>
    <n v="48.7"/>
    <n v="36"/>
    <n v="5.8"/>
    <x v="2"/>
    <n v="23.6"/>
    <x v="0"/>
    <n v="18.399999999999999"/>
    <x v="0"/>
    <n v="11.6"/>
    <x v="1"/>
    <x v="10"/>
  </r>
  <r>
    <x v="2"/>
    <x v="2"/>
    <x v="1"/>
    <x v="13"/>
    <d v="2022-09-07T00:00:00"/>
    <n v="12"/>
    <n v="7.5"/>
    <n v="75"/>
    <x v="7"/>
    <n v="46.2"/>
    <n v="29"/>
    <n v="5.5"/>
    <x v="2"/>
    <n v="22"/>
    <x v="0"/>
    <n v="16.7"/>
    <x v="0"/>
    <n v="10.8"/>
    <x v="0"/>
    <x v="5"/>
  </r>
  <r>
    <x v="3"/>
    <x v="3"/>
    <x v="0"/>
    <x v="14"/>
    <d v="2022-04-14T00:00:00"/>
    <n v="13"/>
    <n v="90"/>
    <n v="54"/>
    <x v="14"/>
    <n v="67.8"/>
    <n v="33"/>
    <n v="11"/>
    <x v="0"/>
    <n v="5.3"/>
    <x v="1"/>
    <n v="20.5"/>
    <x v="1"/>
    <n v="19.5"/>
    <x v="0"/>
    <x v="1"/>
  </r>
  <r>
    <x v="3"/>
    <x v="3"/>
    <x v="1"/>
    <x v="4"/>
    <d v="2023-12-02T00:00:00"/>
    <n v="11"/>
    <n v="88"/>
    <n v="50"/>
    <x v="4"/>
    <n v="64"/>
    <n v="28"/>
    <n v="10.199999999999999"/>
    <x v="0"/>
    <n v="4.8"/>
    <x v="1"/>
    <n v="19.7"/>
    <x v="1"/>
    <n v="18"/>
    <x v="1"/>
    <x v="4"/>
  </r>
  <r>
    <x v="4"/>
    <x v="4"/>
    <x v="0"/>
    <x v="15"/>
    <d v="2023-01-25T00:00:00"/>
    <n v="15"/>
    <n v="70.63"/>
    <n v="41"/>
    <x v="8"/>
    <n v="59.4"/>
    <n v="90"/>
    <n v="15.6"/>
    <x v="2"/>
    <n v="23.7"/>
    <x v="2"/>
    <n v="15.6"/>
    <x v="1"/>
    <n v="15.1"/>
    <x v="1"/>
    <x v="0"/>
  </r>
  <r>
    <x v="4"/>
    <x v="4"/>
    <x v="1"/>
    <x v="3"/>
    <d v="2023-07-07T00:00:00"/>
    <n v="9"/>
    <n v="65"/>
    <n v="25"/>
    <x v="14"/>
    <n v="55"/>
    <n v="64"/>
    <n v="14"/>
    <x v="2"/>
    <n v="21.5"/>
    <x v="2"/>
    <n v="13.9"/>
    <x v="1"/>
    <n v="14.2"/>
    <x v="1"/>
    <x v="10"/>
  </r>
  <r>
    <x v="5"/>
    <x v="5"/>
    <x v="0"/>
    <x v="16"/>
    <d v="2022-01-25T00:00:00"/>
    <n v="17"/>
    <n v="65.34"/>
    <n v="26"/>
    <x v="10"/>
    <n v="52.3"/>
    <n v="93"/>
    <n v="16.2"/>
    <x v="1"/>
    <n v="18.899999999999999"/>
    <x v="3"/>
    <n v="13.8"/>
    <x v="2"/>
    <n v="10.7"/>
    <x v="0"/>
    <x v="0"/>
  </r>
  <r>
    <x v="5"/>
    <x v="5"/>
    <x v="1"/>
    <x v="17"/>
    <d v="2023-11-19T00:00:00"/>
    <n v="13"/>
    <n v="60.2"/>
    <n v="27"/>
    <x v="9"/>
    <n v="50.5"/>
    <n v="76"/>
    <n v="15"/>
    <x v="1"/>
    <n v="17.8"/>
    <x v="3"/>
    <n v="12"/>
    <x v="2"/>
    <n v="9.5"/>
    <x v="1"/>
    <x v="9"/>
  </r>
  <r>
    <x v="0"/>
    <x v="0"/>
    <x v="0"/>
    <x v="18"/>
    <d v="2022-11-20T00:00:00"/>
    <n v="47"/>
    <n v="54.88"/>
    <n v="77"/>
    <x v="15"/>
    <n v="61.5"/>
    <n v="66"/>
    <n v="17.100000000000001"/>
    <x v="0"/>
    <n v="6.2"/>
    <x v="0"/>
    <n v="17.399999999999999"/>
    <x v="0"/>
    <n v="22.2"/>
    <x v="0"/>
    <x v="9"/>
  </r>
  <r>
    <x v="0"/>
    <x v="0"/>
    <x v="1"/>
    <x v="19"/>
    <d v="2023-05-22T00:00:00"/>
    <n v="35"/>
    <n v="56.3"/>
    <n v="73"/>
    <x v="8"/>
    <n v="59.2"/>
    <n v="56"/>
    <n v="16"/>
    <x v="0"/>
    <n v="6"/>
    <x v="0"/>
    <n v="16.8"/>
    <x v="0"/>
    <n v="21.5"/>
    <x v="1"/>
    <x v="8"/>
  </r>
  <r>
    <x v="1"/>
    <x v="1"/>
    <x v="0"/>
    <x v="20"/>
    <d v="2023-09-21T00:00:00"/>
    <n v="44"/>
    <n v="91.47"/>
    <n v="49"/>
    <x v="3"/>
    <n v="47.8"/>
    <n v="32"/>
    <n v="18"/>
    <x v="1"/>
    <n v="27.5"/>
    <x v="0"/>
    <n v="8.1"/>
    <x v="1"/>
    <n v="6.9"/>
    <x v="1"/>
    <x v="5"/>
  </r>
  <r>
    <x v="1"/>
    <x v="1"/>
    <x v="1"/>
    <x v="21"/>
    <d v="2023-05-28T00:00:00"/>
    <n v="32"/>
    <n v="85.3"/>
    <n v="35"/>
    <x v="13"/>
    <n v="45"/>
    <n v="29"/>
    <n v="17.5"/>
    <x v="1"/>
    <n v="26"/>
    <x v="0"/>
    <n v="7.5"/>
    <x v="1"/>
    <n v="6.3"/>
    <x v="1"/>
    <x v="8"/>
  </r>
  <r>
    <x v="2"/>
    <x v="2"/>
    <x v="0"/>
    <x v="17"/>
    <d v="2022-03-02T00:00:00"/>
    <n v="8"/>
    <n v="6.04"/>
    <n v="78"/>
    <x v="4"/>
    <n v="48.7"/>
    <n v="34"/>
    <n v="5.8"/>
    <x v="2"/>
    <n v="23.6"/>
    <x v="0"/>
    <n v="18.399999999999999"/>
    <x v="0"/>
    <n v="11.6"/>
    <x v="0"/>
    <x v="6"/>
  </r>
  <r>
    <x v="2"/>
    <x v="2"/>
    <x v="1"/>
    <x v="4"/>
    <d v="2022-03-04T00:00:00"/>
    <n v="10"/>
    <n v="7.5"/>
    <n v="75"/>
    <x v="7"/>
    <n v="46.2"/>
    <n v="27"/>
    <n v="5.5"/>
    <x v="2"/>
    <n v="22"/>
    <x v="0"/>
    <n v="16.7"/>
    <x v="0"/>
    <n v="10.8"/>
    <x v="0"/>
    <x v="6"/>
  </r>
  <r>
    <x v="3"/>
    <x v="3"/>
    <x v="0"/>
    <x v="22"/>
    <d v="2023-09-02T00:00:00"/>
    <n v="11"/>
    <n v="90"/>
    <n v="54"/>
    <x v="16"/>
    <n v="7.8"/>
    <n v="33"/>
    <n v="11"/>
    <x v="0"/>
    <n v="5.3"/>
    <x v="1"/>
    <n v="20.5"/>
    <x v="1"/>
    <n v="19.5"/>
    <x v="1"/>
    <x v="5"/>
  </r>
  <r>
    <x v="3"/>
    <x v="3"/>
    <x v="1"/>
    <x v="21"/>
    <d v="2023-11-13T00:00:00"/>
    <n v="9"/>
    <n v="88"/>
    <n v="50"/>
    <x v="5"/>
    <n v="64"/>
    <n v="29"/>
    <n v="10.199999999999999"/>
    <x v="0"/>
    <n v="4.8"/>
    <x v="1"/>
    <n v="19.7"/>
    <x v="1"/>
    <n v="18"/>
    <x v="1"/>
    <x v="9"/>
  </r>
  <r>
    <x v="4"/>
    <x v="4"/>
    <x v="0"/>
    <x v="23"/>
    <d v="2023-12-31T00:00:00"/>
    <n v="14"/>
    <n v="70.63"/>
    <n v="41"/>
    <x v="8"/>
    <n v="59.4"/>
    <n v="89"/>
    <n v="15.6"/>
    <x v="2"/>
    <n v="23.7"/>
    <x v="2"/>
    <n v="15.6"/>
    <x v="1"/>
    <n v="15.1"/>
    <x v="1"/>
    <x v="4"/>
  </r>
  <r>
    <x v="4"/>
    <x v="4"/>
    <x v="1"/>
    <x v="24"/>
    <d v="2022-08-13T00:00:00"/>
    <n v="10"/>
    <n v="65"/>
    <n v="25"/>
    <x v="14"/>
    <n v="55"/>
    <n v="65"/>
    <n v="14"/>
    <x v="2"/>
    <n v="21.5"/>
    <x v="2"/>
    <n v="13.9"/>
    <x v="1"/>
    <n v="14.2"/>
    <x v="0"/>
    <x v="7"/>
  </r>
  <r>
    <x v="5"/>
    <x v="5"/>
    <x v="0"/>
    <x v="25"/>
    <d v="2022-01-23T00:00:00"/>
    <n v="19"/>
    <n v="65.34"/>
    <n v="26"/>
    <x v="10"/>
    <n v="52.3"/>
    <n v="93"/>
    <n v="16.2"/>
    <x v="1"/>
    <n v="18.899999999999999"/>
    <x v="3"/>
    <n v="13.8"/>
    <x v="2"/>
    <n v="10.7"/>
    <x v="0"/>
    <x v="0"/>
  </r>
  <r>
    <x v="5"/>
    <x v="5"/>
    <x v="1"/>
    <x v="26"/>
    <d v="2023-03-04T00:00:00"/>
    <n v="15"/>
    <n v="60.2"/>
    <n v="27"/>
    <x v="11"/>
    <n v="50.5"/>
    <n v="75"/>
    <n v="15"/>
    <x v="1"/>
    <n v="17.8"/>
    <x v="3"/>
    <n v="12"/>
    <x v="2"/>
    <n v="9.5"/>
    <x v="1"/>
    <x v="6"/>
  </r>
  <r>
    <x v="0"/>
    <x v="0"/>
    <x v="0"/>
    <x v="27"/>
    <d v="2022-12-11T00:00:00"/>
    <n v="47"/>
    <n v="54.88"/>
    <n v="77"/>
    <x v="15"/>
    <n v="61.5"/>
    <n v="66"/>
    <n v="17.100000000000001"/>
    <x v="0"/>
    <n v="6.2"/>
    <x v="0"/>
    <n v="17.399999999999999"/>
    <x v="0"/>
    <n v="22.2"/>
    <x v="0"/>
    <x v="4"/>
  </r>
  <r>
    <x v="0"/>
    <x v="0"/>
    <x v="1"/>
    <x v="4"/>
    <d v="2022-06-15T00:00:00"/>
    <n v="35"/>
    <n v="56.3"/>
    <n v="73"/>
    <x v="8"/>
    <n v="59.2"/>
    <n v="56"/>
    <n v="16"/>
    <x v="0"/>
    <n v="6"/>
    <x v="0"/>
    <n v="16.8"/>
    <x v="0"/>
    <n v="21.5"/>
    <x v="0"/>
    <x v="2"/>
  </r>
  <r>
    <x v="1"/>
    <x v="1"/>
    <x v="0"/>
    <x v="28"/>
    <d v="2023-08-10T00:00:00"/>
    <n v="44"/>
    <n v="91.47"/>
    <n v="49"/>
    <x v="3"/>
    <n v="47.8"/>
    <n v="32"/>
    <n v="18"/>
    <x v="1"/>
    <n v="27.5"/>
    <x v="0"/>
    <n v="8.1"/>
    <x v="1"/>
    <n v="6.9"/>
    <x v="1"/>
    <x v="7"/>
  </r>
  <r>
    <x v="1"/>
    <x v="1"/>
    <x v="1"/>
    <x v="29"/>
    <d v="2023-04-25T00:00:00"/>
    <n v="32"/>
    <n v="85.3"/>
    <n v="35"/>
    <x v="13"/>
    <n v="45"/>
    <n v="29"/>
    <n v="17.5"/>
    <x v="1"/>
    <n v="26"/>
    <x v="0"/>
    <n v="7.5"/>
    <x v="1"/>
    <n v="6.3"/>
    <x v="1"/>
    <x v="1"/>
  </r>
  <r>
    <x v="2"/>
    <x v="2"/>
    <x v="0"/>
    <x v="11"/>
    <d v="2023-06-11T00:00:00"/>
    <n v="8"/>
    <n v="6.04"/>
    <n v="78"/>
    <x v="4"/>
    <n v="48.7"/>
    <n v="34"/>
    <n v="5.8"/>
    <x v="2"/>
    <n v="23.6"/>
    <x v="0"/>
    <n v="18.399999999999999"/>
    <x v="0"/>
    <n v="11.6"/>
    <x v="1"/>
    <x v="2"/>
  </r>
  <r>
    <x v="2"/>
    <x v="2"/>
    <x v="1"/>
    <x v="4"/>
    <d v="2022-06-03T00:00:00"/>
    <n v="10"/>
    <n v="7.5"/>
    <n v="75"/>
    <x v="7"/>
    <n v="46.2"/>
    <n v="27"/>
    <n v="5.5"/>
    <x v="2"/>
    <n v="22"/>
    <x v="0"/>
    <n v="16.7"/>
    <x v="0"/>
    <n v="10.8"/>
    <x v="0"/>
    <x v="2"/>
  </r>
  <r>
    <x v="3"/>
    <x v="3"/>
    <x v="0"/>
    <x v="30"/>
    <d v="2022-08-17T00:00:00"/>
    <n v="11"/>
    <n v="90"/>
    <n v="54"/>
    <x v="16"/>
    <n v="7.8"/>
    <n v="33"/>
    <n v="11"/>
    <x v="0"/>
    <n v="5.3"/>
    <x v="1"/>
    <n v="20.5"/>
    <x v="1"/>
    <n v="19.5"/>
    <x v="0"/>
    <x v="7"/>
  </r>
  <r>
    <x v="3"/>
    <x v="3"/>
    <x v="1"/>
    <x v="5"/>
    <d v="2022-08-03T00:00:00"/>
    <n v="9"/>
    <n v="88"/>
    <n v="50"/>
    <x v="5"/>
    <n v="4"/>
    <n v="29"/>
    <n v="10.199999999999999"/>
    <x v="0"/>
    <n v="4.8"/>
    <x v="1"/>
    <n v="19.7"/>
    <x v="1"/>
    <n v="18"/>
    <x v="0"/>
    <x v="7"/>
  </r>
  <r>
    <x v="4"/>
    <x v="4"/>
    <x v="0"/>
    <x v="31"/>
    <d v="2023-07-18T00:00:00"/>
    <n v="14"/>
    <n v="70.63"/>
    <n v="41"/>
    <x v="8"/>
    <n v="59.4"/>
    <n v="89"/>
    <n v="15.6"/>
    <x v="2"/>
    <n v="23.7"/>
    <x v="2"/>
    <n v="15.6"/>
    <x v="1"/>
    <n v="15.1"/>
    <x v="1"/>
    <x v="10"/>
  </r>
  <r>
    <x v="4"/>
    <x v="4"/>
    <x v="1"/>
    <x v="32"/>
    <d v="2023-06-22T00:00:00"/>
    <n v="10"/>
    <n v="65"/>
    <n v="25"/>
    <x v="14"/>
    <n v="55"/>
    <n v="65"/>
    <n v="14"/>
    <x v="2"/>
    <n v="21.5"/>
    <x v="2"/>
    <n v="13.9"/>
    <x v="1"/>
    <n v="14.2"/>
    <x v="1"/>
    <x v="2"/>
  </r>
  <r>
    <x v="5"/>
    <x v="5"/>
    <x v="0"/>
    <x v="12"/>
    <d v="2022-06-27T00:00:00"/>
    <n v="19"/>
    <n v="65.34"/>
    <n v="26"/>
    <x v="10"/>
    <n v="20"/>
    <n v="93"/>
    <n v="16.2"/>
    <x v="1"/>
    <n v="18.899999999999999"/>
    <x v="3"/>
    <n v="13.8"/>
    <x v="2"/>
    <n v="10.7"/>
    <x v="0"/>
    <x v="2"/>
  </r>
  <r>
    <x v="5"/>
    <x v="5"/>
    <x v="1"/>
    <x v="18"/>
    <d v="2022-03-09T00:00:00"/>
    <n v="15"/>
    <n v="60.2"/>
    <n v="27"/>
    <x v="11"/>
    <n v="50.5"/>
    <n v="75"/>
    <n v="15"/>
    <x v="1"/>
    <n v="17.8"/>
    <x v="3"/>
    <n v="12"/>
    <x v="2"/>
    <n v="9.5"/>
    <x v="0"/>
    <x v="6"/>
  </r>
  <r>
    <x v="0"/>
    <x v="0"/>
    <x v="0"/>
    <x v="27"/>
    <d v="2022-09-06T00:00:00"/>
    <n v="47"/>
    <n v="54.88"/>
    <n v="77"/>
    <x v="15"/>
    <n v="1.5"/>
    <n v="66"/>
    <n v="17.100000000000001"/>
    <x v="0"/>
    <n v="6.2"/>
    <x v="0"/>
    <n v="17.399999999999999"/>
    <x v="0"/>
    <n v="22.2"/>
    <x v="0"/>
    <x v="5"/>
  </r>
  <r>
    <x v="0"/>
    <x v="0"/>
    <x v="1"/>
    <x v="4"/>
    <d v="2023-10-07T00:00:00"/>
    <n v="35"/>
    <n v="56.3"/>
    <n v="73"/>
    <x v="8"/>
    <n v="59.2"/>
    <n v="56"/>
    <n v="16"/>
    <x v="0"/>
    <n v="6"/>
    <x v="0"/>
    <n v="16.8"/>
    <x v="0"/>
    <n v="21.5"/>
    <x v="1"/>
    <x v="3"/>
  </r>
  <r>
    <x v="1"/>
    <x v="1"/>
    <x v="0"/>
    <x v="28"/>
    <d v="2023-08-24T00:00:00"/>
    <n v="44"/>
    <n v="91.47"/>
    <n v="49"/>
    <x v="3"/>
    <n v="47.8"/>
    <n v="32"/>
    <n v="18"/>
    <x v="1"/>
    <n v="27.5"/>
    <x v="0"/>
    <n v="8.1"/>
    <x v="1"/>
    <n v="6.9"/>
    <x v="1"/>
    <x v="7"/>
  </r>
  <r>
    <x v="1"/>
    <x v="1"/>
    <x v="1"/>
    <x v="29"/>
    <d v="2023-02-06T00:00:00"/>
    <n v="32"/>
    <n v="85.3"/>
    <n v="35"/>
    <x v="13"/>
    <n v="45"/>
    <n v="29"/>
    <n v="17.5"/>
    <x v="1"/>
    <n v="26"/>
    <x v="0"/>
    <n v="7.5"/>
    <x v="1"/>
    <n v="6.3"/>
    <x v="1"/>
    <x v="11"/>
  </r>
  <r>
    <x v="2"/>
    <x v="2"/>
    <x v="0"/>
    <x v="11"/>
    <d v="2022-06-26T00:00:00"/>
    <n v="8"/>
    <n v="6.04"/>
    <n v="78"/>
    <x v="4"/>
    <n v="48.7"/>
    <n v="34"/>
    <n v="5.8"/>
    <x v="2"/>
    <n v="23.6"/>
    <x v="0"/>
    <n v="18.399999999999999"/>
    <x v="0"/>
    <n v="11.6"/>
    <x v="0"/>
    <x v="2"/>
  </r>
  <r>
    <x v="2"/>
    <x v="2"/>
    <x v="1"/>
    <x v="4"/>
    <d v="2022-11-01T00:00:00"/>
    <n v="10"/>
    <n v="7.5"/>
    <n v="75"/>
    <x v="7"/>
    <n v="46.2"/>
    <n v="27"/>
    <n v="5.5"/>
    <x v="2"/>
    <n v="22"/>
    <x v="0"/>
    <n v="16.7"/>
    <x v="0"/>
    <n v="10.8"/>
    <x v="0"/>
    <x v="9"/>
  </r>
  <r>
    <x v="3"/>
    <x v="3"/>
    <x v="0"/>
    <x v="33"/>
    <d v="2022-07-04T00:00:00"/>
    <n v="11"/>
    <n v="90"/>
    <n v="54"/>
    <x v="16"/>
    <n v="67.8"/>
    <n v="33"/>
    <n v="11"/>
    <x v="0"/>
    <n v="5.3"/>
    <x v="1"/>
    <n v="20.5"/>
    <x v="1"/>
    <n v="19.5"/>
    <x v="0"/>
    <x v="10"/>
  </r>
  <r>
    <x v="3"/>
    <x v="3"/>
    <x v="1"/>
    <x v="5"/>
    <d v="2022-12-12T00:00:00"/>
    <n v="9"/>
    <n v="88"/>
    <n v="50"/>
    <x v="5"/>
    <n v="64"/>
    <n v="29"/>
    <n v="10.199999999999999"/>
    <x v="0"/>
    <n v="4.8"/>
    <x v="1"/>
    <n v="19.7"/>
    <x v="1"/>
    <n v="18"/>
    <x v="0"/>
    <x v="4"/>
  </r>
  <r>
    <x v="4"/>
    <x v="4"/>
    <x v="0"/>
    <x v="34"/>
    <d v="2023-01-22T00:00:00"/>
    <n v="14"/>
    <n v="70.63"/>
    <n v="41"/>
    <x v="8"/>
    <n v="59.4"/>
    <n v="89"/>
    <n v="15.6"/>
    <x v="2"/>
    <n v="23.7"/>
    <x v="2"/>
    <n v="15.6"/>
    <x v="1"/>
    <n v="15.1"/>
    <x v="1"/>
    <x v="0"/>
  </r>
  <r>
    <x v="4"/>
    <x v="4"/>
    <x v="1"/>
    <x v="24"/>
    <d v="2022-12-31T00:00:00"/>
    <n v="10"/>
    <n v="65"/>
    <n v="25"/>
    <x v="14"/>
    <n v="55"/>
    <n v="65"/>
    <n v="14"/>
    <x v="2"/>
    <n v="21.5"/>
    <x v="2"/>
    <n v="13.9"/>
    <x v="1"/>
    <n v="14.2"/>
    <x v="0"/>
    <x v="4"/>
  </r>
  <r>
    <x v="5"/>
    <x v="5"/>
    <x v="0"/>
    <x v="12"/>
    <d v="2022-05-20T00:00:00"/>
    <n v="19"/>
    <n v="65.34"/>
    <n v="26"/>
    <x v="10"/>
    <n v="52.3"/>
    <n v="93"/>
    <n v="16.2"/>
    <x v="1"/>
    <n v="18.899999999999999"/>
    <x v="3"/>
    <n v="13.8"/>
    <x v="2"/>
    <n v="10.7"/>
    <x v="0"/>
    <x v="8"/>
  </r>
  <r>
    <x v="5"/>
    <x v="5"/>
    <x v="1"/>
    <x v="1"/>
    <d v="2023-05-12T00:00:00"/>
    <n v="15"/>
    <n v="60.2"/>
    <n v="27"/>
    <x v="11"/>
    <n v="50.5"/>
    <n v="75"/>
    <n v="15"/>
    <x v="1"/>
    <n v="17.8"/>
    <x v="3"/>
    <n v="12"/>
    <x v="2"/>
    <n v="9.5"/>
    <x v="1"/>
    <x v="8"/>
  </r>
  <r>
    <x v="0"/>
    <x v="0"/>
    <x v="0"/>
    <x v="35"/>
    <d v="2022-09-20T00:00:00"/>
    <n v="55"/>
    <n v="54.88"/>
    <n v="77"/>
    <x v="0"/>
    <n v="1.5"/>
    <n v="71"/>
    <n v="17.100000000000001"/>
    <x v="0"/>
    <n v="6.2"/>
    <x v="0"/>
    <n v="17.399999999999999"/>
    <x v="0"/>
    <n v="22.2"/>
    <x v="0"/>
    <x v="5"/>
  </r>
  <r>
    <x v="0"/>
    <x v="0"/>
    <x v="1"/>
    <x v="36"/>
    <d v="2022-06-06T00:00:00"/>
    <n v="28"/>
    <n v="56.3"/>
    <n v="73"/>
    <x v="14"/>
    <n v="5"/>
    <n v="55"/>
    <n v="16"/>
    <x v="0"/>
    <n v="6"/>
    <x v="0"/>
    <n v="16.8"/>
    <x v="0"/>
    <n v="21.5"/>
    <x v="0"/>
    <x v="2"/>
  </r>
  <r>
    <x v="1"/>
    <x v="1"/>
    <x v="0"/>
    <x v="27"/>
    <d v="2022-04-23T00:00:00"/>
    <n v="48"/>
    <n v="91.47"/>
    <n v="49"/>
    <x v="7"/>
    <n v="47.8"/>
    <n v="33"/>
    <n v="18"/>
    <x v="1"/>
    <n v="27.5"/>
    <x v="0"/>
    <n v="8.1"/>
    <x v="1"/>
    <n v="6.9"/>
    <x v="0"/>
    <x v="1"/>
  </r>
  <r>
    <x v="1"/>
    <x v="1"/>
    <x v="1"/>
    <x v="37"/>
    <d v="2023-08-07T00:00:00"/>
    <n v="39"/>
    <n v="85.3"/>
    <n v="35"/>
    <x v="17"/>
    <n v="45"/>
    <n v="28"/>
    <n v="17.5"/>
    <x v="1"/>
    <n v="26"/>
    <x v="0"/>
    <n v="7.5"/>
    <x v="1"/>
    <n v="6.3"/>
    <x v="1"/>
    <x v="7"/>
  </r>
  <r>
    <x v="2"/>
    <x v="2"/>
    <x v="0"/>
    <x v="38"/>
    <d v="2022-04-16T00:00:00"/>
    <n v="10"/>
    <n v="6.04"/>
    <n v="78"/>
    <x v="5"/>
    <n v="48.7"/>
    <n v="35"/>
    <n v="5.8"/>
    <x v="2"/>
    <n v="23.6"/>
    <x v="0"/>
    <n v="18.399999999999999"/>
    <x v="0"/>
    <n v="11.6"/>
    <x v="0"/>
    <x v="1"/>
  </r>
  <r>
    <x v="2"/>
    <x v="2"/>
    <x v="1"/>
    <x v="3"/>
    <d v="2023-08-12T00:00:00"/>
    <n v="15"/>
    <n v="7.5"/>
    <n v="75"/>
    <x v="4"/>
    <n v="46.2"/>
    <n v="30"/>
    <n v="5.5"/>
    <x v="2"/>
    <n v="22"/>
    <x v="0"/>
    <n v="16.7"/>
    <x v="0"/>
    <n v="10.8"/>
    <x v="1"/>
    <x v="7"/>
  </r>
  <r>
    <x v="3"/>
    <x v="3"/>
    <x v="0"/>
    <x v="39"/>
    <d v="2023-05-24T00:00:00"/>
    <n v="16"/>
    <n v="90"/>
    <n v="54"/>
    <x v="14"/>
    <n v="67.8"/>
    <n v="34"/>
    <n v="11"/>
    <x v="0"/>
    <n v="5.3"/>
    <x v="1"/>
    <n v="20.5"/>
    <x v="1"/>
    <n v="19.5"/>
    <x v="1"/>
    <x v="8"/>
  </r>
  <r>
    <x v="3"/>
    <x v="3"/>
    <x v="1"/>
    <x v="40"/>
    <d v="2022-05-31T00:00:00"/>
    <n v="12"/>
    <n v="88"/>
    <n v="50"/>
    <x v="4"/>
    <n v="64"/>
    <n v="29"/>
    <n v="10.199999999999999"/>
    <x v="0"/>
    <n v="4.8"/>
    <x v="1"/>
    <n v="19.7"/>
    <x v="1"/>
    <n v="18"/>
    <x v="0"/>
    <x v="8"/>
  </r>
  <r>
    <x v="4"/>
    <x v="4"/>
    <x v="0"/>
    <x v="41"/>
    <d v="2022-11-04T00:00:00"/>
    <n v="18"/>
    <n v="70.63"/>
    <n v="41"/>
    <x v="10"/>
    <n v="59.4"/>
    <n v="95"/>
    <n v="15.6"/>
    <x v="2"/>
    <n v="23.7"/>
    <x v="2"/>
    <n v="15.6"/>
    <x v="1"/>
    <n v="15.1"/>
    <x v="0"/>
    <x v="9"/>
  </r>
  <r>
    <x v="4"/>
    <x v="4"/>
    <x v="1"/>
    <x v="42"/>
    <d v="2023-03-14T00:00:00"/>
    <n v="9"/>
    <n v="65"/>
    <n v="25"/>
    <x v="6"/>
    <n v="55"/>
    <n v="64"/>
    <n v="14"/>
    <x v="2"/>
    <n v="21.5"/>
    <x v="2"/>
    <n v="13.9"/>
    <x v="1"/>
    <n v="14.2"/>
    <x v="1"/>
    <x v="6"/>
  </r>
  <r>
    <x v="5"/>
    <x v="5"/>
    <x v="0"/>
    <x v="13"/>
    <d v="2022-06-09T00:00:00"/>
    <n v="19"/>
    <n v="65.34"/>
    <n v="26"/>
    <x v="12"/>
    <n v="2"/>
    <n v="94"/>
    <n v="16.2"/>
    <x v="1"/>
    <n v="18.899999999999999"/>
    <x v="3"/>
    <n v="13.8"/>
    <x v="2"/>
    <n v="10.7"/>
    <x v="0"/>
    <x v="2"/>
  </r>
  <r>
    <x v="5"/>
    <x v="5"/>
    <x v="1"/>
    <x v="43"/>
    <d v="2023-09-15T00:00:00"/>
    <n v="14"/>
    <n v="60.2"/>
    <n v="27"/>
    <x v="8"/>
    <n v="50.5"/>
    <n v="75"/>
    <n v="15"/>
    <x v="1"/>
    <n v="17.8"/>
    <x v="3"/>
    <n v="12"/>
    <x v="2"/>
    <n v="9.5"/>
    <x v="1"/>
    <x v="5"/>
  </r>
  <r>
    <x v="0"/>
    <x v="0"/>
    <x v="0"/>
    <x v="44"/>
    <d v="2023-05-16T00:00:00"/>
    <n v="55"/>
    <n v="54.88"/>
    <n v="77"/>
    <x v="0"/>
    <n v="61.5"/>
    <n v="71"/>
    <n v="17.100000000000001"/>
    <x v="0"/>
    <n v="6.2"/>
    <x v="0"/>
    <n v="17.399999999999999"/>
    <x v="0"/>
    <n v="22.2"/>
    <x v="1"/>
    <x v="8"/>
  </r>
  <r>
    <x v="0"/>
    <x v="0"/>
    <x v="1"/>
    <x v="36"/>
    <d v="2023-12-02T00:00:00"/>
    <n v="28"/>
    <n v="56.3"/>
    <n v="73"/>
    <x v="14"/>
    <n v="59.2"/>
    <n v="55"/>
    <n v="16"/>
    <x v="0"/>
    <n v="6"/>
    <x v="0"/>
    <n v="16.8"/>
    <x v="0"/>
    <n v="21.5"/>
    <x v="1"/>
    <x v="4"/>
  </r>
  <r>
    <x v="1"/>
    <x v="1"/>
    <x v="0"/>
    <x v="27"/>
    <d v="2023-11-19T00:00:00"/>
    <n v="48"/>
    <n v="91.47"/>
    <n v="49"/>
    <x v="7"/>
    <n v="47.8"/>
    <n v="33"/>
    <n v="18"/>
    <x v="1"/>
    <n v="27.5"/>
    <x v="0"/>
    <n v="8.1"/>
    <x v="1"/>
    <n v="6.9"/>
    <x v="1"/>
    <x v="9"/>
  </r>
  <r>
    <x v="1"/>
    <x v="1"/>
    <x v="1"/>
    <x v="37"/>
    <d v="2023-11-13T00:00:00"/>
    <n v="39"/>
    <n v="85.3"/>
    <n v="35"/>
    <x v="17"/>
    <n v="45"/>
    <n v="28"/>
    <n v="17.5"/>
    <x v="1"/>
    <n v="26"/>
    <x v="0"/>
    <n v="7.5"/>
    <x v="1"/>
    <n v="6.3"/>
    <x v="1"/>
    <x v="9"/>
  </r>
  <r>
    <x v="2"/>
    <x v="2"/>
    <x v="0"/>
    <x v="45"/>
    <d v="2023-12-31T00:00:00"/>
    <n v="10"/>
    <n v="6.04"/>
    <n v="78"/>
    <x v="5"/>
    <n v="48.7"/>
    <n v="35"/>
    <n v="5.8"/>
    <x v="2"/>
    <n v="23.6"/>
    <x v="0"/>
    <n v="18.399999999999999"/>
    <x v="0"/>
    <n v="11.6"/>
    <x v="1"/>
    <x v="4"/>
  </r>
  <r>
    <x v="2"/>
    <x v="2"/>
    <x v="1"/>
    <x v="46"/>
    <d v="2022-01-23T00:00:00"/>
    <n v="15"/>
    <n v="7.5"/>
    <n v="75"/>
    <x v="4"/>
    <n v="46.2"/>
    <n v="30"/>
    <n v="5.5"/>
    <x v="2"/>
    <n v="22"/>
    <x v="0"/>
    <n v="16.7"/>
    <x v="0"/>
    <n v="10.8"/>
    <x v="0"/>
    <x v="0"/>
  </r>
  <r>
    <x v="3"/>
    <x v="3"/>
    <x v="0"/>
    <x v="47"/>
    <d v="2023-03-04T00:00:00"/>
    <n v="16"/>
    <n v="90"/>
    <n v="54"/>
    <x v="14"/>
    <n v="67.8"/>
    <n v="34"/>
    <n v="11"/>
    <x v="0"/>
    <n v="5.3"/>
    <x v="1"/>
    <n v="20.5"/>
    <x v="1"/>
    <n v="19.5"/>
    <x v="1"/>
    <x v="6"/>
  </r>
  <r>
    <x v="3"/>
    <x v="3"/>
    <x v="1"/>
    <x v="48"/>
    <d v="2023-09-02T00:00:00"/>
    <n v="12"/>
    <n v="88"/>
    <n v="50"/>
    <x v="4"/>
    <n v="4"/>
    <n v="29"/>
    <n v="10.199999999999999"/>
    <x v="0"/>
    <n v="4.8"/>
    <x v="1"/>
    <n v="19.7"/>
    <x v="1"/>
    <n v="18"/>
    <x v="1"/>
    <x v="5"/>
  </r>
  <r>
    <x v="4"/>
    <x v="4"/>
    <x v="0"/>
    <x v="41"/>
    <d v="2022-08-13T00:00:00"/>
    <n v="18"/>
    <n v="70.63"/>
    <n v="41"/>
    <x v="10"/>
    <n v="59.4"/>
    <n v="95"/>
    <n v="15.6"/>
    <x v="2"/>
    <n v="23.7"/>
    <x v="2"/>
    <n v="15.6"/>
    <x v="1"/>
    <n v="15.1"/>
    <x v="0"/>
    <x v="7"/>
  </r>
  <r>
    <x v="4"/>
    <x v="4"/>
    <x v="1"/>
    <x v="48"/>
    <d v="2023-08-10T00:00:00"/>
    <n v="9"/>
    <n v="65"/>
    <n v="25"/>
    <x v="6"/>
    <n v="55"/>
    <n v="64"/>
    <n v="14"/>
    <x v="2"/>
    <n v="21.5"/>
    <x v="2"/>
    <n v="13.9"/>
    <x v="1"/>
    <n v="14.2"/>
    <x v="1"/>
    <x v="7"/>
  </r>
  <r>
    <x v="5"/>
    <x v="5"/>
    <x v="0"/>
    <x v="13"/>
    <d v="2023-07-18T00:00:00"/>
    <n v="19"/>
    <n v="65.34"/>
    <n v="26"/>
    <x v="12"/>
    <n v="52.3"/>
    <n v="94"/>
    <n v="16.2"/>
    <x v="1"/>
    <n v="18.899999999999999"/>
    <x v="3"/>
    <n v="13.8"/>
    <x v="2"/>
    <n v="10.7"/>
    <x v="1"/>
    <x v="10"/>
  </r>
  <r>
    <x v="5"/>
    <x v="5"/>
    <x v="1"/>
    <x v="49"/>
    <d v="2022-03-09T00:00:00"/>
    <n v="14"/>
    <n v="60.2"/>
    <n v="27"/>
    <x v="8"/>
    <n v="50.5"/>
    <n v="75"/>
    <n v="15"/>
    <x v="1"/>
    <n v="17.8"/>
    <x v="3"/>
    <n v="12"/>
    <x v="2"/>
    <n v="9.5"/>
    <x v="0"/>
    <x v="6"/>
  </r>
  <r>
    <x v="0"/>
    <x v="0"/>
    <x v="0"/>
    <x v="50"/>
    <d v="2022-12-12T00:00:00"/>
    <n v="54"/>
    <n v="55.5"/>
    <n v="77"/>
    <x v="10"/>
    <n v="60"/>
    <n v="72"/>
    <n v="17.3"/>
    <x v="0"/>
    <n v="6.5"/>
    <x v="0"/>
    <n v="18.2"/>
    <x v="0"/>
    <n v="23"/>
    <x v="0"/>
    <x v="4"/>
  </r>
  <r>
    <x v="0"/>
    <x v="0"/>
    <x v="1"/>
    <x v="51"/>
    <d v="2022-12-31T00:00:00"/>
    <n v="26"/>
    <n v="58"/>
    <n v="70"/>
    <x v="11"/>
    <n v="58"/>
    <n v="54"/>
    <n v="15.5"/>
    <x v="0"/>
    <n v="5.8"/>
    <x v="0"/>
    <n v="15"/>
    <x v="0"/>
    <n v="20"/>
    <x v="0"/>
    <x v="4"/>
  </r>
  <r>
    <x v="1"/>
    <x v="1"/>
    <x v="0"/>
    <x v="2"/>
    <d v="2022-05-20T00:00:00"/>
    <n v="49"/>
    <n v="90"/>
    <n v="45"/>
    <x v="5"/>
    <n v="48.5"/>
    <n v="33"/>
    <n v="18.5"/>
    <x v="1"/>
    <n v="25"/>
    <x v="0"/>
    <n v="9"/>
    <x v="1"/>
    <n v="7.5"/>
    <x v="0"/>
    <x v="8"/>
  </r>
  <r>
    <x v="1"/>
    <x v="1"/>
    <x v="1"/>
    <x v="16"/>
    <d v="2022-04-16T00:00:00"/>
    <n v="37"/>
    <n v="87"/>
    <n v="40"/>
    <x v="2"/>
    <n v="46"/>
    <n v="27"/>
    <n v="16.5"/>
    <x v="1"/>
    <n v="24"/>
    <x v="0"/>
    <n v="8"/>
    <x v="1"/>
    <n v="6.5"/>
    <x v="0"/>
    <x v="1"/>
  </r>
  <r>
    <x v="2"/>
    <x v="2"/>
    <x v="0"/>
    <x v="37"/>
    <d v="2023-08-12T00:00:00"/>
    <n v="8"/>
    <n v="5"/>
    <n v="76"/>
    <x v="7"/>
    <n v="47"/>
    <n v="37"/>
    <n v="6"/>
    <x v="2"/>
    <n v="20"/>
    <x v="0"/>
    <n v="16"/>
    <x v="0"/>
    <n v="12"/>
    <x v="1"/>
    <x v="7"/>
  </r>
  <r>
    <x v="2"/>
    <x v="2"/>
    <x v="1"/>
    <x v="43"/>
    <d v="2023-05-24T00:00:00"/>
    <n v="10"/>
    <n v="7"/>
    <n v="74"/>
    <x v="4"/>
    <n v="44"/>
    <n v="31"/>
    <n v="5.5"/>
    <x v="2"/>
    <n v="19"/>
    <x v="0"/>
    <n v="15"/>
    <x v="0"/>
    <n v="11.5"/>
    <x v="1"/>
    <x v="8"/>
  </r>
  <r>
    <x v="3"/>
    <x v="3"/>
    <x v="0"/>
    <x v="52"/>
    <d v="2023-03-14T00:00:00"/>
    <n v="14"/>
    <n v="91.5"/>
    <n v="55"/>
    <x v="9"/>
    <n v="68"/>
    <n v="35"/>
    <n v="12"/>
    <x v="0"/>
    <n v="5"/>
    <x v="1"/>
    <n v="18"/>
    <x v="1"/>
    <n v="19"/>
    <x v="1"/>
    <x v="6"/>
  </r>
  <r>
    <x v="3"/>
    <x v="3"/>
    <x v="1"/>
    <x v="53"/>
    <d v="2022-03-26T00:00:00"/>
    <n v="11"/>
    <n v="89"/>
    <n v="53"/>
    <x v="7"/>
    <n v="65"/>
    <n v="28"/>
    <n v="10"/>
    <x v="0"/>
    <n v="4.5"/>
    <x v="1"/>
    <n v="16"/>
    <x v="1"/>
    <n v="17"/>
    <x v="0"/>
    <x v="6"/>
  </r>
  <r>
    <x v="4"/>
    <x v="4"/>
    <x v="0"/>
    <x v="32"/>
    <d v="2022-08-09T00:00:00"/>
    <n v="17"/>
    <n v="72"/>
    <n v="42"/>
    <x v="12"/>
    <n v="0"/>
    <n v="96"/>
    <n v="14.5"/>
    <x v="2"/>
    <n v="21"/>
    <x v="2"/>
    <n v="16"/>
    <x v="1"/>
    <n v="15.5"/>
    <x v="0"/>
    <x v="7"/>
  </r>
  <r>
    <x v="4"/>
    <x v="4"/>
    <x v="1"/>
    <x v="54"/>
    <d v="2023-05-16T00:00:00"/>
    <n v="8"/>
    <n v="67"/>
    <n v="27"/>
    <x v="1"/>
    <n v="56"/>
    <n v="62"/>
    <n v="12.5"/>
    <x v="2"/>
    <n v="20.5"/>
    <x v="2"/>
    <n v="14"/>
    <x v="1"/>
    <n v="13.5"/>
    <x v="1"/>
    <x v="8"/>
  </r>
  <r>
    <x v="5"/>
    <x v="5"/>
    <x v="0"/>
    <x v="38"/>
    <d v="2022-01-15T00:00:00"/>
    <n v="20"/>
    <n v="63"/>
    <n v="28"/>
    <x v="0"/>
    <n v="53"/>
    <n v="96"/>
    <n v="15"/>
    <x v="1"/>
    <n v="19"/>
    <x v="3"/>
    <n v="14"/>
    <x v="2"/>
    <n v="11"/>
    <x v="0"/>
    <x v="0"/>
  </r>
  <r>
    <x v="5"/>
    <x v="5"/>
    <x v="1"/>
    <x v="10"/>
    <d v="2022-10-16T00:00:00"/>
    <n v="15"/>
    <n v="59"/>
    <n v="29"/>
    <x v="8"/>
    <n v="51"/>
    <n v="80"/>
    <n v="14"/>
    <x v="1"/>
    <n v="18"/>
    <x v="3"/>
    <n v="13"/>
    <x v="2"/>
    <n v="10"/>
    <x v="0"/>
    <x v="3"/>
  </r>
  <r>
    <x v="0"/>
    <x v="0"/>
    <x v="0"/>
    <x v="55"/>
    <d v="2023-09-13T00:00:00"/>
    <n v="52"/>
    <n v="54"/>
    <n v="77"/>
    <x v="15"/>
    <n v="59"/>
    <n v="73"/>
    <n v="16"/>
    <x v="0"/>
    <n v="7"/>
    <x v="0"/>
    <n v="15"/>
    <x v="0"/>
    <n v="22"/>
    <x v="1"/>
    <x v="5"/>
  </r>
  <r>
    <x v="0"/>
    <x v="0"/>
    <x v="1"/>
    <x v="56"/>
    <d v="2023-06-18T00:00:00"/>
    <n v="27"/>
    <n v="56"/>
    <n v="70"/>
    <x v="11"/>
    <n v="58"/>
    <n v="58"/>
    <n v="14"/>
    <x v="0"/>
    <n v="6"/>
    <x v="0"/>
    <n v="14"/>
    <x v="0"/>
    <n v="21"/>
    <x v="1"/>
    <x v="2"/>
  </r>
  <r>
    <x v="1"/>
    <x v="1"/>
    <x v="0"/>
    <x v="11"/>
    <d v="2022-11-27T00:00:00"/>
    <n v="45"/>
    <n v="89"/>
    <n v="45"/>
    <x v="4"/>
    <n v="45"/>
    <n v="31"/>
    <n v="17"/>
    <x v="1"/>
    <n v="26"/>
    <x v="0"/>
    <n v="7"/>
    <x v="1"/>
    <n v="7"/>
    <x v="0"/>
    <x v="9"/>
  </r>
  <r>
    <x v="1"/>
    <x v="1"/>
    <x v="1"/>
    <x v="3"/>
    <d v="2023-10-03T00:00:00"/>
    <n v="38"/>
    <n v="85"/>
    <n v="35"/>
    <x v="17"/>
    <n v="44"/>
    <n v="27"/>
    <n v="16"/>
    <x v="1"/>
    <n v="25"/>
    <x v="0"/>
    <n v="6.5"/>
    <x v="1"/>
    <n v="6.5"/>
    <x v="1"/>
    <x v="3"/>
  </r>
  <r>
    <x v="2"/>
    <x v="2"/>
    <x v="0"/>
    <x v="57"/>
    <d v="2022-10-26T00:00:00"/>
    <n v="9"/>
    <n v="5.5"/>
    <n v="76"/>
    <x v="14"/>
    <n v="48"/>
    <n v="33"/>
    <n v="6.5"/>
    <x v="2"/>
    <n v="22"/>
    <x v="0"/>
    <n v="15"/>
    <x v="0"/>
    <n v="12"/>
    <x v="0"/>
    <x v="3"/>
  </r>
  <r>
    <x v="2"/>
    <x v="2"/>
    <x v="1"/>
    <x v="58"/>
    <d v="2023-07-31T00:00:00"/>
    <n v="12"/>
    <n v="6"/>
    <n v="75"/>
    <x v="5"/>
    <n v="45"/>
    <n v="28"/>
    <n v="5"/>
    <x v="2"/>
    <n v="21"/>
    <x v="0"/>
    <n v="14"/>
    <x v="0"/>
    <n v="11"/>
    <x v="1"/>
    <x v="10"/>
  </r>
  <r>
    <x v="0"/>
    <x v="0"/>
    <x v="0"/>
    <x v="35"/>
    <d v="2022-09-07T00:00:00"/>
    <n v="55"/>
    <n v="54.88"/>
    <n v="77"/>
    <x v="0"/>
    <n v="1.5"/>
    <n v="71"/>
    <n v="17.100000000000001"/>
    <x v="0"/>
    <n v="6.2"/>
    <x v="0"/>
    <n v="17.399999999999999"/>
    <x v="0"/>
    <n v="22.2"/>
    <x v="0"/>
    <x v="5"/>
  </r>
  <r>
    <x v="0"/>
    <x v="0"/>
    <x v="1"/>
    <x v="36"/>
    <d v="2022-01-15T00:00:00"/>
    <n v="28"/>
    <n v="56.3"/>
    <n v="73"/>
    <x v="14"/>
    <n v="59.2"/>
    <n v="55"/>
    <n v="16"/>
    <x v="0"/>
    <n v="6"/>
    <x v="0"/>
    <n v="16.8"/>
    <x v="0"/>
    <n v="21.5"/>
    <x v="0"/>
    <x v="0"/>
  </r>
  <r>
    <x v="0"/>
    <x v="0"/>
    <x v="2"/>
    <x v="32"/>
    <d v="2022-09-07T00:00:00"/>
    <n v="20"/>
    <n v="58"/>
    <n v="65"/>
    <x v="8"/>
    <n v="57.5"/>
    <n v="49"/>
    <n v="15.5"/>
    <x v="0"/>
    <n v="5.5"/>
    <x v="0"/>
    <n v="15.2"/>
    <x v="2"/>
    <n v="20"/>
    <x v="0"/>
    <x v="5"/>
  </r>
  <r>
    <x v="1"/>
    <x v="1"/>
    <x v="0"/>
    <x v="27"/>
    <d v="2022-08-03T00:00:00"/>
    <n v="48"/>
    <n v="91.47"/>
    <n v="49"/>
    <x v="7"/>
    <n v="47.8"/>
    <n v="33"/>
    <n v="18"/>
    <x v="1"/>
    <n v="27.5"/>
    <x v="0"/>
    <n v="8.1"/>
    <x v="1"/>
    <n v="6.9"/>
    <x v="0"/>
    <x v="7"/>
  </r>
  <r>
    <x v="1"/>
    <x v="1"/>
    <x v="1"/>
    <x v="37"/>
    <d v="2023-06-22T00:00:00"/>
    <n v="39"/>
    <n v="85.3"/>
    <n v="35"/>
    <x v="17"/>
    <n v="5"/>
    <n v="28"/>
    <n v="17.5"/>
    <x v="1"/>
    <n v="26"/>
    <x v="0"/>
    <n v="7.5"/>
    <x v="1"/>
    <n v="6.3"/>
    <x v="1"/>
    <x v="2"/>
  </r>
  <r>
    <x v="1"/>
    <x v="1"/>
    <x v="2"/>
    <x v="43"/>
    <d v="2022-06-26T00:00:00"/>
    <n v="30"/>
    <n v="87"/>
    <n v="30"/>
    <x v="4"/>
    <n v="46.5"/>
    <n v="93"/>
    <n v="14"/>
    <x v="1"/>
    <n v="24"/>
    <x v="0"/>
    <n v="6.8"/>
    <x v="1"/>
    <n v="6.1"/>
    <x v="0"/>
    <x v="2"/>
  </r>
  <r>
    <x v="2"/>
    <x v="2"/>
    <x v="0"/>
    <x v="45"/>
    <d v="2022-09-20T00:00:00"/>
    <n v="10"/>
    <n v="6.04"/>
    <n v="78"/>
    <x v="5"/>
    <n v="48.7"/>
    <n v="35"/>
    <n v="5.8"/>
    <x v="2"/>
    <n v="23.6"/>
    <x v="0"/>
    <n v="18.399999999999999"/>
    <x v="0"/>
    <n v="11.6"/>
    <x v="0"/>
    <x v="5"/>
  </r>
  <r>
    <x v="2"/>
    <x v="2"/>
    <x v="1"/>
    <x v="3"/>
    <d v="2022-01-15T00:00:00"/>
    <n v="15"/>
    <n v="7.5"/>
    <n v="75"/>
    <x v="4"/>
    <n v="46.2"/>
    <n v="30"/>
    <n v="5.5"/>
    <x v="2"/>
    <n v="22"/>
    <x v="0"/>
    <n v="16.7"/>
    <x v="0"/>
    <n v="10.8"/>
    <x v="0"/>
    <x v="0"/>
  </r>
  <r>
    <x v="2"/>
    <x v="2"/>
    <x v="2"/>
    <x v="59"/>
    <d v="2022-09-07T00:00:00"/>
    <n v="12"/>
    <n v="8"/>
    <n v="70"/>
    <x v="5"/>
    <n v="44"/>
    <n v="65"/>
    <n v="4"/>
    <x v="2"/>
    <n v="20"/>
    <x v="0"/>
    <n v="14"/>
    <x v="0"/>
    <n v="9.5"/>
    <x v="0"/>
    <x v="5"/>
  </r>
  <r>
    <x v="3"/>
    <x v="3"/>
    <x v="0"/>
    <x v="39"/>
    <d v="2022-08-03T00:00:00"/>
    <n v="16"/>
    <n v="90"/>
    <n v="54"/>
    <x v="14"/>
    <n v="7.8"/>
    <n v="34"/>
    <n v="11"/>
    <x v="0"/>
    <n v="5.3"/>
    <x v="1"/>
    <n v="20.5"/>
    <x v="1"/>
    <n v="19.5"/>
    <x v="0"/>
    <x v="7"/>
  </r>
  <r>
    <x v="3"/>
    <x v="3"/>
    <x v="1"/>
    <x v="48"/>
    <d v="2023-06-22T00:00:00"/>
    <n v="12"/>
    <n v="88"/>
    <n v="50"/>
    <x v="4"/>
    <n v="6"/>
    <n v="29"/>
    <n v="10.199999999999999"/>
    <x v="0"/>
    <n v="4.8"/>
    <x v="1"/>
    <n v="19.7"/>
    <x v="1"/>
    <n v="18"/>
    <x v="1"/>
    <x v="2"/>
  </r>
  <r>
    <x v="3"/>
    <x v="3"/>
    <x v="2"/>
    <x v="60"/>
    <d v="2022-06-26T00:00:00"/>
    <n v="10"/>
    <n v="89"/>
    <n v="45"/>
    <x v="7"/>
    <n v="6"/>
    <n v="60"/>
    <n v="9.5"/>
    <x v="0"/>
    <n v="4"/>
    <x v="1"/>
    <n v="18"/>
    <x v="1"/>
    <n v="16"/>
    <x v="0"/>
    <x v="2"/>
  </r>
  <r>
    <x v="4"/>
    <x v="4"/>
    <x v="0"/>
    <x v="41"/>
    <d v="2022-09-20T00:00:00"/>
    <n v="18"/>
    <n v="70.63"/>
    <n v="41"/>
    <x v="10"/>
    <n v="59.4"/>
    <n v="95"/>
    <n v="15.6"/>
    <x v="2"/>
    <n v="23.7"/>
    <x v="2"/>
    <n v="15.6"/>
    <x v="1"/>
    <n v="15.1"/>
    <x v="0"/>
    <x v="5"/>
  </r>
  <r>
    <x v="4"/>
    <x v="4"/>
    <x v="1"/>
    <x v="61"/>
    <d v="2022-01-15T00:00:00"/>
    <n v="9"/>
    <n v="65"/>
    <n v="25"/>
    <x v="6"/>
    <n v="55"/>
    <n v="64"/>
    <n v="14"/>
    <x v="2"/>
    <n v="21.5"/>
    <x v="2"/>
    <n v="13.9"/>
    <x v="1"/>
    <n v="14.2"/>
    <x v="0"/>
    <x v="0"/>
  </r>
  <r>
    <x v="4"/>
    <x v="4"/>
    <x v="2"/>
    <x v="62"/>
    <d v="2022-09-07T00:00:00"/>
    <n v="7"/>
    <n v="64"/>
    <n v="26"/>
    <x v="14"/>
    <n v="53"/>
    <n v="54"/>
    <n v="12"/>
    <x v="2"/>
    <n v="20"/>
    <x v="2"/>
    <n v="12.5"/>
    <x v="1"/>
    <n v="12"/>
    <x v="0"/>
    <x v="5"/>
  </r>
  <r>
    <x v="5"/>
    <x v="5"/>
    <x v="0"/>
    <x v="13"/>
    <d v="2022-08-03T00:00:00"/>
    <n v="19"/>
    <n v="65.34"/>
    <n v="27"/>
    <x v="12"/>
    <n v="52.3"/>
    <n v="94"/>
    <n v="16.2"/>
    <x v="1"/>
    <n v="18.899999999999999"/>
    <x v="3"/>
    <n v="13.8"/>
    <x v="2"/>
    <n v="10.7"/>
    <x v="0"/>
    <x v="7"/>
  </r>
  <r>
    <x v="5"/>
    <x v="5"/>
    <x v="1"/>
    <x v="43"/>
    <d v="2023-06-22T00:00:00"/>
    <n v="14"/>
    <n v="60.2"/>
    <n v="28"/>
    <x v="8"/>
    <n v="50.5"/>
    <n v="75"/>
    <n v="15"/>
    <x v="1"/>
    <n v="17.8"/>
    <x v="3"/>
    <n v="12"/>
    <x v="2"/>
    <n v="9.5"/>
    <x v="1"/>
    <x v="2"/>
  </r>
  <r>
    <x v="5"/>
    <x v="5"/>
    <x v="2"/>
    <x v="56"/>
    <d v="2022-06-26T00:00:00"/>
    <n v="10"/>
    <n v="58"/>
    <n v="29"/>
    <x v="9"/>
    <n v="48"/>
    <n v="51"/>
    <n v="13"/>
    <x v="1"/>
    <n v="16"/>
    <x v="3"/>
    <n v="11"/>
    <x v="2"/>
    <n v="8"/>
    <x v="0"/>
    <x v="2"/>
  </r>
  <r>
    <x v="0"/>
    <x v="0"/>
    <x v="0"/>
    <x v="50"/>
    <d v="2022-09-20T00:00:00"/>
    <n v="54"/>
    <n v="55.5"/>
    <n v="77"/>
    <x v="10"/>
    <n v="0"/>
    <n v="72"/>
    <n v="17.3"/>
    <x v="0"/>
    <n v="6.5"/>
    <x v="0"/>
    <n v="18.2"/>
    <x v="0"/>
    <n v="23"/>
    <x v="0"/>
    <x v="5"/>
  </r>
  <r>
    <x v="0"/>
    <x v="0"/>
    <x v="1"/>
    <x v="63"/>
    <d v="2022-04-23T00:00:00"/>
    <n v="26"/>
    <n v="58"/>
    <n v="70"/>
    <x v="11"/>
    <n v="58"/>
    <n v="54"/>
    <n v="15.5"/>
    <x v="0"/>
    <n v="5.8"/>
    <x v="0"/>
    <n v="15"/>
    <x v="0"/>
    <n v="20"/>
    <x v="0"/>
    <x v="1"/>
  </r>
  <r>
    <x v="1"/>
    <x v="1"/>
    <x v="0"/>
    <x v="2"/>
    <d v="2022-12-19T00:00:00"/>
    <n v="49"/>
    <n v="90"/>
    <n v="45"/>
    <x v="5"/>
    <n v="48.5"/>
    <n v="33"/>
    <n v="18.5"/>
    <x v="1"/>
    <n v="25"/>
    <x v="0"/>
    <n v="9"/>
    <x v="1"/>
    <n v="7.5"/>
    <x v="0"/>
    <x v="4"/>
  </r>
  <r>
    <x v="1"/>
    <x v="1"/>
    <x v="1"/>
    <x v="57"/>
    <d v="2022-08-09T00:00:00"/>
    <n v="37"/>
    <n v="87"/>
    <n v="40"/>
    <x v="2"/>
    <n v="44"/>
    <n v="27"/>
    <n v="16.5"/>
    <x v="1"/>
    <n v="24"/>
    <x v="0"/>
    <n v="8"/>
    <x v="1"/>
    <n v="6.5"/>
    <x v="0"/>
    <x v="7"/>
  </r>
  <r>
    <x v="1"/>
    <x v="1"/>
    <x v="2"/>
    <x v="56"/>
    <d v="2023-06-18T00:00:00"/>
    <n v="25"/>
    <n v="85"/>
    <n v="35"/>
    <x v="7"/>
    <n v="43"/>
    <n v="78"/>
    <n v="15"/>
    <x v="1"/>
    <n v="23"/>
    <x v="0"/>
    <n v="7"/>
    <x v="1"/>
    <n v="5"/>
    <x v="1"/>
    <x v="2"/>
  </r>
  <r>
    <x v="2"/>
    <x v="2"/>
    <x v="0"/>
    <x v="37"/>
    <d v="2022-11-01T00:00:00"/>
    <n v="8"/>
    <n v="5"/>
    <n v="76"/>
    <x v="7"/>
    <n v="47"/>
    <n v="37"/>
    <n v="6"/>
    <x v="2"/>
    <n v="20"/>
    <x v="0"/>
    <n v="16"/>
    <x v="0"/>
    <n v="12"/>
    <x v="0"/>
    <x v="9"/>
  </r>
  <r>
    <x v="2"/>
    <x v="2"/>
    <x v="1"/>
    <x v="43"/>
    <d v="2022-04-23T00:00:00"/>
    <n v="10"/>
    <n v="7"/>
    <n v="74"/>
    <x v="4"/>
    <n v="44"/>
    <n v="31"/>
    <n v="5.5"/>
    <x v="2"/>
    <n v="19"/>
    <x v="0"/>
    <n v="15"/>
    <x v="0"/>
    <n v="11.5"/>
    <x v="0"/>
    <x v="1"/>
  </r>
  <r>
    <x v="2"/>
    <x v="2"/>
    <x v="2"/>
    <x v="60"/>
    <d v="2022-12-19T00:00:00"/>
    <n v="7"/>
    <n v="6.5"/>
    <n v="70"/>
    <x v="5"/>
    <n v="42"/>
    <n v="57"/>
    <n v="4.5"/>
    <x v="2"/>
    <n v="18"/>
    <x v="0"/>
    <n v="14"/>
    <x v="0"/>
    <n v="10"/>
    <x v="0"/>
    <x v="4"/>
  </r>
  <r>
    <x v="3"/>
    <x v="3"/>
    <x v="0"/>
    <x v="41"/>
    <d v="2022-08-09T00:00:00"/>
    <n v="14"/>
    <n v="91.5"/>
    <n v="55"/>
    <x v="9"/>
    <n v="8"/>
    <n v="35"/>
    <n v="12"/>
    <x v="0"/>
    <n v="5"/>
    <x v="1"/>
    <n v="18"/>
    <x v="1"/>
    <n v="19"/>
    <x v="0"/>
    <x v="7"/>
  </r>
  <r>
    <x v="3"/>
    <x v="3"/>
    <x v="1"/>
    <x v="4"/>
    <d v="2023-06-18T00:00:00"/>
    <n v="11"/>
    <n v="89"/>
    <n v="53"/>
    <x v="7"/>
    <n v="6"/>
    <n v="28"/>
    <n v="10"/>
    <x v="0"/>
    <n v="4.5"/>
    <x v="1"/>
    <n v="16"/>
    <x v="1"/>
    <n v="17"/>
    <x v="1"/>
    <x v="2"/>
  </r>
  <r>
    <x v="3"/>
    <x v="3"/>
    <x v="2"/>
    <x v="62"/>
    <d v="2022-11-01T00:00:00"/>
    <n v="9"/>
    <n v="88"/>
    <n v="45"/>
    <x v="17"/>
    <n v="63"/>
    <n v="45"/>
    <n v="9"/>
    <x v="0"/>
    <n v="4"/>
    <x v="1"/>
    <n v="15"/>
    <x v="1"/>
    <n v="16"/>
    <x v="0"/>
    <x v="9"/>
  </r>
  <r>
    <x v="4"/>
    <x v="4"/>
    <x v="0"/>
    <x v="64"/>
    <d v="2022-01-09T00:00:00"/>
    <n v="17"/>
    <n v="72"/>
    <n v="42"/>
    <x v="12"/>
    <n v="60"/>
    <n v="96"/>
    <n v="14.5"/>
    <x v="2"/>
    <n v="21"/>
    <x v="2"/>
    <n v="16"/>
    <x v="1"/>
    <n v="15.5"/>
    <x v="0"/>
    <x v="0"/>
  </r>
  <r>
    <x v="4"/>
    <x v="4"/>
    <x v="1"/>
    <x v="65"/>
    <d v="2022-04-23T00:00:00"/>
    <n v="8"/>
    <n v="67"/>
    <n v="27"/>
    <x v="1"/>
    <n v="56"/>
    <n v="62"/>
    <n v="12.5"/>
    <x v="2"/>
    <n v="20.5"/>
    <x v="2"/>
    <n v="14"/>
    <x v="1"/>
    <n v="13.5"/>
    <x v="0"/>
    <x v="1"/>
  </r>
  <r>
    <x v="4"/>
    <x v="4"/>
    <x v="2"/>
    <x v="65"/>
    <d v="2022-06-09T00:00:00"/>
    <n v="6"/>
    <n v="66"/>
    <n v="25"/>
    <x v="14"/>
    <n v="54"/>
    <n v="52"/>
    <n v="12"/>
    <x v="2"/>
    <n v="19"/>
    <x v="2"/>
    <n v="13"/>
    <x v="1"/>
    <n v="12"/>
    <x v="0"/>
    <x v="2"/>
  </r>
  <r>
    <x v="5"/>
    <x v="5"/>
    <x v="0"/>
    <x v="45"/>
    <d v="2022-10-03T00:00:00"/>
    <n v="20"/>
    <n v="63"/>
    <n v="26"/>
    <x v="0"/>
    <n v="53"/>
    <n v="96"/>
    <n v="15"/>
    <x v="1"/>
    <n v="19"/>
    <x v="3"/>
    <n v="14"/>
    <x v="2"/>
    <n v="11"/>
    <x v="0"/>
    <x v="3"/>
  </r>
  <r>
    <x v="5"/>
    <x v="5"/>
    <x v="1"/>
    <x v="43"/>
    <d v="2022-12-19T00:00:00"/>
    <n v="15"/>
    <n v="59"/>
    <n v="27"/>
    <x v="8"/>
    <n v="51"/>
    <n v="80"/>
    <n v="14"/>
    <x v="1"/>
    <n v="18"/>
    <x v="3"/>
    <n v="13"/>
    <x v="2"/>
    <n v="10"/>
    <x v="0"/>
    <x v="4"/>
  </r>
  <r>
    <x v="5"/>
    <x v="5"/>
    <x v="2"/>
    <x v="56"/>
    <d v="2023-09-15T00:00:00"/>
    <n v="10"/>
    <n v="58"/>
    <n v="28"/>
    <x v="9"/>
    <n v="48"/>
    <n v="51"/>
    <n v="13"/>
    <x v="1"/>
    <n v="16"/>
    <x v="3"/>
    <n v="11"/>
    <x v="2"/>
    <n v="8"/>
    <x v="1"/>
    <x v="5"/>
  </r>
  <r>
    <x v="0"/>
    <x v="0"/>
    <x v="0"/>
    <x v="55"/>
    <d v="2022-06-11T00:00:00"/>
    <n v="52"/>
    <n v="54"/>
    <n v="77"/>
    <x v="15"/>
    <n v="59"/>
    <n v="73"/>
    <n v="16"/>
    <x v="0"/>
    <n v="7"/>
    <x v="0"/>
    <n v="15"/>
    <x v="0"/>
    <n v="22"/>
    <x v="0"/>
    <x v="2"/>
  </r>
  <r>
    <x v="0"/>
    <x v="0"/>
    <x v="1"/>
    <x v="56"/>
    <d v="2022-10-05T00:00:00"/>
    <n v="27"/>
    <n v="56"/>
    <n v="70"/>
    <x v="11"/>
    <n v="58"/>
    <n v="58"/>
    <n v="14"/>
    <x v="0"/>
    <n v="6"/>
    <x v="0"/>
    <n v="14"/>
    <x v="0"/>
    <n v="21"/>
    <x v="0"/>
    <x v="3"/>
  </r>
  <r>
    <x v="0"/>
    <x v="0"/>
    <x v="2"/>
    <x v="66"/>
    <d v="2022-12-21T00:00:00"/>
    <n v="12"/>
    <n v="58"/>
    <n v="65"/>
    <x v="6"/>
    <n v="56"/>
    <n v="45"/>
    <n v="13"/>
    <x v="0"/>
    <n v="5.5"/>
    <x v="0"/>
    <n v="12"/>
    <x v="0"/>
    <n v="19"/>
    <x v="0"/>
    <x v="4"/>
  </r>
  <r>
    <x v="1"/>
    <x v="1"/>
    <x v="0"/>
    <x v="11"/>
    <d v="2023-09-17T00:00:00"/>
    <n v="45"/>
    <n v="89"/>
    <n v="45"/>
    <x v="4"/>
    <n v="45"/>
    <n v="31"/>
    <n v="17"/>
    <x v="1"/>
    <n v="26"/>
    <x v="0"/>
    <n v="7"/>
    <x v="1"/>
    <n v="7"/>
    <x v="1"/>
    <x v="5"/>
  </r>
  <r>
    <x v="1"/>
    <x v="1"/>
    <x v="1"/>
    <x v="46"/>
    <d v="2022-03-28T00:00:00"/>
    <n v="38"/>
    <n v="85"/>
    <n v="40"/>
    <x v="2"/>
    <n v="44"/>
    <n v="27"/>
    <n v="16"/>
    <x v="1"/>
    <n v="25"/>
    <x v="0"/>
    <n v="6.5"/>
    <x v="1"/>
    <n v="6.5"/>
    <x v="0"/>
    <x v="6"/>
  </r>
  <r>
    <x v="1"/>
    <x v="1"/>
    <x v="2"/>
    <x v="51"/>
    <d v="2022-08-11T00:00:00"/>
    <n v="25"/>
    <n v="83"/>
    <n v="35"/>
    <x v="7"/>
    <n v="43"/>
    <n v="78"/>
    <n v="15"/>
    <x v="1"/>
    <n v="23"/>
    <x v="0"/>
    <n v="7"/>
    <x v="1"/>
    <n v="5"/>
    <x v="0"/>
    <x v="7"/>
  </r>
  <r>
    <x v="4"/>
    <x v="4"/>
    <x v="0"/>
    <x v="67"/>
    <d v="2023-05-18T00:00:00"/>
    <n v="17"/>
    <n v="70.63"/>
    <n v="42"/>
    <x v="12"/>
    <n v="60"/>
    <n v="96"/>
    <n v="14.5"/>
    <x v="2"/>
    <n v="21"/>
    <x v="2"/>
    <n v="16"/>
    <x v="1"/>
    <n v="15.5"/>
    <x v="1"/>
    <x v="8"/>
  </r>
  <r>
    <x v="4"/>
    <x v="4"/>
    <x v="1"/>
    <x v="68"/>
    <d v="2022-01-17T00:00:00"/>
    <n v="9"/>
    <n v="67"/>
    <n v="27"/>
    <x v="1"/>
    <n v="56"/>
    <n v="62"/>
    <n v="12.5"/>
    <x v="2"/>
    <n v="20.5"/>
    <x v="2"/>
    <n v="14"/>
    <x v="1"/>
    <n v="13.5"/>
    <x v="0"/>
    <x v="0"/>
  </r>
  <r>
    <x v="4"/>
    <x v="4"/>
    <x v="2"/>
    <x v="63"/>
    <d v="2022-10-18T00:00:00"/>
    <n v="6"/>
    <n v="66"/>
    <n v="25"/>
    <x v="14"/>
    <n v="54"/>
    <n v="52"/>
    <n v="12"/>
    <x v="2"/>
    <n v="19"/>
    <x v="2"/>
    <n v="13"/>
    <x v="1"/>
    <n v="12"/>
    <x v="0"/>
    <x v="3"/>
  </r>
  <r>
    <x v="5"/>
    <x v="5"/>
    <x v="0"/>
    <x v="57"/>
    <d v="2023-09-15T00:00:00"/>
    <n v="20"/>
    <n v="63"/>
    <n v="26"/>
    <x v="0"/>
    <n v="53"/>
    <n v="96"/>
    <n v="15"/>
    <x v="1"/>
    <n v="19"/>
    <x v="3"/>
    <n v="14"/>
    <x v="2"/>
    <n v="11"/>
    <x v="1"/>
    <x v="5"/>
  </r>
  <r>
    <x v="5"/>
    <x v="5"/>
    <x v="1"/>
    <x v="4"/>
    <d v="2023-06-20T00:00:00"/>
    <n v="15"/>
    <n v="59"/>
    <n v="27"/>
    <x v="8"/>
    <n v="51"/>
    <n v="80"/>
    <n v="14"/>
    <x v="1"/>
    <n v="18"/>
    <x v="3"/>
    <n v="13"/>
    <x v="2"/>
    <n v="10"/>
    <x v="1"/>
    <x v="2"/>
  </r>
  <r>
    <x v="5"/>
    <x v="5"/>
    <x v="2"/>
    <x v="69"/>
    <d v="2022-11-29T00:00:00"/>
    <n v="10"/>
    <n v="58"/>
    <n v="28"/>
    <x v="9"/>
    <n v="48"/>
    <n v="51"/>
    <n v="13"/>
    <x v="1"/>
    <n v="16"/>
    <x v="3"/>
    <n v="11"/>
    <x v="2"/>
    <n v="8"/>
    <x v="0"/>
    <x v="9"/>
  </r>
  <r>
    <x v="0"/>
    <x v="0"/>
    <x v="0"/>
    <x v="70"/>
    <d v="2023-10-05T00:00:00"/>
    <n v="52"/>
    <n v="54"/>
    <n v="77"/>
    <x v="15"/>
    <n v="59"/>
    <n v="73"/>
    <n v="16"/>
    <x v="0"/>
    <n v="7"/>
    <x v="0"/>
    <n v="15"/>
    <x v="0"/>
    <n v="22"/>
    <x v="1"/>
    <x v="3"/>
  </r>
  <r>
    <x v="0"/>
    <x v="0"/>
    <x v="1"/>
    <x v="71"/>
    <d v="2022-10-28T00:00:00"/>
    <n v="27"/>
    <n v="56"/>
    <n v="70"/>
    <x v="11"/>
    <n v="58"/>
    <n v="58"/>
    <n v="14"/>
    <x v="0"/>
    <n v="6"/>
    <x v="0"/>
    <n v="14"/>
    <x v="0"/>
    <n v="21"/>
    <x v="0"/>
    <x v="3"/>
  </r>
  <r>
    <x v="0"/>
    <x v="0"/>
    <x v="2"/>
    <x v="72"/>
    <d v="2023-08-02T00:00:00"/>
    <n v="12"/>
    <n v="58"/>
    <n v="65"/>
    <x v="6"/>
    <n v="5"/>
    <n v="45"/>
    <n v="13"/>
    <x v="0"/>
    <n v="5.5"/>
    <x v="0"/>
    <n v="12"/>
    <x v="0"/>
    <n v="19"/>
    <x v="1"/>
    <x v="7"/>
  </r>
  <r>
    <x v="1"/>
    <x v="1"/>
    <x v="0"/>
    <x v="30"/>
    <d v="2022-09-09T00:00:00"/>
    <n v="45"/>
    <n v="89"/>
    <n v="45"/>
    <x v="4"/>
    <n v="45"/>
    <n v="31"/>
    <n v="17"/>
    <x v="1"/>
    <n v="26"/>
    <x v="0"/>
    <n v="7"/>
    <x v="1"/>
    <n v="7"/>
    <x v="0"/>
    <x v="5"/>
  </r>
  <r>
    <x v="1"/>
    <x v="1"/>
    <x v="1"/>
    <x v="73"/>
    <d v="2022-04-16T00:00:00"/>
    <n v="38"/>
    <n v="85"/>
    <n v="40"/>
    <x v="2"/>
    <n v="44"/>
    <n v="27"/>
    <n v="16"/>
    <x v="1"/>
    <n v="25"/>
    <x v="0"/>
    <n v="6.5"/>
    <x v="1"/>
    <n v="6.5"/>
    <x v="0"/>
    <x v="1"/>
  </r>
  <r>
    <x v="1"/>
    <x v="1"/>
    <x v="2"/>
    <x v="59"/>
    <d v="2023-12-04T00:00:00"/>
    <n v="25"/>
    <n v="83"/>
    <n v="35"/>
    <x v="7"/>
    <n v="43"/>
    <n v="78"/>
    <n v="15"/>
    <x v="1"/>
    <n v="23"/>
    <x v="0"/>
    <n v="7"/>
    <x v="1"/>
    <n v="5"/>
    <x v="1"/>
    <x v="4"/>
  </r>
  <r>
    <x v="2"/>
    <x v="2"/>
    <x v="0"/>
    <x v="5"/>
    <d v="2023-01-27T00:00:00"/>
    <n v="10"/>
    <n v="5.5"/>
    <n v="76"/>
    <x v="14"/>
    <n v="48"/>
    <n v="33"/>
    <n v="6.5"/>
    <x v="2"/>
    <n v="22"/>
    <x v="0"/>
    <n v="15"/>
    <x v="0"/>
    <n v="12"/>
    <x v="1"/>
    <x v="0"/>
  </r>
  <r>
    <x v="2"/>
    <x v="2"/>
    <x v="1"/>
    <x v="43"/>
    <d v="2023-07-09T00:00:00"/>
    <n v="12"/>
    <n v="6"/>
    <n v="75"/>
    <x v="5"/>
    <n v="45"/>
    <n v="28"/>
    <n v="5"/>
    <x v="2"/>
    <n v="21"/>
    <x v="0"/>
    <n v="14"/>
    <x v="0"/>
    <n v="11"/>
    <x v="1"/>
    <x v="10"/>
  </r>
  <r>
    <x v="2"/>
    <x v="2"/>
    <x v="2"/>
    <x v="8"/>
    <d v="2022-01-27T00:00:00"/>
    <n v="8"/>
    <n v="6.5"/>
    <n v="70"/>
    <x v="7"/>
    <n v="42"/>
    <n v="69"/>
    <n v="4.5"/>
    <x v="2"/>
    <n v="20"/>
    <x v="0"/>
    <n v="12"/>
    <x v="0"/>
    <n v="10"/>
    <x v="0"/>
    <x v="0"/>
  </r>
  <r>
    <x v="0"/>
    <x v="0"/>
    <x v="0"/>
    <x v="39"/>
    <d v="2023-11-21T00:00:00"/>
    <n v="47"/>
    <n v="54.88"/>
    <n v="77"/>
    <x v="15"/>
    <n v="61.5"/>
    <n v="76"/>
    <n v="17.100000000000001"/>
    <x v="0"/>
    <n v="6.2"/>
    <x v="0"/>
    <n v="17.399999999999999"/>
    <x v="0"/>
    <n v="22.2"/>
    <x v="1"/>
    <x v="9"/>
  </r>
  <r>
    <x v="1"/>
    <x v="1"/>
    <x v="1"/>
    <x v="74"/>
    <d v="2022-11-22T00:00:00"/>
    <n v="44"/>
    <n v="91.47"/>
    <n v="49"/>
    <x v="3"/>
    <n v="47.8"/>
    <n v="37"/>
    <n v="18"/>
    <x v="1"/>
    <n v="27.5"/>
    <x v="0"/>
    <n v="8.1"/>
    <x v="1"/>
    <n v="6.9"/>
    <x v="0"/>
    <x v="9"/>
  </r>
  <r>
    <x v="2"/>
    <x v="2"/>
    <x v="0"/>
    <x v="75"/>
    <d v="2023-05-24T00:00:00"/>
    <n v="8"/>
    <n v="6.04"/>
    <n v="78"/>
    <x v="4"/>
    <n v="48.7"/>
    <n v="39"/>
    <n v="5.8"/>
    <x v="2"/>
    <n v="23.6"/>
    <x v="0"/>
    <n v="18.399999999999999"/>
    <x v="0"/>
    <n v="11.6"/>
    <x v="1"/>
    <x v="8"/>
  </r>
  <r>
    <x v="3"/>
    <x v="3"/>
    <x v="1"/>
    <x v="76"/>
    <d v="2023-09-23T00:00:00"/>
    <n v="11"/>
    <n v="90"/>
    <n v="54"/>
    <x v="16"/>
    <n v="7.8"/>
    <n v="38"/>
    <n v="11"/>
    <x v="0"/>
    <n v="5.3"/>
    <x v="1"/>
    <n v="20.5"/>
    <x v="1"/>
    <n v="19.5"/>
    <x v="1"/>
    <x v="5"/>
  </r>
  <r>
    <x v="4"/>
    <x v="4"/>
    <x v="1"/>
    <x v="56"/>
    <d v="2023-05-30T00:00:00"/>
    <n v="14"/>
    <n v="70.63"/>
    <n v="41"/>
    <x v="8"/>
    <n v="59.4"/>
    <n v="25"/>
    <n v="15.6"/>
    <x v="2"/>
    <n v="23.7"/>
    <x v="2"/>
    <n v="15.6"/>
    <x v="1"/>
    <n v="15.1"/>
    <x v="1"/>
    <x v="8"/>
  </r>
  <r>
    <x v="0"/>
    <x v="0"/>
    <x v="0"/>
    <x v="77"/>
    <d v="2022-03-04T00:00:00"/>
    <n v="52"/>
    <n v="54"/>
    <n v="77"/>
    <x v="18"/>
    <n v="58"/>
    <n v="73"/>
    <n v="17"/>
    <x v="0"/>
    <n v="8"/>
    <x v="0"/>
    <n v="16"/>
    <x v="0"/>
    <n v="23"/>
    <x v="0"/>
    <x v="6"/>
  </r>
  <r>
    <x v="1"/>
    <x v="1"/>
    <x v="0"/>
    <x v="49"/>
    <d v="2022-03-06T00:00:00"/>
    <n v="45"/>
    <n v="89"/>
    <n v="47"/>
    <x v="16"/>
    <n v="45"/>
    <n v="32"/>
    <n v="18"/>
    <x v="1"/>
    <n v="27.5"/>
    <x v="0"/>
    <n v="9.5"/>
    <x v="1"/>
    <n v="8.5"/>
    <x v="0"/>
    <x v="6"/>
  </r>
  <r>
    <x v="2"/>
    <x v="2"/>
    <x v="1"/>
    <x v="78"/>
    <d v="2023-09-04T00:00:00"/>
    <n v="10"/>
    <n v="5.5"/>
    <n v="76"/>
    <x v="14"/>
    <n v="48"/>
    <n v="33"/>
    <n v="6.5"/>
    <x v="2"/>
    <n v="22"/>
    <x v="0"/>
    <n v="15"/>
    <x v="0"/>
    <n v="12"/>
    <x v="1"/>
    <x v="5"/>
  </r>
  <r>
    <x v="5"/>
    <x v="5"/>
    <x v="0"/>
    <x v="57"/>
    <d v="2023-11-15T00:00:00"/>
    <n v="20"/>
    <n v="63"/>
    <n v="77"/>
    <x v="0"/>
    <n v="53"/>
    <n v="96"/>
    <n v="15"/>
    <x v="1"/>
    <n v="19"/>
    <x v="3"/>
    <n v="14"/>
    <x v="2"/>
    <n v="11"/>
    <x v="1"/>
    <x v="9"/>
  </r>
  <r>
    <x v="5"/>
    <x v="5"/>
    <x v="1"/>
    <x v="4"/>
    <d v="2023-01-02T00:00:00"/>
    <n v="15"/>
    <n v="59"/>
    <n v="78"/>
    <x v="8"/>
    <n v="51"/>
    <n v="80"/>
    <n v="14"/>
    <x v="1"/>
    <n v="18"/>
    <x v="3"/>
    <n v="13"/>
    <x v="2"/>
    <n v="10"/>
    <x v="1"/>
    <x v="0"/>
  </r>
  <r>
    <x v="5"/>
    <x v="5"/>
    <x v="2"/>
    <x v="69"/>
    <d v="2022-08-15T00:00:00"/>
    <n v="10"/>
    <n v="58"/>
    <n v="79"/>
    <x v="9"/>
    <n v="48"/>
    <n v="51"/>
    <n v="13"/>
    <x v="1"/>
    <n v="16"/>
    <x v="3"/>
    <n v="11"/>
    <x v="2"/>
    <n v="8"/>
    <x v="0"/>
    <x v="7"/>
  </r>
  <r>
    <x v="4"/>
    <x v="4"/>
    <x v="0"/>
    <x v="79"/>
    <d v="2022-01-25T00:00:00"/>
    <n v="17"/>
    <n v="72"/>
    <n v="42"/>
    <x v="19"/>
    <n v="60"/>
    <n v="98"/>
    <n v="14.5"/>
    <x v="2"/>
    <n v="21"/>
    <x v="2"/>
    <n v="16"/>
    <x v="1"/>
    <n v="15.5"/>
    <x v="0"/>
    <x v="0"/>
  </r>
  <r>
    <x v="4"/>
    <x v="4"/>
    <x v="1"/>
    <x v="68"/>
    <d v="2023-03-06T00:00:00"/>
    <n v="10"/>
    <n v="67"/>
    <n v="27"/>
    <x v="14"/>
    <n v="56"/>
    <n v="62"/>
    <n v="12.5"/>
    <x v="2"/>
    <n v="20.5"/>
    <x v="2"/>
    <n v="14"/>
    <x v="1"/>
    <n v="13"/>
    <x v="1"/>
    <x v="6"/>
  </r>
  <r>
    <x v="4"/>
    <x v="4"/>
    <x v="2"/>
    <x v="69"/>
    <d v="2022-12-13T00:00:00"/>
    <n v="9"/>
    <n v="66"/>
    <n v="25"/>
    <x v="6"/>
    <n v="54"/>
    <n v="52"/>
    <n v="12"/>
    <x v="2"/>
    <n v="19"/>
    <x v="2"/>
    <n v="13"/>
    <x v="1"/>
    <n v="12"/>
    <x v="0"/>
    <x v="4"/>
  </r>
  <r>
    <x v="3"/>
    <x v="3"/>
    <x v="0"/>
    <x v="80"/>
    <d v="2022-06-17T00:00:00"/>
    <n v="15"/>
    <n v="91.5"/>
    <n v="57"/>
    <x v="1"/>
    <n v="6"/>
    <n v="38"/>
    <n v="12"/>
    <x v="0"/>
    <n v="5.5"/>
    <x v="1"/>
    <n v="20"/>
    <x v="1"/>
    <n v="18.5"/>
    <x v="0"/>
    <x v="2"/>
  </r>
  <r>
    <x v="3"/>
    <x v="3"/>
    <x v="1"/>
    <x v="7"/>
    <d v="2023-08-12T00:00:00"/>
    <n v="12"/>
    <n v="89"/>
    <n v="53"/>
    <x v="5"/>
    <m/>
    <n v="99"/>
    <n v="11.5"/>
    <x v="0"/>
    <n v="4.5"/>
    <x v="1"/>
    <n v="18"/>
    <x v="1"/>
    <n v="17"/>
    <x v="1"/>
    <x v="7"/>
  </r>
  <r>
    <x v="3"/>
    <x v="3"/>
    <x v="2"/>
    <x v="54"/>
    <d v="2023-04-27T00:00:00"/>
    <n v="10"/>
    <n v="88"/>
    <n v="45"/>
    <x v="2"/>
    <n v="64"/>
    <n v="55"/>
    <n v="10"/>
    <x v="0"/>
    <n v="4"/>
    <x v="1"/>
    <n v="16.5"/>
    <x v="1"/>
    <n v="15"/>
    <x v="1"/>
    <x v="1"/>
  </r>
  <r>
    <x v="0"/>
    <x v="0"/>
    <x v="0"/>
    <x v="57"/>
    <d v="2023-06-13T00:00:00"/>
    <n v="9"/>
    <n v="5.5"/>
    <n v="76"/>
    <x v="14"/>
    <n v="48"/>
    <n v="33"/>
    <n v="6.5"/>
    <x v="2"/>
    <n v="22"/>
    <x v="0"/>
    <n v="15"/>
    <x v="0"/>
    <n v="12"/>
    <x v="1"/>
    <x v="2"/>
  </r>
  <r>
    <x v="2"/>
    <x v="2"/>
    <x v="1"/>
    <x v="7"/>
    <d v="2022-06-05T00:00:00"/>
    <n v="12"/>
    <n v="6"/>
    <n v="75"/>
    <x v="5"/>
    <n v="45"/>
    <n v="28"/>
    <n v="5"/>
    <x v="2"/>
    <n v="21"/>
    <x v="0"/>
    <n v="14"/>
    <x v="0"/>
    <n v="11"/>
    <x v="0"/>
    <x v="2"/>
  </r>
  <r>
    <x v="2"/>
    <x v="2"/>
    <x v="2"/>
    <x v="32"/>
    <d v="2022-08-19T00:00:00"/>
    <n v="8"/>
    <n v="6.5"/>
    <n v="70"/>
    <x v="7"/>
    <n v="42"/>
    <n v="69"/>
    <n v="4.5"/>
    <x v="2"/>
    <n v="20"/>
    <x v="0"/>
    <n v="12"/>
    <x v="1"/>
    <n v="23"/>
    <x v="0"/>
    <x v="7"/>
  </r>
  <r>
    <x v="0"/>
    <x v="0"/>
    <x v="0"/>
    <x v="81"/>
    <d v="2022-08-05T00:00:00"/>
    <n v="53"/>
    <n v="54"/>
    <n v="77"/>
    <x v="18"/>
    <n v="58"/>
    <n v="73"/>
    <n v="17"/>
    <x v="0"/>
    <n v="8"/>
    <x v="0"/>
    <n v="16"/>
    <x v="0"/>
    <n v="23"/>
    <x v="0"/>
    <x v="7"/>
  </r>
  <r>
    <x v="0"/>
    <x v="0"/>
    <x v="1"/>
    <x v="44"/>
    <d v="2023-07-20T00:00:00"/>
    <n v="30"/>
    <n v="56"/>
    <n v="72"/>
    <x v="8"/>
    <n v="57"/>
    <n v="62"/>
    <n v="15.5"/>
    <x v="0"/>
    <n v="7.5"/>
    <x v="0"/>
    <n v="15"/>
    <x v="0"/>
    <n v="21.5"/>
    <x v="1"/>
    <x v="10"/>
  </r>
  <r>
    <x v="0"/>
    <x v="0"/>
    <x v="2"/>
    <x v="51"/>
    <d v="2023-06-24T00:00:00"/>
    <n v="12"/>
    <n v="58"/>
    <n v="67"/>
    <x v="16"/>
    <n v="15"/>
    <n v="46"/>
    <n v="14"/>
    <x v="0"/>
    <n v="6"/>
    <x v="0"/>
    <n v="13.5"/>
    <x v="0"/>
    <n v="20"/>
    <x v="1"/>
    <x v="2"/>
  </r>
  <r>
    <x v="1"/>
    <x v="1"/>
    <x v="0"/>
    <x v="28"/>
    <d v="2022-06-29T00:00:00"/>
    <n v="47"/>
    <n v="90"/>
    <n v="47"/>
    <x v="16"/>
    <n v="45"/>
    <n v="32"/>
    <n v="18"/>
    <x v="1"/>
    <n v="27.5"/>
    <x v="0"/>
    <n v="9.5"/>
    <x v="1"/>
    <n v="8.5"/>
    <x v="0"/>
    <x v="2"/>
  </r>
  <r>
    <x v="1"/>
    <x v="1"/>
    <x v="1"/>
    <x v="46"/>
    <d v="2022-03-11T00:00:00"/>
    <n v="39"/>
    <n v="87"/>
    <n v="41"/>
    <x v="7"/>
    <n v="44"/>
    <n v="27"/>
    <n v="17"/>
    <x v="1"/>
    <n v="26"/>
    <x v="0"/>
    <n v="8"/>
    <x v="1"/>
    <n v="7.5"/>
    <x v="0"/>
    <x v="6"/>
  </r>
  <r>
    <x v="1"/>
    <x v="1"/>
    <x v="2"/>
    <x v="43"/>
    <d v="2022-09-08T00:00:00"/>
    <n v="25"/>
    <n v="85"/>
    <n v="35"/>
    <x v="7"/>
    <n v="43"/>
    <n v="78"/>
    <n v="16.5"/>
    <x v="1"/>
    <n v="25"/>
    <x v="0"/>
    <n v="7"/>
    <x v="1"/>
    <n v="6"/>
    <x v="0"/>
    <x v="5"/>
  </r>
  <r>
    <x v="2"/>
    <x v="2"/>
    <x v="0"/>
    <x v="5"/>
    <d v="2023-10-09T00:00:00"/>
    <n v="10"/>
    <n v="5.5"/>
    <n v="76"/>
    <x v="14"/>
    <n v="48"/>
    <n v="33"/>
    <n v="6.5"/>
    <x v="2"/>
    <n v="22"/>
    <x v="0"/>
    <n v="15"/>
    <x v="0"/>
    <n v="12"/>
    <x v="1"/>
    <x v="3"/>
  </r>
  <r>
    <x v="2"/>
    <x v="2"/>
    <x v="1"/>
    <x v="13"/>
    <d v="2023-08-26T00:00:00"/>
    <n v="12"/>
    <n v="6"/>
    <n v="75"/>
    <x v="5"/>
    <n v="45"/>
    <n v="28"/>
    <n v="6"/>
    <x v="2"/>
    <n v="21"/>
    <x v="0"/>
    <n v="14"/>
    <x v="0"/>
    <n v="11"/>
    <x v="1"/>
    <x v="7"/>
  </r>
  <r>
    <x v="2"/>
    <x v="2"/>
    <x v="2"/>
    <x v="82"/>
    <d v="2023-02-08T00:00:00"/>
    <n v="8"/>
    <n v="6.5"/>
    <n v="70"/>
    <x v="7"/>
    <n v="42"/>
    <n v="69"/>
    <n v="5.5"/>
    <x v="2"/>
    <n v="20"/>
    <x v="0"/>
    <n v="12"/>
    <x v="0"/>
    <n v="10"/>
    <x v="1"/>
    <x v="11"/>
  </r>
  <r>
    <x v="3"/>
    <x v="3"/>
    <x v="0"/>
    <x v="74"/>
    <d v="2022-06-28T00:00:00"/>
    <n v="15"/>
    <n v="91.5"/>
    <n v="57"/>
    <x v="1"/>
    <n v="7"/>
    <n v="38"/>
    <n v="12"/>
    <x v="0"/>
    <n v="5.5"/>
    <x v="1"/>
    <n v="20"/>
    <x v="1"/>
    <n v="18.5"/>
    <x v="0"/>
    <x v="2"/>
  </r>
  <r>
    <x v="3"/>
    <x v="3"/>
    <x v="1"/>
    <x v="7"/>
    <d v="2022-11-03T00:00:00"/>
    <n v="12"/>
    <n v="89"/>
    <n v="53"/>
    <x v="5"/>
    <n v="66"/>
    <n v="99"/>
    <n v="11.5"/>
    <x v="0"/>
    <n v="4.5"/>
    <x v="1"/>
    <n v="18"/>
    <x v="1"/>
    <n v="17"/>
    <x v="0"/>
    <x v="9"/>
  </r>
  <r>
    <x v="3"/>
    <x v="3"/>
    <x v="2"/>
    <x v="70"/>
    <d v="2022-07-06T00:00:00"/>
    <n v="10"/>
    <n v="88"/>
    <n v="45"/>
    <x v="2"/>
    <n v="64"/>
    <n v="55"/>
    <n v="10"/>
    <x v="0"/>
    <n v="4"/>
    <x v="1"/>
    <n v="16.5"/>
    <x v="1"/>
    <n v="15"/>
    <x v="0"/>
    <x v="10"/>
  </r>
  <r>
    <x v="4"/>
    <x v="4"/>
    <x v="0"/>
    <x v="59"/>
    <d v="2022-12-14T00:00:00"/>
    <n v="18"/>
    <n v="72"/>
    <n v="42"/>
    <x v="19"/>
    <n v="60"/>
    <n v="98"/>
    <n v="14.5"/>
    <x v="2"/>
    <n v="21"/>
    <x v="2"/>
    <n v="16"/>
    <x v="1"/>
    <n v="15.5"/>
    <x v="0"/>
    <x v="4"/>
  </r>
  <r>
    <x v="4"/>
    <x v="4"/>
    <x v="1"/>
    <x v="83"/>
    <d v="2023-01-24T00:00:00"/>
    <n v="10"/>
    <n v="67"/>
    <n v="27"/>
    <x v="14"/>
    <n v="56"/>
    <n v="62"/>
    <n v="12.5"/>
    <x v="2"/>
    <n v="20.5"/>
    <x v="2"/>
    <n v="14"/>
    <x v="1"/>
    <n v="13"/>
    <x v="1"/>
    <x v="0"/>
  </r>
  <r>
    <x v="4"/>
    <x v="4"/>
    <x v="2"/>
    <x v="84"/>
    <d v="2023-01-02T00:00:00"/>
    <n v="9"/>
    <n v="66"/>
    <n v="25"/>
    <x v="6"/>
    <n v="54"/>
    <n v="52"/>
    <n v="12"/>
    <x v="2"/>
    <n v="19"/>
    <x v="2"/>
    <n v="13"/>
    <x v="1"/>
    <n v="12"/>
    <x v="1"/>
    <x v="0"/>
  </r>
  <r>
    <x v="1"/>
    <x v="1"/>
    <x v="1"/>
    <x v="5"/>
    <d v="2022-02-06T00:00:00"/>
    <n v="32"/>
    <n v="85.3"/>
    <n v="35"/>
    <x v="13"/>
    <n v="45"/>
    <n v="29"/>
    <n v="17.5"/>
    <x v="1"/>
    <n v="26"/>
    <x v="0"/>
    <n v="7.5"/>
    <x v="1"/>
    <n v="6.3"/>
    <x v="0"/>
    <x v="11"/>
  </r>
  <r>
    <x v="2"/>
    <x v="2"/>
    <x v="2"/>
    <x v="72"/>
    <d v="2022-02-06T00:00:00"/>
    <n v="8"/>
    <n v="6.5"/>
    <n v="70"/>
    <x v="7"/>
    <n v="42"/>
    <n v="69"/>
    <n v="5.5"/>
    <x v="2"/>
    <n v="20"/>
    <x v="0"/>
    <n v="12"/>
    <x v="0"/>
    <n v="10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13D9E-4A83-4F36-949C-A318E560BA90}" name="PivotTable1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P6:AQ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>
      <items count="3">
        <item x="2"/>
        <item x="1"/>
        <item x="0"/>
      </items>
    </pivotField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showAll="0" defaultSubtotal="0"/>
    <pivotField showAll="0" defaultSubtotal="0">
      <items count="4">
        <item x="1"/>
        <item x="0"/>
        <item x="2"/>
        <item x="3"/>
      </items>
    </pivotField>
    <pivotField showAll="0" defaultSubtotal="0"/>
    <pivotField axis="axisRow" showAll="0" defaultSubtotal="0">
      <items count="3">
        <item x="1"/>
        <item x="2"/>
        <item x="0"/>
      </items>
    </pivotField>
    <pivotField dataField="1" showAll="0" defaultSubtotal="0"/>
    <pivotField showAll="0" defaultSubtotal="0"/>
    <pivotField showAll="0" defaultSubtotal="0">
      <items count="12">
        <item x="0"/>
        <item x="11"/>
        <item x="6"/>
        <item x="1"/>
        <item x="8"/>
        <item x="2"/>
        <item x="10"/>
        <item x="7"/>
        <item x="5"/>
        <item x="3"/>
        <item x="9"/>
        <item x="4"/>
      </items>
    </pivotField>
  </pivotFields>
  <rowFields count="1">
    <field x="16"/>
  </rowFields>
  <rowItems count="3">
    <i>
      <x/>
    </i>
    <i>
      <x v="1"/>
    </i>
    <i>
      <x v="2"/>
    </i>
  </rowItems>
  <colItems count="1">
    <i/>
  </colItems>
  <dataFields count="1">
    <dataField name="Average of Conversion % (Page)" fld="17" subtotal="average" baseField="16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A9556-9643-478E-9F69-13981A247874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R6:S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axis="axisRow" showAll="0" defaultSubtotal="0">
      <items count="3">
        <item x="2"/>
        <item x="1"/>
        <item x="0"/>
      </items>
    </pivotField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um of Visitor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447A7-7D21-403A-BC1A-85C735BD9E65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H6:I12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Visitor Count" fld="3" showDataAs="percentOfTotal" baseField="0" baseItem="0" numFmtId="9"/>
  </dataFields>
  <formats count="1">
    <format dxfId="2">
      <pivotArea outline="0" collapsedLevelsAreSubtotals="1" fieldPosition="0"/>
    </format>
  </formats>
  <chartFormats count="7"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E74BF-0606-4C03-90E1-F4F8D7A7BDC5}" name="PivotTable1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K6:AL10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>
      <items count="3">
        <item x="2"/>
        <item x="1"/>
        <item x="0"/>
      </items>
    </pivotField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1"/>
        <item x="2"/>
        <item x="0"/>
      </items>
    </pivotField>
    <pivotField showAll="0" defaultSubtotal="0"/>
    <pivotField axis="axisRow" showAll="0" defaultSubtotal="0">
      <items count="4">
        <item x="1"/>
        <item x="0"/>
        <item x="2"/>
        <item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>
      <items count="12">
        <item x="0"/>
        <item x="11"/>
        <item x="6"/>
        <item x="1"/>
        <item x="8"/>
        <item x="2"/>
        <item x="10"/>
        <item x="7"/>
        <item x="5"/>
        <item x="3"/>
        <item x="9"/>
        <item x="4"/>
      </items>
    </pivotField>
  </pivotFields>
  <rowFields count="1">
    <field x="1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onversion % (Campaign)" fld="15" subtotal="average" baseField="14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6B4C7-D3B7-4BA3-A194-621A6204594D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N17:O23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Bounce Rate" fld="9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77BBF-A2C0-4DA0-A7D7-9311137E4BC7}" name="PivotTable1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F6:AG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>
      <items count="3">
        <item x="2"/>
        <item x="1"/>
        <item x="0"/>
      </items>
    </pivotField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1"/>
        <item x="2"/>
        <item x="0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12">
        <item x="0"/>
        <item x="11"/>
        <item x="6"/>
        <item x="1"/>
        <item x="8"/>
        <item x="2"/>
        <item x="10"/>
        <item x="7"/>
        <item x="5"/>
        <item x="3"/>
        <item x="9"/>
        <item x="4"/>
      </items>
    </pivotField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Average of Conversion % (Channel)" fld="13" subtotal="average" baseField="12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12597-97A3-4981-97ED-0B4E1C83184F}" name="PivotTable1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A11" firstHeaderRow="1" firstDataRow="1" firstDataCol="0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dataField="1" showAll="0" defaultSubtotal="0">
      <items count="20">
        <item x="13"/>
        <item x="3"/>
        <item x="17"/>
        <item x="2"/>
        <item x="7"/>
        <item x="5"/>
        <item x="4"/>
        <item x="16"/>
        <item x="6"/>
        <item x="14"/>
        <item x="9"/>
        <item x="1"/>
        <item x="11"/>
        <item x="8"/>
        <item x="19"/>
        <item x="10"/>
        <item x="12"/>
        <item x="0"/>
        <item x="15"/>
        <item x="1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Average of Pages Per Visit" fld="8" subtotal="average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E7584-4A4F-474E-B2BE-8FF7A41B948F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17:F23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 Page View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EBF2F-2B43-4AD5-913A-096D0C89336B}" name="PivotTable1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7:A8" firstHeaderRow="1" firstDataRow="1" firstDataCol="0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Sum of Total Page View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0F658-3B43-452B-98D5-49E58B0501CA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E6:F12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2">
        <item x="0"/>
        <item x="1"/>
      </items>
    </pivotField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Visitor Count" fld="3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B1302-F025-4435-B0D4-96BF95EDD9FC}" name="PivotTable7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N6:O13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oal Conversion Rate %" fld="1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13C74-70CD-439A-851A-710B30B1CEFB}" name="PivotTable12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B6:AC1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>
      <items count="3">
        <item x="2"/>
        <item x="1"/>
        <item x="0"/>
      </items>
    </pivotField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2">
        <item x="0"/>
        <item x="11"/>
        <item x="6"/>
        <item x="1"/>
        <item x="8"/>
        <item x="2"/>
        <item x="10"/>
        <item x="7"/>
        <item x="5"/>
        <item x="3"/>
        <item x="9"/>
        <item x="4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ounce Rate" fld="9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7CD6B-3579-4BDF-B075-681D605F5639}" name="PivotTable1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A5" firstHeaderRow="1" firstDataRow="1" firstDataCol="0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Sum of Visitor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71899-473B-455D-B9FA-B7E93812145D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17:L23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Pages Per Visit" fld="8" subtotal="average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E55F1-A5E5-458E-91CE-EBF2BACBCE47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6:Z1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>
      <items count="3">
        <item x="2"/>
        <item x="1"/>
        <item x="0"/>
      </items>
    </pivotField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2">
        <item x="0"/>
        <item x="11"/>
        <item x="6"/>
        <item x="1"/>
        <item x="8"/>
        <item x="2"/>
        <item x="10"/>
        <item x="7"/>
        <item x="5"/>
        <item x="3"/>
        <item x="9"/>
        <item x="4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Visitor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7946E-91AC-4283-92C6-C91B0E8E1042}" name="PivotTable5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K6:L13" firstHeaderRow="1" firstDataRow="1" firstDataCol="1"/>
  <pivotFields count="20">
    <pivotField axis="axisRow"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showAll="0" defaultSubtotal="0"/>
    <pivotField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g. Session Duration (sec)" fld="7" subtotal="average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E1CF2-351E-4C40-A299-FE29C70111BD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U6:V9" firstHeaderRow="1" firstDataRow="1" firstDataCol="1"/>
  <pivotFields count="20">
    <pivotField showAll="0" defaultSubtotal="0">
      <items count="6">
        <item x="3"/>
        <item x="1"/>
        <item x="5"/>
        <item x="2"/>
        <item x="4"/>
        <item x="0"/>
      </items>
    </pivotField>
    <pivotField showAll="0" defaultSubtotal="0">
      <items count="6">
        <item x="4"/>
        <item x="2"/>
        <item x="5"/>
        <item x="1"/>
        <item x="3"/>
        <item x="0"/>
      </items>
    </pivotField>
    <pivotField axis="axisRow" showAll="0" defaultSubtotal="0">
      <items count="3">
        <item x="2"/>
        <item x="1"/>
        <item x="0"/>
      </items>
    </pivotField>
    <pivotField dataField="1" showAll="0" defaultSubtotal="0">
      <items count="85">
        <item x="62"/>
        <item x="56"/>
        <item x="48"/>
        <item x="69"/>
        <item x="60"/>
        <item x="41"/>
        <item x="66"/>
        <item x="32"/>
        <item x="34"/>
        <item x="9"/>
        <item x="15"/>
        <item x="42"/>
        <item x="84"/>
        <item x="65"/>
        <item x="83"/>
        <item x="64"/>
        <item x="79"/>
        <item x="59"/>
        <item x="51"/>
        <item x="36"/>
        <item x="18"/>
        <item x="10"/>
        <item x="17"/>
        <item x="7"/>
        <item x="43"/>
        <item x="4"/>
        <item x="13"/>
        <item x="45"/>
        <item x="57"/>
        <item x="5"/>
        <item x="37"/>
        <item x="12"/>
        <item x="3"/>
        <item x="27"/>
        <item x="11"/>
        <item x="30"/>
        <item x="2"/>
        <item x="28"/>
        <item x="23"/>
        <item x="0"/>
        <item x="75"/>
        <item x="55"/>
        <item x="70"/>
        <item x="35"/>
        <item x="81"/>
        <item x="50"/>
        <item x="39"/>
        <item x="52"/>
        <item x="80"/>
        <item x="76"/>
        <item x="74"/>
        <item x="20"/>
        <item x="24"/>
        <item x="71"/>
        <item x="25"/>
        <item x="72"/>
        <item x="31"/>
        <item x="61"/>
        <item x="8"/>
        <item x="54"/>
        <item x="68"/>
        <item x="67"/>
        <item x="82"/>
        <item x="63"/>
        <item x="1"/>
        <item x="58"/>
        <item x="49"/>
        <item x="53"/>
        <item x="38"/>
        <item x="16"/>
        <item x="29"/>
        <item x="73"/>
        <item x="46"/>
        <item x="33"/>
        <item x="14"/>
        <item x="6"/>
        <item x="44"/>
        <item x="77"/>
        <item x="47"/>
        <item x="26"/>
        <item x="78"/>
        <item x="19"/>
        <item x="40"/>
        <item x="21"/>
        <item x="22"/>
      </items>
    </pivotField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um of Visitor Count" fld="3" showDataAs="percentOfTotal" baseField="0" baseItem="0" numFmtId="9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4A473-5F98-4996-BBCA-DB56043C58B8}" name="Table1" displayName="Table1" ref="A1:T196" totalsRowShown="0">
  <autoFilter ref="A1:T196" xr:uid="{6624A473-5F98-4996-BBCA-DB56043C58B8}"/>
  <tableColumns count="20">
    <tableColumn id="1" xr3:uid="{29800FD4-17D3-4B7C-AE60-0609F8DF6CCA}" name="Traffic Source Type"/>
    <tableColumn id="2" xr3:uid="{85A35DD8-2BF3-454D-88A6-991A14CA148F}" name="Traffic Source %"/>
    <tableColumn id="3" xr3:uid="{82AE909D-06D7-4285-A4E3-B57DAA926223}" name="Visitor Type"/>
    <tableColumn id="4" xr3:uid="{BB7C1232-3F0C-472A-A893-01D679B8ADD5}" name="Visitor Count"/>
    <tableColumn id="5" xr3:uid="{E1117800-C093-4673-BA14-467D4B7AB892}" name="Visitor Date" dataDxfId="13"/>
    <tableColumn id="6" xr3:uid="{CAB4AC85-E1F9-4BA3-8F2A-A5932FA6B495}" name="Visits (in thousands)"/>
    <tableColumn id="7" xr3:uid="{F28A923B-AFBC-409B-AD10-06286075584C}" name="Bounce Rate %"/>
    <tableColumn id="8" xr3:uid="{1CAB373E-5AA7-4220-9F2C-DEFED9DBBDC5}" name="Avg. Session Duration (sec)"/>
    <tableColumn id="9" xr3:uid="{BC42000E-A60B-4A0C-A7C5-D9AA3EC4391E}" name="Pages Per Visit"/>
    <tableColumn id="10" xr3:uid="{5E012256-DC59-4F27-81AB-64C47E61C1F5}" name="Bounce Rate"/>
    <tableColumn id="11" xr3:uid="{6E1DA1F0-E245-43E3-86D5-12DBD25E6D02}" name="Total Page Views"/>
    <tableColumn id="12" xr3:uid="{3E3EE3B0-A9B7-4317-9778-0DA35C3814F9}" name="Goal Conversion Rate %"/>
    <tableColumn id="13" xr3:uid="{85017978-16BF-4B36-BFB5-4AB74D0E85C9}" name="Channel"/>
    <tableColumn id="14" xr3:uid="{D9F87338-A21C-4BCC-9FDE-438CEB2750B8}" name="Conversion % (Channel)"/>
    <tableColumn id="15" xr3:uid="{070F6D1D-C2FE-4F6C-919A-A08972AA8B15}" name="Campaign Name"/>
    <tableColumn id="16" xr3:uid="{641E96C5-F887-4D42-B463-1B101930271A}" name="Conversion % (Campaign)"/>
    <tableColumn id="17" xr3:uid="{549CE3C3-8FDB-44D8-B7F2-1199C4B83C84}" name="Page Name"/>
    <tableColumn id="18" xr3:uid="{7A5BF8A9-E4F4-409F-8D74-56F3E118EC30}" name="Conversion % (Page)"/>
    <tableColumn id="19" xr3:uid="{8D70A6EB-7489-4288-8F8A-E199FEFEBAF3}" name="Year" dataDxfId="12">
      <calculatedColumnFormula>YEAR(Table1[[#This Row],[Visitor Date]])</calculatedColumnFormula>
    </tableColumn>
    <tableColumn id="20" xr3:uid="{F91061E7-967A-4818-9176-CA6BD021EE14}" name="Month" dataDxfId="11">
      <calculatedColumnFormula>TEXT(Table1[[#This Row],[Visitor Date]],"mmm")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E049-AFCD-43C5-80D6-545D58F18D6D}">
  <dimension ref="A1:T196"/>
  <sheetViews>
    <sheetView showGridLines="0" topLeftCell="K1" workbookViewId="0">
      <selection activeCell="G2" sqref="G2"/>
    </sheetView>
  </sheetViews>
  <sheetFormatPr defaultRowHeight="15" x14ac:dyDescent="0.25"/>
  <cols>
    <col min="1" max="1" width="20.28515625" customWidth="1"/>
    <col min="2" max="2" width="17.5703125" customWidth="1"/>
    <col min="3" max="3" width="13.7109375" customWidth="1"/>
    <col min="4" max="4" width="15" customWidth="1"/>
    <col min="5" max="5" width="13.7109375" style="1" customWidth="1"/>
    <col min="6" max="6" width="21.5703125" customWidth="1"/>
    <col min="7" max="7" width="16.42578125" customWidth="1"/>
    <col min="8" max="8" width="27.7109375" customWidth="1"/>
    <col min="9" max="9" width="16.28515625" customWidth="1"/>
    <col min="10" max="10" width="14.42578125" customWidth="1"/>
    <col min="11" max="11" width="18" customWidth="1"/>
    <col min="12" max="12" width="24.7109375" customWidth="1"/>
    <col min="13" max="13" width="11.42578125" bestFit="1" customWidth="1"/>
    <col min="14" max="14" width="25" customWidth="1"/>
    <col min="15" max="15" width="17.85546875" customWidth="1"/>
    <col min="16" max="16" width="26.42578125" customWidth="1"/>
    <col min="17" max="17" width="13.140625" customWidth="1"/>
    <col min="18" max="18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36</v>
      </c>
      <c r="T1" t="s">
        <v>37</v>
      </c>
    </row>
    <row r="2" spans="1:20" x14ac:dyDescent="0.25">
      <c r="A2" t="s">
        <v>18</v>
      </c>
      <c r="B2">
        <v>91</v>
      </c>
      <c r="C2" t="s">
        <v>19</v>
      </c>
      <c r="D2">
        <v>52</v>
      </c>
      <c r="E2" s="1">
        <v>44570</v>
      </c>
      <c r="F2">
        <v>53</v>
      </c>
      <c r="G2">
        <v>54.88</v>
      </c>
      <c r="H2">
        <v>77</v>
      </c>
      <c r="I2">
        <v>4.3</v>
      </c>
      <c r="J2">
        <v>61.5</v>
      </c>
      <c r="K2">
        <v>69</v>
      </c>
      <c r="L2">
        <v>17.100000000000001</v>
      </c>
      <c r="M2" t="s">
        <v>20</v>
      </c>
      <c r="N2">
        <v>6.2</v>
      </c>
      <c r="O2" t="s">
        <v>21</v>
      </c>
      <c r="P2">
        <v>17.399999999999999</v>
      </c>
      <c r="Q2" t="s">
        <v>22</v>
      </c>
      <c r="R2">
        <v>22.2</v>
      </c>
      <c r="S2">
        <f>YEAR(Table1[[#This Row],[Visitor Date]])</f>
        <v>2022</v>
      </c>
      <c r="T2" t="str">
        <f>TEXT(Table1[[#This Row],[Visitor Date]],"mmm")</f>
        <v>Jan</v>
      </c>
    </row>
    <row r="3" spans="1:20" x14ac:dyDescent="0.25">
      <c r="A3" t="s">
        <v>18</v>
      </c>
      <c r="B3">
        <v>91</v>
      </c>
      <c r="C3" t="s">
        <v>23</v>
      </c>
      <c r="D3">
        <v>125</v>
      </c>
      <c r="E3" s="1">
        <v>44674</v>
      </c>
      <c r="F3">
        <v>30</v>
      </c>
      <c r="G3">
        <v>56.3</v>
      </c>
      <c r="H3">
        <v>73</v>
      </c>
      <c r="I3">
        <v>3.7</v>
      </c>
      <c r="J3">
        <v>59.2</v>
      </c>
      <c r="K3">
        <v>56</v>
      </c>
      <c r="L3">
        <v>16</v>
      </c>
      <c r="M3" t="s">
        <v>20</v>
      </c>
      <c r="N3">
        <v>6</v>
      </c>
      <c r="O3" t="s">
        <v>21</v>
      </c>
      <c r="P3">
        <v>16.8</v>
      </c>
      <c r="Q3" t="s">
        <v>22</v>
      </c>
      <c r="R3">
        <v>21.5</v>
      </c>
      <c r="S3">
        <f>YEAR(Table1[[#This Row],[Visitor Date]])</f>
        <v>2022</v>
      </c>
      <c r="T3" t="str">
        <f>TEXT(Table1[[#This Row],[Visitor Date]],"mmm")</f>
        <v>Apr</v>
      </c>
    </row>
    <row r="4" spans="1:20" x14ac:dyDescent="0.25">
      <c r="A4" t="s">
        <v>24</v>
      </c>
      <c r="B4">
        <v>44</v>
      </c>
      <c r="C4" t="s">
        <v>19</v>
      </c>
      <c r="D4">
        <v>45</v>
      </c>
      <c r="E4" s="1">
        <v>44721</v>
      </c>
      <c r="F4">
        <v>50</v>
      </c>
      <c r="G4">
        <v>91.47</v>
      </c>
      <c r="H4">
        <v>49</v>
      </c>
      <c r="I4">
        <v>2.9</v>
      </c>
      <c r="J4">
        <v>47.8</v>
      </c>
      <c r="K4">
        <v>33</v>
      </c>
      <c r="L4">
        <v>18</v>
      </c>
      <c r="M4" t="s">
        <v>24</v>
      </c>
      <c r="N4">
        <v>27.5</v>
      </c>
      <c r="O4" t="s">
        <v>21</v>
      </c>
      <c r="P4">
        <v>8.1</v>
      </c>
      <c r="Q4" t="s">
        <v>25</v>
      </c>
      <c r="R4">
        <v>6.9</v>
      </c>
      <c r="S4">
        <f>YEAR(Table1[[#This Row],[Visitor Date]])</f>
        <v>2022</v>
      </c>
      <c r="T4" t="str">
        <f>TEXT(Table1[[#This Row],[Visitor Date]],"mmm")</f>
        <v>Jun</v>
      </c>
    </row>
    <row r="5" spans="1:20" x14ac:dyDescent="0.25">
      <c r="A5" t="s">
        <v>24</v>
      </c>
      <c r="B5">
        <v>44</v>
      </c>
      <c r="C5" t="s">
        <v>23</v>
      </c>
      <c r="D5">
        <v>39</v>
      </c>
      <c r="E5" s="1">
        <v>44837</v>
      </c>
      <c r="F5">
        <v>42</v>
      </c>
      <c r="G5">
        <v>85.3</v>
      </c>
      <c r="H5">
        <v>35</v>
      </c>
      <c r="I5">
        <v>2.7</v>
      </c>
      <c r="J5">
        <v>45</v>
      </c>
      <c r="K5">
        <v>28</v>
      </c>
      <c r="L5">
        <v>17.5</v>
      </c>
      <c r="M5" t="s">
        <v>24</v>
      </c>
      <c r="N5">
        <v>26</v>
      </c>
      <c r="O5" t="s">
        <v>21</v>
      </c>
      <c r="P5">
        <v>7.5</v>
      </c>
      <c r="Q5" t="s">
        <v>25</v>
      </c>
      <c r="R5">
        <v>6.3</v>
      </c>
      <c r="S5">
        <f>YEAR(Table1[[#This Row],[Visitor Date]])</f>
        <v>2022</v>
      </c>
      <c r="T5" t="str">
        <f>TEXT(Table1[[#This Row],[Visitor Date]],"mmm")</f>
        <v>Oct</v>
      </c>
    </row>
    <row r="6" spans="1:20" x14ac:dyDescent="0.25">
      <c r="A6" t="s">
        <v>26</v>
      </c>
      <c r="B6">
        <v>26</v>
      </c>
      <c r="C6" t="s">
        <v>19</v>
      </c>
      <c r="D6">
        <v>30</v>
      </c>
      <c r="E6" s="1">
        <v>44914</v>
      </c>
      <c r="F6">
        <v>9</v>
      </c>
      <c r="G6">
        <v>6.04</v>
      </c>
      <c r="H6">
        <v>78</v>
      </c>
      <c r="I6">
        <v>3.2</v>
      </c>
      <c r="J6">
        <v>48.7</v>
      </c>
      <c r="K6">
        <v>35</v>
      </c>
      <c r="L6">
        <v>5.8</v>
      </c>
      <c r="M6" t="s">
        <v>27</v>
      </c>
      <c r="N6">
        <v>23.6</v>
      </c>
      <c r="O6" t="s">
        <v>21</v>
      </c>
      <c r="P6">
        <v>18.399999999999999</v>
      </c>
      <c r="Q6" t="s">
        <v>22</v>
      </c>
      <c r="R6">
        <v>11.6</v>
      </c>
      <c r="S6">
        <f>YEAR(Table1[[#This Row],[Visitor Date]])</f>
        <v>2022</v>
      </c>
      <c r="T6" t="str">
        <f>TEXT(Table1[[#This Row],[Visitor Date]],"mmm")</f>
        <v>Dec</v>
      </c>
    </row>
    <row r="7" spans="1:20" x14ac:dyDescent="0.25">
      <c r="A7" t="s">
        <v>26</v>
      </c>
      <c r="B7">
        <v>26</v>
      </c>
      <c r="C7" t="s">
        <v>23</v>
      </c>
      <c r="D7">
        <v>35</v>
      </c>
      <c r="E7" s="1">
        <v>45184</v>
      </c>
      <c r="F7">
        <v>14</v>
      </c>
      <c r="G7">
        <v>7.5</v>
      </c>
      <c r="H7">
        <v>75</v>
      </c>
      <c r="I7">
        <v>3.1</v>
      </c>
      <c r="J7">
        <v>46.2</v>
      </c>
      <c r="K7">
        <v>29</v>
      </c>
      <c r="L7">
        <v>5.5</v>
      </c>
      <c r="M7" t="s">
        <v>27</v>
      </c>
      <c r="N7">
        <v>22</v>
      </c>
      <c r="O7" t="s">
        <v>21</v>
      </c>
      <c r="P7">
        <v>16.7</v>
      </c>
      <c r="Q7" t="s">
        <v>22</v>
      </c>
      <c r="R7">
        <v>10.8</v>
      </c>
      <c r="S7">
        <f>YEAR(Table1[[#This Row],[Visitor Date]])</f>
        <v>2023</v>
      </c>
      <c r="T7" t="str">
        <f>TEXT(Table1[[#This Row],[Visitor Date]],"mmm")</f>
        <v>Sep</v>
      </c>
    </row>
    <row r="8" spans="1:20" x14ac:dyDescent="0.25">
      <c r="A8" t="s">
        <v>28</v>
      </c>
      <c r="B8">
        <v>68</v>
      </c>
      <c r="C8" t="s">
        <v>19</v>
      </c>
      <c r="D8">
        <v>155</v>
      </c>
      <c r="E8" s="1">
        <v>44646</v>
      </c>
      <c r="F8">
        <v>15</v>
      </c>
      <c r="G8">
        <v>90</v>
      </c>
      <c r="H8">
        <v>54</v>
      </c>
      <c r="I8">
        <v>3.4</v>
      </c>
      <c r="J8">
        <v>67.8</v>
      </c>
      <c r="K8">
        <v>34</v>
      </c>
      <c r="L8">
        <v>11</v>
      </c>
      <c r="M8" t="s">
        <v>20</v>
      </c>
      <c r="N8">
        <v>5.3</v>
      </c>
      <c r="O8" t="s">
        <v>29</v>
      </c>
      <c r="P8">
        <v>20.5</v>
      </c>
      <c r="Q8" t="s">
        <v>25</v>
      </c>
      <c r="R8">
        <v>19.5</v>
      </c>
      <c r="S8">
        <f>YEAR(Table1[[#This Row],[Visitor Date]])</f>
        <v>2022</v>
      </c>
      <c r="T8" t="str">
        <f>TEXT(Table1[[#This Row],[Visitor Date]],"mmm")</f>
        <v>Mar</v>
      </c>
    </row>
    <row r="9" spans="1:20" x14ac:dyDescent="0.25">
      <c r="A9" t="s">
        <v>28</v>
      </c>
      <c r="B9">
        <v>68</v>
      </c>
      <c r="C9" t="s">
        <v>23</v>
      </c>
      <c r="D9">
        <v>28</v>
      </c>
      <c r="E9" s="1">
        <v>44782</v>
      </c>
      <c r="F9">
        <v>10</v>
      </c>
      <c r="G9">
        <v>88</v>
      </c>
      <c r="H9">
        <v>50</v>
      </c>
      <c r="I9">
        <v>3</v>
      </c>
      <c r="J9">
        <v>4</v>
      </c>
      <c r="K9">
        <v>28</v>
      </c>
      <c r="L9">
        <v>10.199999999999999</v>
      </c>
      <c r="M9" t="s">
        <v>20</v>
      </c>
      <c r="N9">
        <v>4.8</v>
      </c>
      <c r="O9" t="s">
        <v>29</v>
      </c>
      <c r="P9">
        <v>19.7</v>
      </c>
      <c r="Q9" t="s">
        <v>25</v>
      </c>
      <c r="R9">
        <v>18</v>
      </c>
      <c r="S9">
        <f>YEAR(Table1[[#This Row],[Visitor Date]])</f>
        <v>2022</v>
      </c>
      <c r="T9" t="str">
        <f>TEXT(Table1[[#This Row],[Visitor Date]],"mmm")</f>
        <v>Aug</v>
      </c>
    </row>
    <row r="10" spans="1:20" x14ac:dyDescent="0.25">
      <c r="A10" t="s">
        <v>30</v>
      </c>
      <c r="B10">
        <v>14</v>
      </c>
      <c r="C10" t="s">
        <v>19</v>
      </c>
      <c r="D10">
        <v>114</v>
      </c>
      <c r="E10" s="1">
        <v>45062</v>
      </c>
      <c r="F10">
        <v>17</v>
      </c>
      <c r="G10">
        <v>70.63</v>
      </c>
      <c r="H10">
        <v>41</v>
      </c>
      <c r="I10">
        <v>3.9</v>
      </c>
      <c r="J10">
        <v>59.4</v>
      </c>
      <c r="K10">
        <v>95</v>
      </c>
      <c r="L10">
        <v>15.6</v>
      </c>
      <c r="M10" t="s">
        <v>27</v>
      </c>
      <c r="N10">
        <v>23.7</v>
      </c>
      <c r="O10" t="s">
        <v>31</v>
      </c>
      <c r="P10">
        <v>15.6</v>
      </c>
      <c r="Q10" t="s">
        <v>25</v>
      </c>
      <c r="R10">
        <v>15.1</v>
      </c>
      <c r="S10">
        <f>YEAR(Table1[[#This Row],[Visitor Date]])</f>
        <v>2023</v>
      </c>
      <c r="T10" t="str">
        <f>TEXT(Table1[[#This Row],[Visitor Date]],"mmm")</f>
        <v>May</v>
      </c>
    </row>
    <row r="11" spans="1:20" x14ac:dyDescent="0.25">
      <c r="A11" t="s">
        <v>30</v>
      </c>
      <c r="B11">
        <v>14</v>
      </c>
      <c r="C11" t="s">
        <v>23</v>
      </c>
      <c r="D11">
        <v>11</v>
      </c>
      <c r="E11" s="1">
        <v>44576</v>
      </c>
      <c r="F11">
        <v>8</v>
      </c>
      <c r="G11">
        <v>65</v>
      </c>
      <c r="H11">
        <v>25</v>
      </c>
      <c r="I11">
        <v>3.6</v>
      </c>
      <c r="J11">
        <v>55</v>
      </c>
      <c r="K11">
        <v>65</v>
      </c>
      <c r="L11">
        <v>14</v>
      </c>
      <c r="M11" t="s">
        <v>27</v>
      </c>
      <c r="N11">
        <v>21.5</v>
      </c>
      <c r="O11" t="s">
        <v>31</v>
      </c>
      <c r="P11">
        <v>13.9</v>
      </c>
      <c r="Q11" t="s">
        <v>25</v>
      </c>
      <c r="R11">
        <v>14.2</v>
      </c>
      <c r="S11">
        <f>YEAR(Table1[[#This Row],[Visitor Date]])</f>
        <v>2022</v>
      </c>
      <c r="T11" t="str">
        <f>TEXT(Table1[[#This Row],[Visitor Date]],"mmm")</f>
        <v>Jan</v>
      </c>
    </row>
    <row r="12" spans="1:20" x14ac:dyDescent="0.25">
      <c r="A12" t="s">
        <v>32</v>
      </c>
      <c r="B12">
        <v>33</v>
      </c>
      <c r="C12" t="s">
        <v>19</v>
      </c>
      <c r="D12">
        <v>30</v>
      </c>
      <c r="E12" s="1">
        <v>44850</v>
      </c>
      <c r="F12">
        <v>18</v>
      </c>
      <c r="G12">
        <v>65.34</v>
      </c>
      <c r="H12">
        <v>15</v>
      </c>
      <c r="I12">
        <v>4.0999999999999996</v>
      </c>
      <c r="J12">
        <v>52.3</v>
      </c>
      <c r="K12">
        <v>94</v>
      </c>
      <c r="L12">
        <v>16.2</v>
      </c>
      <c r="M12" t="s">
        <v>24</v>
      </c>
      <c r="N12">
        <v>18.899999999999999</v>
      </c>
      <c r="O12" t="s">
        <v>33</v>
      </c>
      <c r="P12">
        <v>13.8</v>
      </c>
      <c r="Q12" t="s">
        <v>34</v>
      </c>
      <c r="R12">
        <v>10.7</v>
      </c>
      <c r="S12">
        <f>YEAR(Table1[[#This Row],[Visitor Date]])</f>
        <v>2022</v>
      </c>
      <c r="T12" t="str">
        <f>TEXT(Table1[[#This Row],[Visitor Date]],"mmm")</f>
        <v>Oct</v>
      </c>
    </row>
    <row r="13" spans="1:20" x14ac:dyDescent="0.25">
      <c r="A13" t="s">
        <v>32</v>
      </c>
      <c r="B13">
        <v>33</v>
      </c>
      <c r="C13" t="s">
        <v>23</v>
      </c>
      <c r="D13">
        <v>26</v>
      </c>
      <c r="E13" s="1">
        <v>45182</v>
      </c>
      <c r="F13">
        <v>13</v>
      </c>
      <c r="G13">
        <v>60.2</v>
      </c>
      <c r="H13">
        <v>16</v>
      </c>
      <c r="I13">
        <v>3.8</v>
      </c>
      <c r="J13">
        <v>50.5</v>
      </c>
      <c r="K13">
        <v>75</v>
      </c>
      <c r="L13">
        <v>15</v>
      </c>
      <c r="M13" t="s">
        <v>24</v>
      </c>
      <c r="N13">
        <v>17.8</v>
      </c>
      <c r="O13" t="s">
        <v>33</v>
      </c>
      <c r="P13">
        <v>12</v>
      </c>
      <c r="Q13" t="s">
        <v>34</v>
      </c>
      <c r="R13">
        <v>9.5</v>
      </c>
      <c r="S13">
        <f>YEAR(Table1[[#This Row],[Visitor Date]])</f>
        <v>2023</v>
      </c>
      <c r="T13" t="str">
        <f>TEXT(Table1[[#This Row],[Visitor Date]],"mmm")</f>
        <v>Sep</v>
      </c>
    </row>
    <row r="14" spans="1:20" x14ac:dyDescent="0.25">
      <c r="A14" t="s">
        <v>18</v>
      </c>
      <c r="B14">
        <v>91</v>
      </c>
      <c r="C14" t="s">
        <v>19</v>
      </c>
      <c r="D14">
        <v>45</v>
      </c>
      <c r="E14" s="1">
        <v>45095</v>
      </c>
      <c r="F14">
        <v>50</v>
      </c>
      <c r="G14">
        <v>54.88</v>
      </c>
      <c r="H14">
        <v>77</v>
      </c>
      <c r="I14">
        <v>4.2</v>
      </c>
      <c r="J14">
        <v>61.5</v>
      </c>
      <c r="K14">
        <v>68</v>
      </c>
      <c r="L14">
        <v>17.100000000000001</v>
      </c>
      <c r="M14" t="s">
        <v>20</v>
      </c>
      <c r="N14">
        <v>6.2</v>
      </c>
      <c r="O14" t="s">
        <v>21</v>
      </c>
      <c r="P14">
        <v>17.399999999999999</v>
      </c>
      <c r="Q14" t="s">
        <v>22</v>
      </c>
      <c r="R14">
        <v>22.2</v>
      </c>
      <c r="S14">
        <f>YEAR(Table1[[#This Row],[Visitor Date]])</f>
        <v>2023</v>
      </c>
      <c r="T14" t="str">
        <f>TEXT(Table1[[#This Row],[Visitor Date]],"mmm")</f>
        <v>Jun</v>
      </c>
    </row>
    <row r="15" spans="1:20" x14ac:dyDescent="0.25">
      <c r="A15" t="s">
        <v>18</v>
      </c>
      <c r="B15">
        <v>91</v>
      </c>
      <c r="C15" t="s">
        <v>23</v>
      </c>
      <c r="D15">
        <v>28</v>
      </c>
      <c r="E15" s="1">
        <v>44892</v>
      </c>
      <c r="F15">
        <v>33</v>
      </c>
      <c r="G15">
        <v>56.3</v>
      </c>
      <c r="H15">
        <v>73</v>
      </c>
      <c r="I15">
        <v>3.7</v>
      </c>
      <c r="J15">
        <v>59.2</v>
      </c>
      <c r="K15">
        <v>57</v>
      </c>
      <c r="L15">
        <v>16</v>
      </c>
      <c r="M15" t="s">
        <v>20</v>
      </c>
      <c r="N15">
        <v>6</v>
      </c>
      <c r="O15" t="s">
        <v>21</v>
      </c>
      <c r="P15">
        <v>16.8</v>
      </c>
      <c r="Q15" t="s">
        <v>22</v>
      </c>
      <c r="R15">
        <v>21.5</v>
      </c>
      <c r="S15">
        <f>YEAR(Table1[[#This Row],[Visitor Date]])</f>
        <v>2022</v>
      </c>
      <c r="T15" t="str">
        <f>TEXT(Table1[[#This Row],[Visitor Date]],"mmm")</f>
        <v>Nov</v>
      </c>
    </row>
    <row r="16" spans="1:20" x14ac:dyDescent="0.25">
      <c r="A16" t="s">
        <v>24</v>
      </c>
      <c r="B16">
        <v>44</v>
      </c>
      <c r="C16" t="s">
        <v>19</v>
      </c>
      <c r="D16">
        <v>42</v>
      </c>
      <c r="E16" s="1">
        <v>45202</v>
      </c>
      <c r="F16">
        <v>46</v>
      </c>
      <c r="G16">
        <v>91.47</v>
      </c>
      <c r="H16">
        <v>49</v>
      </c>
      <c r="I16">
        <v>2.9</v>
      </c>
      <c r="J16">
        <v>47.8</v>
      </c>
      <c r="K16">
        <v>31</v>
      </c>
      <c r="L16">
        <v>18</v>
      </c>
      <c r="M16" t="s">
        <v>24</v>
      </c>
      <c r="N16">
        <v>27.5</v>
      </c>
      <c r="O16" t="s">
        <v>21</v>
      </c>
      <c r="P16">
        <v>8.1</v>
      </c>
      <c r="Q16" t="s">
        <v>25</v>
      </c>
      <c r="R16">
        <v>6.9</v>
      </c>
      <c r="S16">
        <f>YEAR(Table1[[#This Row],[Visitor Date]])</f>
        <v>2023</v>
      </c>
      <c r="T16" t="str">
        <f>TEXT(Table1[[#This Row],[Visitor Date]],"mmm")</f>
        <v>Oct</v>
      </c>
    </row>
    <row r="17" spans="1:20" x14ac:dyDescent="0.25">
      <c r="A17" t="s">
        <v>24</v>
      </c>
      <c r="B17">
        <v>44</v>
      </c>
      <c r="C17" t="s">
        <v>23</v>
      </c>
      <c r="D17">
        <v>38</v>
      </c>
      <c r="E17" s="1">
        <v>44860</v>
      </c>
      <c r="F17">
        <v>35</v>
      </c>
      <c r="G17">
        <v>85.3</v>
      </c>
      <c r="H17">
        <v>35</v>
      </c>
      <c r="I17">
        <v>2.5</v>
      </c>
      <c r="J17">
        <v>45</v>
      </c>
      <c r="K17">
        <v>27</v>
      </c>
      <c r="L17">
        <v>17.5</v>
      </c>
      <c r="M17" t="s">
        <v>24</v>
      </c>
      <c r="N17">
        <v>26</v>
      </c>
      <c r="O17" t="s">
        <v>21</v>
      </c>
      <c r="P17">
        <v>7.5</v>
      </c>
      <c r="Q17" t="s">
        <v>25</v>
      </c>
      <c r="R17">
        <v>6.3</v>
      </c>
      <c r="S17">
        <f>YEAR(Table1[[#This Row],[Visitor Date]])</f>
        <v>2022</v>
      </c>
      <c r="T17" t="str">
        <f>TEXT(Table1[[#This Row],[Visitor Date]],"mmm")</f>
        <v>Oct</v>
      </c>
    </row>
    <row r="18" spans="1:20" x14ac:dyDescent="0.25">
      <c r="A18" t="s">
        <v>26</v>
      </c>
      <c r="B18">
        <v>26</v>
      </c>
      <c r="C18" t="s">
        <v>19</v>
      </c>
      <c r="D18">
        <v>35</v>
      </c>
      <c r="E18" s="1">
        <v>45138</v>
      </c>
      <c r="F18">
        <v>9</v>
      </c>
      <c r="G18">
        <v>6.04</v>
      </c>
      <c r="H18">
        <v>78</v>
      </c>
      <c r="I18">
        <v>3.4</v>
      </c>
      <c r="J18">
        <v>48.7</v>
      </c>
      <c r="K18">
        <v>36</v>
      </c>
      <c r="L18">
        <v>5.8</v>
      </c>
      <c r="M18" t="s">
        <v>27</v>
      </c>
      <c r="N18">
        <v>23.6</v>
      </c>
      <c r="O18" t="s">
        <v>21</v>
      </c>
      <c r="P18">
        <v>18.399999999999999</v>
      </c>
      <c r="Q18" t="s">
        <v>22</v>
      </c>
      <c r="R18">
        <v>11.6</v>
      </c>
      <c r="S18">
        <f>YEAR(Table1[[#This Row],[Visitor Date]])</f>
        <v>2023</v>
      </c>
      <c r="T18" t="str">
        <f>TEXT(Table1[[#This Row],[Visitor Date]],"mmm")</f>
        <v>Jul</v>
      </c>
    </row>
    <row r="19" spans="1:20" x14ac:dyDescent="0.25">
      <c r="A19" t="s">
        <v>26</v>
      </c>
      <c r="B19">
        <v>26</v>
      </c>
      <c r="C19" t="s">
        <v>23</v>
      </c>
      <c r="D19">
        <v>32</v>
      </c>
      <c r="E19" s="1">
        <v>44811</v>
      </c>
      <c r="F19">
        <v>12</v>
      </c>
      <c r="G19">
        <v>7.5</v>
      </c>
      <c r="H19">
        <v>75</v>
      </c>
      <c r="I19">
        <v>3</v>
      </c>
      <c r="J19">
        <v>46.2</v>
      </c>
      <c r="K19">
        <v>29</v>
      </c>
      <c r="L19">
        <v>5.5</v>
      </c>
      <c r="M19" t="s">
        <v>27</v>
      </c>
      <c r="N19">
        <v>22</v>
      </c>
      <c r="O19" t="s">
        <v>21</v>
      </c>
      <c r="P19">
        <v>16.7</v>
      </c>
      <c r="Q19" t="s">
        <v>22</v>
      </c>
      <c r="R19">
        <v>10.8</v>
      </c>
      <c r="S19">
        <f>YEAR(Table1[[#This Row],[Visitor Date]])</f>
        <v>2022</v>
      </c>
      <c r="T19" t="str">
        <f>TEXT(Table1[[#This Row],[Visitor Date]],"mmm")</f>
        <v>Sep</v>
      </c>
    </row>
    <row r="20" spans="1:20" x14ac:dyDescent="0.25">
      <c r="A20" t="s">
        <v>28</v>
      </c>
      <c r="B20">
        <v>68</v>
      </c>
      <c r="C20" t="s">
        <v>19</v>
      </c>
      <c r="D20">
        <v>150</v>
      </c>
      <c r="E20" s="1">
        <v>44665</v>
      </c>
      <c r="F20">
        <v>13</v>
      </c>
      <c r="G20">
        <v>90</v>
      </c>
      <c r="H20">
        <v>54</v>
      </c>
      <c r="I20">
        <v>3.5</v>
      </c>
      <c r="J20">
        <v>67.8</v>
      </c>
      <c r="K20">
        <v>33</v>
      </c>
      <c r="L20">
        <v>11</v>
      </c>
      <c r="M20" t="s">
        <v>20</v>
      </c>
      <c r="N20">
        <v>5.3</v>
      </c>
      <c r="O20" t="s">
        <v>29</v>
      </c>
      <c r="P20">
        <v>20.5</v>
      </c>
      <c r="Q20" t="s">
        <v>25</v>
      </c>
      <c r="R20">
        <v>19.5</v>
      </c>
      <c r="S20">
        <f>YEAR(Table1[[#This Row],[Visitor Date]])</f>
        <v>2022</v>
      </c>
      <c r="T20" t="str">
        <f>TEXT(Table1[[#This Row],[Visitor Date]],"mmm")</f>
        <v>Apr</v>
      </c>
    </row>
    <row r="21" spans="1:20" x14ac:dyDescent="0.25">
      <c r="A21" t="s">
        <v>28</v>
      </c>
      <c r="B21">
        <v>68</v>
      </c>
      <c r="C21" t="s">
        <v>23</v>
      </c>
      <c r="D21">
        <v>30</v>
      </c>
      <c r="E21" s="1">
        <v>45262</v>
      </c>
      <c r="F21">
        <v>11</v>
      </c>
      <c r="G21">
        <v>88</v>
      </c>
      <c r="H21">
        <v>50</v>
      </c>
      <c r="I21">
        <v>3.2</v>
      </c>
      <c r="J21">
        <v>64</v>
      </c>
      <c r="K21">
        <v>28</v>
      </c>
      <c r="L21">
        <v>10.199999999999999</v>
      </c>
      <c r="M21" t="s">
        <v>20</v>
      </c>
      <c r="N21">
        <v>4.8</v>
      </c>
      <c r="O21" t="s">
        <v>29</v>
      </c>
      <c r="P21">
        <v>19.7</v>
      </c>
      <c r="Q21" t="s">
        <v>25</v>
      </c>
      <c r="R21">
        <v>18</v>
      </c>
      <c r="S21">
        <f>YEAR(Table1[[#This Row],[Visitor Date]])</f>
        <v>2023</v>
      </c>
      <c r="T21" t="str">
        <f>TEXT(Table1[[#This Row],[Visitor Date]],"mmm")</f>
        <v>Dec</v>
      </c>
    </row>
    <row r="22" spans="1:20" x14ac:dyDescent="0.25">
      <c r="A22" t="s">
        <v>30</v>
      </c>
      <c r="B22">
        <v>14</v>
      </c>
      <c r="C22" t="s">
        <v>19</v>
      </c>
      <c r="D22">
        <v>12</v>
      </c>
      <c r="E22" s="1">
        <v>44951</v>
      </c>
      <c r="F22">
        <v>15</v>
      </c>
      <c r="G22">
        <v>70.63</v>
      </c>
      <c r="H22">
        <v>41</v>
      </c>
      <c r="I22">
        <v>3.9</v>
      </c>
      <c r="J22">
        <v>59.4</v>
      </c>
      <c r="K22">
        <v>90</v>
      </c>
      <c r="L22">
        <v>15.6</v>
      </c>
      <c r="M22" t="s">
        <v>27</v>
      </c>
      <c r="N22">
        <v>23.7</v>
      </c>
      <c r="O22" t="s">
        <v>31</v>
      </c>
      <c r="P22">
        <v>15.6</v>
      </c>
      <c r="Q22" t="s">
        <v>25</v>
      </c>
      <c r="R22">
        <v>15.1</v>
      </c>
      <c r="S22">
        <f>YEAR(Table1[[#This Row],[Visitor Date]])</f>
        <v>2023</v>
      </c>
      <c r="T22" t="str">
        <f>TEXT(Table1[[#This Row],[Visitor Date]],"mmm")</f>
        <v>Jan</v>
      </c>
    </row>
    <row r="23" spans="1:20" x14ac:dyDescent="0.25">
      <c r="A23" t="s">
        <v>30</v>
      </c>
      <c r="B23">
        <v>14</v>
      </c>
      <c r="C23" t="s">
        <v>23</v>
      </c>
      <c r="D23">
        <v>39</v>
      </c>
      <c r="E23" s="1">
        <v>45114</v>
      </c>
      <c r="F23">
        <v>9</v>
      </c>
      <c r="G23">
        <v>65</v>
      </c>
      <c r="H23">
        <v>25</v>
      </c>
      <c r="I23">
        <v>3.5</v>
      </c>
      <c r="J23">
        <v>55</v>
      </c>
      <c r="K23">
        <v>64</v>
      </c>
      <c r="L23">
        <v>14</v>
      </c>
      <c r="M23" t="s">
        <v>27</v>
      </c>
      <c r="N23">
        <v>21.5</v>
      </c>
      <c r="O23" t="s">
        <v>31</v>
      </c>
      <c r="P23">
        <v>13.9</v>
      </c>
      <c r="Q23" t="s">
        <v>25</v>
      </c>
      <c r="R23">
        <v>14.2</v>
      </c>
      <c r="S23">
        <f>YEAR(Table1[[#This Row],[Visitor Date]])</f>
        <v>2023</v>
      </c>
      <c r="T23" t="str">
        <f>TEXT(Table1[[#This Row],[Visitor Date]],"mmm")</f>
        <v>Jul</v>
      </c>
    </row>
    <row r="24" spans="1:20" x14ac:dyDescent="0.25">
      <c r="A24" t="s">
        <v>32</v>
      </c>
      <c r="B24">
        <v>33</v>
      </c>
      <c r="C24" t="s">
        <v>19</v>
      </c>
      <c r="D24">
        <v>134</v>
      </c>
      <c r="E24" s="1">
        <v>44586</v>
      </c>
      <c r="F24">
        <v>17</v>
      </c>
      <c r="G24">
        <v>65.34</v>
      </c>
      <c r="H24">
        <v>26</v>
      </c>
      <c r="I24">
        <v>4.0999999999999996</v>
      </c>
      <c r="J24">
        <v>52.3</v>
      </c>
      <c r="K24">
        <v>93</v>
      </c>
      <c r="L24">
        <v>16.2</v>
      </c>
      <c r="M24" t="s">
        <v>24</v>
      </c>
      <c r="N24">
        <v>18.899999999999999</v>
      </c>
      <c r="O24" t="s">
        <v>33</v>
      </c>
      <c r="P24">
        <v>13.8</v>
      </c>
      <c r="Q24" t="s">
        <v>34</v>
      </c>
      <c r="R24">
        <v>10.7</v>
      </c>
      <c r="S24">
        <f>YEAR(Table1[[#This Row],[Visitor Date]])</f>
        <v>2022</v>
      </c>
      <c r="T24" t="str">
        <f>TEXT(Table1[[#This Row],[Visitor Date]],"mmm")</f>
        <v>Jan</v>
      </c>
    </row>
    <row r="25" spans="1:20" x14ac:dyDescent="0.25">
      <c r="A25" t="s">
        <v>32</v>
      </c>
      <c r="B25">
        <v>33</v>
      </c>
      <c r="C25" t="s">
        <v>23</v>
      </c>
      <c r="D25">
        <v>27</v>
      </c>
      <c r="E25" s="1">
        <v>45249</v>
      </c>
      <c r="F25">
        <v>13</v>
      </c>
      <c r="G25">
        <v>60.2</v>
      </c>
      <c r="H25">
        <v>27</v>
      </c>
      <c r="I25">
        <v>3.6</v>
      </c>
      <c r="J25">
        <v>50.5</v>
      </c>
      <c r="K25">
        <v>76</v>
      </c>
      <c r="L25">
        <v>15</v>
      </c>
      <c r="M25" t="s">
        <v>24</v>
      </c>
      <c r="N25">
        <v>17.8</v>
      </c>
      <c r="O25" t="s">
        <v>33</v>
      </c>
      <c r="P25">
        <v>12</v>
      </c>
      <c r="Q25" t="s">
        <v>34</v>
      </c>
      <c r="R25">
        <v>9.5</v>
      </c>
      <c r="S25">
        <f>YEAR(Table1[[#This Row],[Visitor Date]])</f>
        <v>2023</v>
      </c>
      <c r="T25" t="str">
        <f>TEXT(Table1[[#This Row],[Visitor Date]],"mmm")</f>
        <v>Nov</v>
      </c>
    </row>
    <row r="26" spans="1:20" x14ac:dyDescent="0.25">
      <c r="A26" t="s">
        <v>18</v>
      </c>
      <c r="B26">
        <v>91</v>
      </c>
      <c r="C26" t="s">
        <v>19</v>
      </c>
      <c r="D26">
        <v>25</v>
      </c>
      <c r="E26" s="1">
        <v>44885</v>
      </c>
      <c r="F26">
        <v>47</v>
      </c>
      <c r="G26">
        <v>54.88</v>
      </c>
      <c r="H26">
        <v>77</v>
      </c>
      <c r="I26">
        <v>4.4000000000000004</v>
      </c>
      <c r="J26">
        <v>61.5</v>
      </c>
      <c r="K26">
        <v>66</v>
      </c>
      <c r="L26">
        <v>17.100000000000001</v>
      </c>
      <c r="M26" t="s">
        <v>20</v>
      </c>
      <c r="N26">
        <v>6.2</v>
      </c>
      <c r="O26" t="s">
        <v>21</v>
      </c>
      <c r="P26">
        <v>17.399999999999999</v>
      </c>
      <c r="Q26" t="s">
        <v>22</v>
      </c>
      <c r="R26">
        <v>22.2</v>
      </c>
      <c r="S26">
        <f>YEAR(Table1[[#This Row],[Visitor Date]])</f>
        <v>2022</v>
      </c>
      <c r="T26" t="str">
        <f>TEXT(Table1[[#This Row],[Visitor Date]],"mmm")</f>
        <v>Nov</v>
      </c>
    </row>
    <row r="27" spans="1:20" x14ac:dyDescent="0.25">
      <c r="A27" t="s">
        <v>18</v>
      </c>
      <c r="B27">
        <v>91</v>
      </c>
      <c r="C27" t="s">
        <v>23</v>
      </c>
      <c r="D27">
        <v>300</v>
      </c>
      <c r="E27" s="1">
        <v>45068</v>
      </c>
      <c r="F27">
        <v>35</v>
      </c>
      <c r="G27">
        <v>56.3</v>
      </c>
      <c r="H27">
        <v>73</v>
      </c>
      <c r="I27">
        <v>3.9</v>
      </c>
      <c r="J27">
        <v>59.2</v>
      </c>
      <c r="K27">
        <v>56</v>
      </c>
      <c r="L27">
        <v>16</v>
      </c>
      <c r="M27" t="s">
        <v>20</v>
      </c>
      <c r="N27">
        <v>6</v>
      </c>
      <c r="O27" t="s">
        <v>21</v>
      </c>
      <c r="P27">
        <v>16.8</v>
      </c>
      <c r="Q27" t="s">
        <v>22</v>
      </c>
      <c r="R27">
        <v>21.5</v>
      </c>
      <c r="S27">
        <f>YEAR(Table1[[#This Row],[Visitor Date]])</f>
        <v>2023</v>
      </c>
      <c r="T27" t="str">
        <f>TEXT(Table1[[#This Row],[Visitor Date]],"mmm")</f>
        <v>May</v>
      </c>
    </row>
    <row r="28" spans="1:20" x14ac:dyDescent="0.25">
      <c r="A28" t="s">
        <v>24</v>
      </c>
      <c r="B28">
        <v>44</v>
      </c>
      <c r="C28" t="s">
        <v>19</v>
      </c>
      <c r="D28">
        <v>78</v>
      </c>
      <c r="E28" s="1">
        <v>45190</v>
      </c>
      <c r="F28">
        <v>44</v>
      </c>
      <c r="G28">
        <v>91.47</v>
      </c>
      <c r="H28">
        <v>49</v>
      </c>
      <c r="I28">
        <v>2.7</v>
      </c>
      <c r="J28">
        <v>47.8</v>
      </c>
      <c r="K28">
        <v>32</v>
      </c>
      <c r="L28">
        <v>18</v>
      </c>
      <c r="M28" t="s">
        <v>24</v>
      </c>
      <c r="N28">
        <v>27.5</v>
      </c>
      <c r="O28" t="s">
        <v>21</v>
      </c>
      <c r="P28">
        <v>8.1</v>
      </c>
      <c r="Q28" t="s">
        <v>25</v>
      </c>
      <c r="R28">
        <v>6.9</v>
      </c>
      <c r="S28">
        <f>YEAR(Table1[[#This Row],[Visitor Date]])</f>
        <v>2023</v>
      </c>
      <c r="T28" t="str">
        <f>TEXT(Table1[[#This Row],[Visitor Date]],"mmm")</f>
        <v>Sep</v>
      </c>
    </row>
    <row r="29" spans="1:20" x14ac:dyDescent="0.25">
      <c r="A29" t="s">
        <v>24</v>
      </c>
      <c r="B29">
        <v>44</v>
      </c>
      <c r="C29" t="s">
        <v>23</v>
      </c>
      <c r="D29">
        <v>350</v>
      </c>
      <c r="E29" s="1">
        <v>45074</v>
      </c>
      <c r="F29">
        <v>32</v>
      </c>
      <c r="G29">
        <v>85.3</v>
      </c>
      <c r="H29">
        <v>35</v>
      </c>
      <c r="I29">
        <v>2.5</v>
      </c>
      <c r="J29">
        <v>45</v>
      </c>
      <c r="K29">
        <v>29</v>
      </c>
      <c r="L29">
        <v>17.5</v>
      </c>
      <c r="M29" t="s">
        <v>24</v>
      </c>
      <c r="N29">
        <v>26</v>
      </c>
      <c r="O29" t="s">
        <v>21</v>
      </c>
      <c r="P29">
        <v>7.5</v>
      </c>
      <c r="Q29" t="s">
        <v>25</v>
      </c>
      <c r="R29">
        <v>6.3</v>
      </c>
      <c r="S29">
        <f>YEAR(Table1[[#This Row],[Visitor Date]])</f>
        <v>2023</v>
      </c>
      <c r="T29" t="str">
        <f>TEXT(Table1[[#This Row],[Visitor Date]],"mmm")</f>
        <v>May</v>
      </c>
    </row>
    <row r="30" spans="1:20" x14ac:dyDescent="0.25">
      <c r="A30" t="s">
        <v>26</v>
      </c>
      <c r="B30">
        <v>26</v>
      </c>
      <c r="C30" t="s">
        <v>19</v>
      </c>
      <c r="D30">
        <v>27</v>
      </c>
      <c r="E30" s="1">
        <v>44622</v>
      </c>
      <c r="F30">
        <v>8</v>
      </c>
      <c r="G30">
        <v>6.04</v>
      </c>
      <c r="H30">
        <v>78</v>
      </c>
      <c r="I30">
        <v>3.2</v>
      </c>
      <c r="J30">
        <v>48.7</v>
      </c>
      <c r="K30">
        <v>34</v>
      </c>
      <c r="L30">
        <v>5.8</v>
      </c>
      <c r="M30" t="s">
        <v>27</v>
      </c>
      <c r="N30">
        <v>23.6</v>
      </c>
      <c r="O30" t="s">
        <v>21</v>
      </c>
      <c r="P30">
        <v>18.399999999999999</v>
      </c>
      <c r="Q30" t="s">
        <v>22</v>
      </c>
      <c r="R30">
        <v>11.6</v>
      </c>
      <c r="S30">
        <f>YEAR(Table1[[#This Row],[Visitor Date]])</f>
        <v>2022</v>
      </c>
      <c r="T30" t="str">
        <f>TEXT(Table1[[#This Row],[Visitor Date]],"mmm")</f>
        <v>Mar</v>
      </c>
    </row>
    <row r="31" spans="1:20" x14ac:dyDescent="0.25">
      <c r="A31" t="s">
        <v>26</v>
      </c>
      <c r="B31">
        <v>26</v>
      </c>
      <c r="C31" t="s">
        <v>23</v>
      </c>
      <c r="D31">
        <v>30</v>
      </c>
      <c r="E31" s="1">
        <v>44624</v>
      </c>
      <c r="F31">
        <v>10</v>
      </c>
      <c r="G31">
        <v>7.5</v>
      </c>
      <c r="H31">
        <v>75</v>
      </c>
      <c r="I31">
        <v>3</v>
      </c>
      <c r="J31">
        <v>46.2</v>
      </c>
      <c r="K31">
        <v>27</v>
      </c>
      <c r="L31">
        <v>5.5</v>
      </c>
      <c r="M31" t="s">
        <v>27</v>
      </c>
      <c r="N31">
        <v>22</v>
      </c>
      <c r="O31" t="s">
        <v>21</v>
      </c>
      <c r="P31">
        <v>16.7</v>
      </c>
      <c r="Q31" t="s">
        <v>22</v>
      </c>
      <c r="R31">
        <v>10.8</v>
      </c>
      <c r="S31">
        <f>YEAR(Table1[[#This Row],[Visitor Date]])</f>
        <v>2022</v>
      </c>
      <c r="T31" t="str">
        <f>TEXT(Table1[[#This Row],[Visitor Date]],"mmm")</f>
        <v>Mar</v>
      </c>
    </row>
    <row r="32" spans="1:20" x14ac:dyDescent="0.25">
      <c r="A32" t="s">
        <v>28</v>
      </c>
      <c r="B32">
        <v>68</v>
      </c>
      <c r="C32" t="s">
        <v>19</v>
      </c>
      <c r="D32">
        <v>439</v>
      </c>
      <c r="E32" s="1">
        <v>45171</v>
      </c>
      <c r="F32">
        <v>11</v>
      </c>
      <c r="G32">
        <v>90</v>
      </c>
      <c r="H32">
        <v>54</v>
      </c>
      <c r="I32">
        <v>3.3</v>
      </c>
      <c r="J32">
        <v>7.8</v>
      </c>
      <c r="K32">
        <v>33</v>
      </c>
      <c r="L32">
        <v>11</v>
      </c>
      <c r="M32" t="s">
        <v>20</v>
      </c>
      <c r="N32">
        <v>5.3</v>
      </c>
      <c r="O32" t="s">
        <v>29</v>
      </c>
      <c r="P32">
        <v>20.5</v>
      </c>
      <c r="Q32" t="s">
        <v>25</v>
      </c>
      <c r="R32">
        <v>19.5</v>
      </c>
      <c r="S32">
        <f>YEAR(Table1[[#This Row],[Visitor Date]])</f>
        <v>2023</v>
      </c>
      <c r="T32" t="str">
        <f>TEXT(Table1[[#This Row],[Visitor Date]],"mmm")</f>
        <v>Sep</v>
      </c>
    </row>
    <row r="33" spans="1:20" x14ac:dyDescent="0.25">
      <c r="A33" t="s">
        <v>28</v>
      </c>
      <c r="B33">
        <v>68</v>
      </c>
      <c r="C33" t="s">
        <v>23</v>
      </c>
      <c r="D33">
        <v>350</v>
      </c>
      <c r="E33" s="1">
        <v>45243</v>
      </c>
      <c r="F33">
        <v>9</v>
      </c>
      <c r="G33">
        <v>88</v>
      </c>
      <c r="H33">
        <v>50</v>
      </c>
      <c r="I33">
        <v>3.1</v>
      </c>
      <c r="J33">
        <v>64</v>
      </c>
      <c r="K33">
        <v>29</v>
      </c>
      <c r="L33">
        <v>10.199999999999999</v>
      </c>
      <c r="M33" t="s">
        <v>20</v>
      </c>
      <c r="N33">
        <v>4.8</v>
      </c>
      <c r="O33" t="s">
        <v>29</v>
      </c>
      <c r="P33">
        <v>19.7</v>
      </c>
      <c r="Q33" t="s">
        <v>25</v>
      </c>
      <c r="R33">
        <v>18</v>
      </c>
      <c r="S33">
        <f>YEAR(Table1[[#This Row],[Visitor Date]])</f>
        <v>2023</v>
      </c>
      <c r="T33" t="str">
        <f>TEXT(Table1[[#This Row],[Visitor Date]],"mmm")</f>
        <v>Nov</v>
      </c>
    </row>
    <row r="34" spans="1:20" x14ac:dyDescent="0.25">
      <c r="A34" t="s">
        <v>30</v>
      </c>
      <c r="B34">
        <v>14</v>
      </c>
      <c r="C34" t="s">
        <v>19</v>
      </c>
      <c r="D34">
        <v>50</v>
      </c>
      <c r="E34" s="1">
        <v>45291</v>
      </c>
      <c r="F34">
        <v>14</v>
      </c>
      <c r="G34">
        <v>70.63</v>
      </c>
      <c r="H34">
        <v>41</v>
      </c>
      <c r="I34">
        <v>3.9</v>
      </c>
      <c r="J34">
        <v>59.4</v>
      </c>
      <c r="K34">
        <v>89</v>
      </c>
      <c r="L34">
        <v>15.6</v>
      </c>
      <c r="M34" t="s">
        <v>27</v>
      </c>
      <c r="N34">
        <v>23.7</v>
      </c>
      <c r="O34" t="s">
        <v>31</v>
      </c>
      <c r="P34">
        <v>15.6</v>
      </c>
      <c r="Q34" t="s">
        <v>25</v>
      </c>
      <c r="R34">
        <v>15.1</v>
      </c>
      <c r="S34">
        <f>YEAR(Table1[[#This Row],[Visitor Date]])</f>
        <v>2023</v>
      </c>
      <c r="T34" t="str">
        <f>TEXT(Table1[[#This Row],[Visitor Date]],"mmm")</f>
        <v>Dec</v>
      </c>
    </row>
    <row r="35" spans="1:20" x14ac:dyDescent="0.25">
      <c r="A35" t="s">
        <v>30</v>
      </c>
      <c r="B35">
        <v>14</v>
      </c>
      <c r="C35" t="s">
        <v>23</v>
      </c>
      <c r="D35">
        <v>80</v>
      </c>
      <c r="E35" s="1">
        <v>44786</v>
      </c>
      <c r="F35">
        <v>10</v>
      </c>
      <c r="G35">
        <v>65</v>
      </c>
      <c r="H35">
        <v>25</v>
      </c>
      <c r="I35">
        <v>3.5</v>
      </c>
      <c r="J35">
        <v>55</v>
      </c>
      <c r="K35">
        <v>65</v>
      </c>
      <c r="L35">
        <v>14</v>
      </c>
      <c r="M35" t="s">
        <v>27</v>
      </c>
      <c r="N35">
        <v>21.5</v>
      </c>
      <c r="O35" t="s">
        <v>31</v>
      </c>
      <c r="P35">
        <v>13.9</v>
      </c>
      <c r="Q35" t="s">
        <v>25</v>
      </c>
      <c r="R35">
        <v>14.2</v>
      </c>
      <c r="S35">
        <f>YEAR(Table1[[#This Row],[Visitor Date]])</f>
        <v>2022</v>
      </c>
      <c r="T35" t="str">
        <f>TEXT(Table1[[#This Row],[Visitor Date]],"mmm")</f>
        <v>Aug</v>
      </c>
    </row>
    <row r="36" spans="1:20" x14ac:dyDescent="0.25">
      <c r="A36" t="s">
        <v>32</v>
      </c>
      <c r="B36">
        <v>33</v>
      </c>
      <c r="C36" t="s">
        <v>19</v>
      </c>
      <c r="D36">
        <v>87</v>
      </c>
      <c r="E36" s="1">
        <v>44584</v>
      </c>
      <c r="F36">
        <v>19</v>
      </c>
      <c r="G36">
        <v>65.34</v>
      </c>
      <c r="H36">
        <v>26</v>
      </c>
      <c r="I36">
        <v>4.0999999999999996</v>
      </c>
      <c r="J36">
        <v>52.3</v>
      </c>
      <c r="K36">
        <v>93</v>
      </c>
      <c r="L36">
        <v>16.2</v>
      </c>
      <c r="M36" t="s">
        <v>24</v>
      </c>
      <c r="N36">
        <v>18.899999999999999</v>
      </c>
      <c r="O36" t="s">
        <v>33</v>
      </c>
      <c r="P36">
        <v>13.8</v>
      </c>
      <c r="Q36" t="s">
        <v>34</v>
      </c>
      <c r="R36">
        <v>10.7</v>
      </c>
      <c r="S36">
        <f>YEAR(Table1[[#This Row],[Visitor Date]])</f>
        <v>2022</v>
      </c>
      <c r="T36" t="str">
        <f>TEXT(Table1[[#This Row],[Visitor Date]],"mmm")</f>
        <v>Jan</v>
      </c>
    </row>
    <row r="37" spans="1:20" x14ac:dyDescent="0.25">
      <c r="A37" t="s">
        <v>32</v>
      </c>
      <c r="B37">
        <v>33</v>
      </c>
      <c r="C37" t="s">
        <v>23</v>
      </c>
      <c r="D37">
        <v>250</v>
      </c>
      <c r="E37" s="1">
        <v>44989</v>
      </c>
      <c r="F37">
        <v>15</v>
      </c>
      <c r="G37">
        <v>60.2</v>
      </c>
      <c r="H37">
        <v>27</v>
      </c>
      <c r="I37">
        <v>3.8</v>
      </c>
      <c r="J37">
        <v>50.5</v>
      </c>
      <c r="K37">
        <v>75</v>
      </c>
      <c r="L37">
        <v>15</v>
      </c>
      <c r="M37" t="s">
        <v>24</v>
      </c>
      <c r="N37">
        <v>17.8</v>
      </c>
      <c r="O37" t="s">
        <v>33</v>
      </c>
      <c r="P37">
        <v>12</v>
      </c>
      <c r="Q37" t="s">
        <v>34</v>
      </c>
      <c r="R37">
        <v>9.5</v>
      </c>
      <c r="S37">
        <f>YEAR(Table1[[#This Row],[Visitor Date]])</f>
        <v>2023</v>
      </c>
      <c r="T37" t="str">
        <f>TEXT(Table1[[#This Row],[Visitor Date]],"mmm")</f>
        <v>Mar</v>
      </c>
    </row>
    <row r="38" spans="1:20" x14ac:dyDescent="0.25">
      <c r="A38" t="s">
        <v>18</v>
      </c>
      <c r="B38">
        <v>91</v>
      </c>
      <c r="C38" t="s">
        <v>19</v>
      </c>
      <c r="D38">
        <v>40</v>
      </c>
      <c r="E38" s="1">
        <v>44906</v>
      </c>
      <c r="F38">
        <v>47</v>
      </c>
      <c r="G38">
        <v>54.88</v>
      </c>
      <c r="H38">
        <v>77</v>
      </c>
      <c r="I38">
        <v>4.4000000000000004</v>
      </c>
      <c r="J38">
        <v>61.5</v>
      </c>
      <c r="K38">
        <v>66</v>
      </c>
      <c r="L38">
        <v>17.100000000000001</v>
      </c>
      <c r="M38" t="s">
        <v>20</v>
      </c>
      <c r="N38">
        <v>6.2</v>
      </c>
      <c r="O38" t="s">
        <v>21</v>
      </c>
      <c r="P38">
        <v>17.399999999999999</v>
      </c>
      <c r="Q38" t="s">
        <v>22</v>
      </c>
      <c r="R38">
        <v>22.2</v>
      </c>
      <c r="S38">
        <f>YEAR(Table1[[#This Row],[Visitor Date]])</f>
        <v>2022</v>
      </c>
      <c r="T38" t="str">
        <f>TEXT(Table1[[#This Row],[Visitor Date]],"mmm")</f>
        <v>Dec</v>
      </c>
    </row>
    <row r="39" spans="1:20" x14ac:dyDescent="0.25">
      <c r="A39" t="s">
        <v>18</v>
      </c>
      <c r="B39">
        <v>91</v>
      </c>
      <c r="C39" t="s">
        <v>23</v>
      </c>
      <c r="D39">
        <v>30</v>
      </c>
      <c r="E39" s="1">
        <v>44727</v>
      </c>
      <c r="F39">
        <v>35</v>
      </c>
      <c r="G39">
        <v>56.3</v>
      </c>
      <c r="H39">
        <v>73</v>
      </c>
      <c r="I39">
        <v>3.9</v>
      </c>
      <c r="J39">
        <v>59.2</v>
      </c>
      <c r="K39">
        <v>56</v>
      </c>
      <c r="L39">
        <v>16</v>
      </c>
      <c r="M39" t="s">
        <v>20</v>
      </c>
      <c r="N39">
        <v>6</v>
      </c>
      <c r="O39" t="s">
        <v>21</v>
      </c>
      <c r="P39">
        <v>16.8</v>
      </c>
      <c r="Q39" t="s">
        <v>22</v>
      </c>
      <c r="R39">
        <v>21.5</v>
      </c>
      <c r="S39">
        <f>YEAR(Table1[[#This Row],[Visitor Date]])</f>
        <v>2022</v>
      </c>
      <c r="T39" t="str">
        <f>TEXT(Table1[[#This Row],[Visitor Date]],"mmm")</f>
        <v>Jun</v>
      </c>
    </row>
    <row r="40" spans="1:20" x14ac:dyDescent="0.25">
      <c r="A40" t="s">
        <v>24</v>
      </c>
      <c r="B40">
        <v>44</v>
      </c>
      <c r="C40" t="s">
        <v>19</v>
      </c>
      <c r="D40">
        <v>46</v>
      </c>
      <c r="E40" s="1">
        <v>45148</v>
      </c>
      <c r="F40">
        <v>44</v>
      </c>
      <c r="G40">
        <v>91.47</v>
      </c>
      <c r="H40">
        <v>49</v>
      </c>
      <c r="I40">
        <v>2.7</v>
      </c>
      <c r="J40">
        <v>47.8</v>
      </c>
      <c r="K40">
        <v>32</v>
      </c>
      <c r="L40">
        <v>18</v>
      </c>
      <c r="M40" t="s">
        <v>24</v>
      </c>
      <c r="N40">
        <v>27.5</v>
      </c>
      <c r="O40" t="s">
        <v>21</v>
      </c>
      <c r="P40">
        <v>8.1</v>
      </c>
      <c r="Q40" t="s">
        <v>25</v>
      </c>
      <c r="R40">
        <v>6.9</v>
      </c>
      <c r="S40">
        <f>YEAR(Table1[[#This Row],[Visitor Date]])</f>
        <v>2023</v>
      </c>
      <c r="T40" t="str">
        <f>TEXT(Table1[[#This Row],[Visitor Date]],"mmm")</f>
        <v>Aug</v>
      </c>
    </row>
    <row r="41" spans="1:20" x14ac:dyDescent="0.25">
      <c r="A41" t="s">
        <v>24</v>
      </c>
      <c r="B41">
        <v>44</v>
      </c>
      <c r="C41" t="s">
        <v>23</v>
      </c>
      <c r="D41">
        <v>135</v>
      </c>
      <c r="E41" s="1">
        <v>45041</v>
      </c>
      <c r="F41">
        <v>32</v>
      </c>
      <c r="G41">
        <v>85.3</v>
      </c>
      <c r="H41">
        <v>35</v>
      </c>
      <c r="I41">
        <v>2.5</v>
      </c>
      <c r="J41">
        <v>45</v>
      </c>
      <c r="K41">
        <v>29</v>
      </c>
      <c r="L41">
        <v>17.5</v>
      </c>
      <c r="M41" t="s">
        <v>24</v>
      </c>
      <c r="N41">
        <v>26</v>
      </c>
      <c r="O41" t="s">
        <v>21</v>
      </c>
      <c r="P41">
        <v>7.5</v>
      </c>
      <c r="Q41" t="s">
        <v>25</v>
      </c>
      <c r="R41">
        <v>6.3</v>
      </c>
      <c r="S41">
        <f>YEAR(Table1[[#This Row],[Visitor Date]])</f>
        <v>2023</v>
      </c>
      <c r="T41" t="str">
        <f>TEXT(Table1[[#This Row],[Visitor Date]],"mmm")</f>
        <v>Apr</v>
      </c>
    </row>
    <row r="42" spans="1:20" x14ac:dyDescent="0.25">
      <c r="A42" t="s">
        <v>26</v>
      </c>
      <c r="B42">
        <v>26</v>
      </c>
      <c r="C42" t="s">
        <v>19</v>
      </c>
      <c r="D42">
        <v>42</v>
      </c>
      <c r="E42" s="1">
        <v>45088</v>
      </c>
      <c r="F42">
        <v>8</v>
      </c>
      <c r="G42">
        <v>6.04</v>
      </c>
      <c r="H42">
        <v>78</v>
      </c>
      <c r="I42">
        <v>3.2</v>
      </c>
      <c r="J42">
        <v>48.7</v>
      </c>
      <c r="K42">
        <v>34</v>
      </c>
      <c r="L42">
        <v>5.8</v>
      </c>
      <c r="M42" t="s">
        <v>27</v>
      </c>
      <c r="N42">
        <v>23.6</v>
      </c>
      <c r="O42" t="s">
        <v>21</v>
      </c>
      <c r="P42">
        <v>18.399999999999999</v>
      </c>
      <c r="Q42" t="s">
        <v>22</v>
      </c>
      <c r="R42">
        <v>11.6</v>
      </c>
      <c r="S42">
        <f>YEAR(Table1[[#This Row],[Visitor Date]])</f>
        <v>2023</v>
      </c>
      <c r="T42" t="str">
        <f>TEXT(Table1[[#This Row],[Visitor Date]],"mmm")</f>
        <v>Jun</v>
      </c>
    </row>
    <row r="43" spans="1:20" x14ac:dyDescent="0.25">
      <c r="A43" t="s">
        <v>26</v>
      </c>
      <c r="B43">
        <v>26</v>
      </c>
      <c r="C43" t="s">
        <v>23</v>
      </c>
      <c r="D43">
        <v>30</v>
      </c>
      <c r="E43" s="1">
        <v>44715</v>
      </c>
      <c r="F43">
        <v>10</v>
      </c>
      <c r="G43">
        <v>7.5</v>
      </c>
      <c r="H43">
        <v>75</v>
      </c>
      <c r="I43">
        <v>3</v>
      </c>
      <c r="J43">
        <v>46.2</v>
      </c>
      <c r="K43">
        <v>27</v>
      </c>
      <c r="L43">
        <v>5.5</v>
      </c>
      <c r="M43" t="s">
        <v>27</v>
      </c>
      <c r="N43">
        <v>22</v>
      </c>
      <c r="O43" t="s">
        <v>21</v>
      </c>
      <c r="P43">
        <v>16.7</v>
      </c>
      <c r="Q43" t="s">
        <v>22</v>
      </c>
      <c r="R43">
        <v>10.8</v>
      </c>
      <c r="S43">
        <f>YEAR(Table1[[#This Row],[Visitor Date]])</f>
        <v>2022</v>
      </c>
      <c r="T43" t="str">
        <f>TEXT(Table1[[#This Row],[Visitor Date]],"mmm")</f>
        <v>Jun</v>
      </c>
    </row>
    <row r="44" spans="1:20" x14ac:dyDescent="0.25">
      <c r="A44" t="s">
        <v>28</v>
      </c>
      <c r="B44">
        <v>68</v>
      </c>
      <c r="C44" t="s">
        <v>19</v>
      </c>
      <c r="D44">
        <v>43</v>
      </c>
      <c r="E44" s="1">
        <v>44790</v>
      </c>
      <c r="F44">
        <v>11</v>
      </c>
      <c r="G44">
        <v>90</v>
      </c>
      <c r="H44">
        <v>54</v>
      </c>
      <c r="I44">
        <v>3.3</v>
      </c>
      <c r="J44">
        <v>7.8</v>
      </c>
      <c r="K44">
        <v>33</v>
      </c>
      <c r="L44">
        <v>11</v>
      </c>
      <c r="M44" t="s">
        <v>20</v>
      </c>
      <c r="N44">
        <v>5.3</v>
      </c>
      <c r="O44" t="s">
        <v>29</v>
      </c>
      <c r="P44">
        <v>20.5</v>
      </c>
      <c r="Q44" t="s">
        <v>25</v>
      </c>
      <c r="R44">
        <v>19.5</v>
      </c>
      <c r="S44">
        <f>YEAR(Table1[[#This Row],[Visitor Date]])</f>
        <v>2022</v>
      </c>
      <c r="T44" t="str">
        <f>TEXT(Table1[[#This Row],[Visitor Date]],"mmm")</f>
        <v>Aug</v>
      </c>
    </row>
    <row r="45" spans="1:20" x14ac:dyDescent="0.25">
      <c r="A45" t="s">
        <v>28</v>
      </c>
      <c r="B45">
        <v>68</v>
      </c>
      <c r="C45" t="s">
        <v>23</v>
      </c>
      <c r="D45">
        <v>35</v>
      </c>
      <c r="E45" s="1">
        <v>44776</v>
      </c>
      <c r="F45">
        <v>9</v>
      </c>
      <c r="G45">
        <v>88</v>
      </c>
      <c r="H45">
        <v>50</v>
      </c>
      <c r="I45">
        <v>3.1</v>
      </c>
      <c r="J45">
        <v>4</v>
      </c>
      <c r="K45">
        <v>29</v>
      </c>
      <c r="L45">
        <v>10.199999999999999</v>
      </c>
      <c r="M45" t="s">
        <v>20</v>
      </c>
      <c r="N45">
        <v>4.8</v>
      </c>
      <c r="O45" t="s">
        <v>29</v>
      </c>
      <c r="P45">
        <v>19.7</v>
      </c>
      <c r="Q45" t="s">
        <v>25</v>
      </c>
      <c r="R45">
        <v>18</v>
      </c>
      <c r="S45">
        <f>YEAR(Table1[[#This Row],[Visitor Date]])</f>
        <v>2022</v>
      </c>
      <c r="T45" t="str">
        <f>TEXT(Table1[[#This Row],[Visitor Date]],"mmm")</f>
        <v>Aug</v>
      </c>
    </row>
    <row r="46" spans="1:20" x14ac:dyDescent="0.25">
      <c r="A46" t="s">
        <v>30</v>
      </c>
      <c r="B46">
        <v>14</v>
      </c>
      <c r="C46" t="s">
        <v>19</v>
      </c>
      <c r="D46">
        <v>100</v>
      </c>
      <c r="E46" s="1">
        <v>45125</v>
      </c>
      <c r="F46">
        <v>14</v>
      </c>
      <c r="G46">
        <v>70.63</v>
      </c>
      <c r="H46">
        <v>41</v>
      </c>
      <c r="I46">
        <v>3.9</v>
      </c>
      <c r="J46">
        <v>59.4</v>
      </c>
      <c r="K46">
        <v>89</v>
      </c>
      <c r="L46">
        <v>15.6</v>
      </c>
      <c r="M46" t="s">
        <v>27</v>
      </c>
      <c r="N46">
        <v>23.7</v>
      </c>
      <c r="O46" t="s">
        <v>31</v>
      </c>
      <c r="P46">
        <v>15.6</v>
      </c>
      <c r="Q46" t="s">
        <v>25</v>
      </c>
      <c r="R46">
        <v>15.1</v>
      </c>
      <c r="S46">
        <f>YEAR(Table1[[#This Row],[Visitor Date]])</f>
        <v>2023</v>
      </c>
      <c r="T46" t="str">
        <f>TEXT(Table1[[#This Row],[Visitor Date]],"mmm")</f>
        <v>Jul</v>
      </c>
    </row>
    <row r="47" spans="1:20" x14ac:dyDescent="0.25">
      <c r="A47" t="s">
        <v>30</v>
      </c>
      <c r="B47">
        <v>14</v>
      </c>
      <c r="C47" t="s">
        <v>23</v>
      </c>
      <c r="D47">
        <v>8</v>
      </c>
      <c r="E47" s="1">
        <v>45099</v>
      </c>
      <c r="F47">
        <v>10</v>
      </c>
      <c r="G47">
        <v>65</v>
      </c>
      <c r="H47">
        <v>25</v>
      </c>
      <c r="I47">
        <v>3.5</v>
      </c>
      <c r="J47">
        <v>55</v>
      </c>
      <c r="K47">
        <v>65</v>
      </c>
      <c r="L47">
        <v>14</v>
      </c>
      <c r="M47" t="s">
        <v>27</v>
      </c>
      <c r="N47">
        <v>21.5</v>
      </c>
      <c r="O47" t="s">
        <v>31</v>
      </c>
      <c r="P47">
        <v>13.9</v>
      </c>
      <c r="Q47" t="s">
        <v>25</v>
      </c>
      <c r="R47">
        <v>14.2</v>
      </c>
      <c r="S47">
        <f>YEAR(Table1[[#This Row],[Visitor Date]])</f>
        <v>2023</v>
      </c>
      <c r="T47" t="str">
        <f>TEXT(Table1[[#This Row],[Visitor Date]],"mmm")</f>
        <v>Jun</v>
      </c>
    </row>
    <row r="48" spans="1:20" x14ac:dyDescent="0.25">
      <c r="A48" t="s">
        <v>32</v>
      </c>
      <c r="B48">
        <v>33</v>
      </c>
      <c r="C48" t="s">
        <v>19</v>
      </c>
      <c r="D48">
        <v>38</v>
      </c>
      <c r="E48" s="1">
        <v>44739</v>
      </c>
      <c r="F48">
        <v>19</v>
      </c>
      <c r="G48">
        <v>65.34</v>
      </c>
      <c r="H48">
        <v>26</v>
      </c>
      <c r="I48">
        <v>4.0999999999999996</v>
      </c>
      <c r="J48">
        <v>20</v>
      </c>
      <c r="K48">
        <v>93</v>
      </c>
      <c r="L48">
        <v>16.2</v>
      </c>
      <c r="M48" t="s">
        <v>24</v>
      </c>
      <c r="N48">
        <v>18.899999999999999</v>
      </c>
      <c r="O48" t="s">
        <v>33</v>
      </c>
      <c r="P48">
        <v>13.8</v>
      </c>
      <c r="Q48" t="s">
        <v>34</v>
      </c>
      <c r="R48">
        <v>10.7</v>
      </c>
      <c r="S48">
        <f>YEAR(Table1[[#This Row],[Visitor Date]])</f>
        <v>2022</v>
      </c>
      <c r="T48" t="str">
        <f>TEXT(Table1[[#This Row],[Visitor Date]],"mmm")</f>
        <v>Jun</v>
      </c>
    </row>
    <row r="49" spans="1:20" x14ac:dyDescent="0.25">
      <c r="A49" t="s">
        <v>32</v>
      </c>
      <c r="B49">
        <v>33</v>
      </c>
      <c r="C49" t="s">
        <v>23</v>
      </c>
      <c r="D49">
        <v>25</v>
      </c>
      <c r="E49" s="1">
        <v>44629</v>
      </c>
      <c r="F49">
        <v>15</v>
      </c>
      <c r="G49">
        <v>60.2</v>
      </c>
      <c r="H49">
        <v>27</v>
      </c>
      <c r="I49">
        <v>3.8</v>
      </c>
      <c r="J49">
        <v>50.5</v>
      </c>
      <c r="K49">
        <v>75</v>
      </c>
      <c r="L49">
        <v>15</v>
      </c>
      <c r="M49" t="s">
        <v>24</v>
      </c>
      <c r="N49">
        <v>17.8</v>
      </c>
      <c r="O49" t="s">
        <v>33</v>
      </c>
      <c r="P49">
        <v>12</v>
      </c>
      <c r="Q49" t="s">
        <v>34</v>
      </c>
      <c r="R49">
        <v>9.5</v>
      </c>
      <c r="S49">
        <f>YEAR(Table1[[#This Row],[Visitor Date]])</f>
        <v>2022</v>
      </c>
      <c r="T49" t="str">
        <f>TEXT(Table1[[#This Row],[Visitor Date]],"mmm")</f>
        <v>Mar</v>
      </c>
    </row>
    <row r="50" spans="1:20" x14ac:dyDescent="0.25">
      <c r="A50" t="s">
        <v>18</v>
      </c>
      <c r="B50">
        <v>91</v>
      </c>
      <c r="C50" t="s">
        <v>19</v>
      </c>
      <c r="D50">
        <v>40</v>
      </c>
      <c r="E50" s="1">
        <v>44810</v>
      </c>
      <c r="F50">
        <v>47</v>
      </c>
      <c r="G50">
        <v>54.88</v>
      </c>
      <c r="H50">
        <v>77</v>
      </c>
      <c r="I50">
        <v>4.4000000000000004</v>
      </c>
      <c r="J50">
        <v>1.5</v>
      </c>
      <c r="K50">
        <v>66</v>
      </c>
      <c r="L50">
        <v>17.100000000000001</v>
      </c>
      <c r="M50" t="s">
        <v>20</v>
      </c>
      <c r="N50">
        <v>6.2</v>
      </c>
      <c r="O50" t="s">
        <v>21</v>
      </c>
      <c r="P50">
        <v>17.399999999999999</v>
      </c>
      <c r="Q50" t="s">
        <v>22</v>
      </c>
      <c r="R50">
        <v>22.2</v>
      </c>
      <c r="S50">
        <f>YEAR(Table1[[#This Row],[Visitor Date]])</f>
        <v>2022</v>
      </c>
      <c r="T50" t="str">
        <f>TEXT(Table1[[#This Row],[Visitor Date]],"mmm")</f>
        <v>Sep</v>
      </c>
    </row>
    <row r="51" spans="1:20" x14ac:dyDescent="0.25">
      <c r="A51" t="s">
        <v>18</v>
      </c>
      <c r="B51">
        <v>91</v>
      </c>
      <c r="C51" t="s">
        <v>23</v>
      </c>
      <c r="D51">
        <v>30</v>
      </c>
      <c r="E51" s="1">
        <v>45206</v>
      </c>
      <c r="F51">
        <v>35</v>
      </c>
      <c r="G51">
        <v>56.3</v>
      </c>
      <c r="H51">
        <v>73</v>
      </c>
      <c r="I51">
        <v>3.9</v>
      </c>
      <c r="J51">
        <v>59.2</v>
      </c>
      <c r="K51">
        <v>56</v>
      </c>
      <c r="L51">
        <v>16</v>
      </c>
      <c r="M51" t="s">
        <v>20</v>
      </c>
      <c r="N51">
        <v>6</v>
      </c>
      <c r="O51" t="s">
        <v>21</v>
      </c>
      <c r="P51">
        <v>16.8</v>
      </c>
      <c r="Q51" t="s">
        <v>22</v>
      </c>
      <c r="R51">
        <v>21.5</v>
      </c>
      <c r="S51">
        <f>YEAR(Table1[[#This Row],[Visitor Date]])</f>
        <v>2023</v>
      </c>
      <c r="T51" t="str">
        <f>TEXT(Table1[[#This Row],[Visitor Date]],"mmm")</f>
        <v>Oct</v>
      </c>
    </row>
    <row r="52" spans="1:20" x14ac:dyDescent="0.25">
      <c r="A52" t="s">
        <v>24</v>
      </c>
      <c r="B52">
        <v>44</v>
      </c>
      <c r="C52" t="s">
        <v>19</v>
      </c>
      <c r="D52">
        <v>46</v>
      </c>
      <c r="E52" s="1">
        <v>45162</v>
      </c>
      <c r="F52">
        <v>44</v>
      </c>
      <c r="G52">
        <v>91.47</v>
      </c>
      <c r="H52">
        <v>49</v>
      </c>
      <c r="I52">
        <v>2.7</v>
      </c>
      <c r="J52">
        <v>47.8</v>
      </c>
      <c r="K52">
        <v>32</v>
      </c>
      <c r="L52">
        <v>18</v>
      </c>
      <c r="M52" t="s">
        <v>24</v>
      </c>
      <c r="N52">
        <v>27.5</v>
      </c>
      <c r="O52" t="s">
        <v>21</v>
      </c>
      <c r="P52">
        <v>8.1</v>
      </c>
      <c r="Q52" t="s">
        <v>25</v>
      </c>
      <c r="R52">
        <v>6.9</v>
      </c>
      <c r="S52">
        <f>YEAR(Table1[[#This Row],[Visitor Date]])</f>
        <v>2023</v>
      </c>
      <c r="T52" t="str">
        <f>TEXT(Table1[[#This Row],[Visitor Date]],"mmm")</f>
        <v>Aug</v>
      </c>
    </row>
    <row r="53" spans="1:20" x14ac:dyDescent="0.25">
      <c r="A53" t="s">
        <v>24</v>
      </c>
      <c r="B53">
        <v>44</v>
      </c>
      <c r="C53" t="s">
        <v>23</v>
      </c>
      <c r="D53">
        <v>135</v>
      </c>
      <c r="E53" s="1">
        <v>44963</v>
      </c>
      <c r="F53">
        <v>32</v>
      </c>
      <c r="G53">
        <v>85.3</v>
      </c>
      <c r="H53">
        <v>35</v>
      </c>
      <c r="I53">
        <v>2.5</v>
      </c>
      <c r="J53">
        <v>45</v>
      </c>
      <c r="K53">
        <v>29</v>
      </c>
      <c r="L53">
        <v>17.5</v>
      </c>
      <c r="M53" t="s">
        <v>24</v>
      </c>
      <c r="N53">
        <v>26</v>
      </c>
      <c r="O53" t="s">
        <v>21</v>
      </c>
      <c r="P53">
        <v>7.5</v>
      </c>
      <c r="Q53" t="s">
        <v>25</v>
      </c>
      <c r="R53">
        <v>6.3</v>
      </c>
      <c r="S53">
        <f>YEAR(Table1[[#This Row],[Visitor Date]])</f>
        <v>2023</v>
      </c>
      <c r="T53" t="str">
        <f>TEXT(Table1[[#This Row],[Visitor Date]],"mmm")</f>
        <v>Feb</v>
      </c>
    </row>
    <row r="54" spans="1:20" x14ac:dyDescent="0.25">
      <c r="A54" t="s">
        <v>26</v>
      </c>
      <c r="B54">
        <v>26</v>
      </c>
      <c r="C54" t="s">
        <v>19</v>
      </c>
      <c r="D54">
        <v>42</v>
      </c>
      <c r="E54" s="1">
        <v>44738</v>
      </c>
      <c r="F54">
        <v>8</v>
      </c>
      <c r="G54">
        <v>6.04</v>
      </c>
      <c r="H54">
        <v>78</v>
      </c>
      <c r="I54">
        <v>3.2</v>
      </c>
      <c r="J54">
        <v>48.7</v>
      </c>
      <c r="K54">
        <v>34</v>
      </c>
      <c r="L54">
        <v>5.8</v>
      </c>
      <c r="M54" t="s">
        <v>27</v>
      </c>
      <c r="N54">
        <v>23.6</v>
      </c>
      <c r="O54" t="s">
        <v>21</v>
      </c>
      <c r="P54">
        <v>18.399999999999999</v>
      </c>
      <c r="Q54" t="s">
        <v>22</v>
      </c>
      <c r="R54">
        <v>11.6</v>
      </c>
      <c r="S54">
        <f>YEAR(Table1[[#This Row],[Visitor Date]])</f>
        <v>2022</v>
      </c>
      <c r="T54" t="str">
        <f>TEXT(Table1[[#This Row],[Visitor Date]],"mmm")</f>
        <v>Jun</v>
      </c>
    </row>
    <row r="55" spans="1:20" x14ac:dyDescent="0.25">
      <c r="A55" t="s">
        <v>26</v>
      </c>
      <c r="B55">
        <v>26</v>
      </c>
      <c r="C55" t="s">
        <v>23</v>
      </c>
      <c r="D55">
        <v>30</v>
      </c>
      <c r="E55" s="1">
        <v>44866</v>
      </c>
      <c r="F55">
        <v>10</v>
      </c>
      <c r="G55">
        <v>7.5</v>
      </c>
      <c r="H55">
        <v>75</v>
      </c>
      <c r="I55">
        <v>3</v>
      </c>
      <c r="J55">
        <v>46.2</v>
      </c>
      <c r="K55">
        <v>27</v>
      </c>
      <c r="L55">
        <v>5.5</v>
      </c>
      <c r="M55" t="s">
        <v>27</v>
      </c>
      <c r="N55">
        <v>22</v>
      </c>
      <c r="O55" t="s">
        <v>21</v>
      </c>
      <c r="P55">
        <v>16.7</v>
      </c>
      <c r="Q55" t="s">
        <v>22</v>
      </c>
      <c r="R55">
        <v>10.8</v>
      </c>
      <c r="S55">
        <f>YEAR(Table1[[#This Row],[Visitor Date]])</f>
        <v>2022</v>
      </c>
      <c r="T55" t="str">
        <f>TEXT(Table1[[#This Row],[Visitor Date]],"mmm")</f>
        <v>Nov</v>
      </c>
    </row>
    <row r="56" spans="1:20" x14ac:dyDescent="0.25">
      <c r="A56" t="s">
        <v>28</v>
      </c>
      <c r="B56">
        <v>68</v>
      </c>
      <c r="C56" t="s">
        <v>19</v>
      </c>
      <c r="D56">
        <v>143</v>
      </c>
      <c r="E56" s="1">
        <v>44746</v>
      </c>
      <c r="F56">
        <v>11</v>
      </c>
      <c r="G56">
        <v>90</v>
      </c>
      <c r="H56">
        <v>54</v>
      </c>
      <c r="I56">
        <v>3.3</v>
      </c>
      <c r="J56">
        <v>67.8</v>
      </c>
      <c r="K56">
        <v>33</v>
      </c>
      <c r="L56">
        <v>11</v>
      </c>
      <c r="M56" t="s">
        <v>20</v>
      </c>
      <c r="N56">
        <v>5.3</v>
      </c>
      <c r="O56" t="s">
        <v>29</v>
      </c>
      <c r="P56">
        <v>20.5</v>
      </c>
      <c r="Q56" t="s">
        <v>25</v>
      </c>
      <c r="R56">
        <v>19.5</v>
      </c>
      <c r="S56">
        <f>YEAR(Table1[[#This Row],[Visitor Date]])</f>
        <v>2022</v>
      </c>
      <c r="T56" t="str">
        <f>TEXT(Table1[[#This Row],[Visitor Date]],"mmm")</f>
        <v>Jul</v>
      </c>
    </row>
    <row r="57" spans="1:20" x14ac:dyDescent="0.25">
      <c r="A57" t="s">
        <v>28</v>
      </c>
      <c r="B57">
        <v>68</v>
      </c>
      <c r="C57" t="s">
        <v>23</v>
      </c>
      <c r="D57">
        <v>35</v>
      </c>
      <c r="E57" s="1">
        <v>44907</v>
      </c>
      <c r="F57">
        <v>9</v>
      </c>
      <c r="G57">
        <v>88</v>
      </c>
      <c r="H57">
        <v>50</v>
      </c>
      <c r="I57">
        <v>3.1</v>
      </c>
      <c r="J57">
        <v>64</v>
      </c>
      <c r="K57">
        <v>29</v>
      </c>
      <c r="L57">
        <v>10.199999999999999</v>
      </c>
      <c r="M57" t="s">
        <v>20</v>
      </c>
      <c r="N57">
        <v>4.8</v>
      </c>
      <c r="O57" t="s">
        <v>29</v>
      </c>
      <c r="P57">
        <v>19.7</v>
      </c>
      <c r="Q57" t="s">
        <v>25</v>
      </c>
      <c r="R57">
        <v>18</v>
      </c>
      <c r="S57">
        <f>YEAR(Table1[[#This Row],[Visitor Date]])</f>
        <v>2022</v>
      </c>
      <c r="T57" t="str">
        <f>TEXT(Table1[[#This Row],[Visitor Date]],"mmm")</f>
        <v>Dec</v>
      </c>
    </row>
    <row r="58" spans="1:20" x14ac:dyDescent="0.25">
      <c r="A58" t="s">
        <v>30</v>
      </c>
      <c r="B58">
        <v>14</v>
      </c>
      <c r="C58" t="s">
        <v>19</v>
      </c>
      <c r="D58">
        <v>10</v>
      </c>
      <c r="E58" s="1">
        <v>44948</v>
      </c>
      <c r="F58">
        <v>14</v>
      </c>
      <c r="G58">
        <v>70.63</v>
      </c>
      <c r="H58">
        <v>41</v>
      </c>
      <c r="I58">
        <v>3.9</v>
      </c>
      <c r="J58">
        <v>59.4</v>
      </c>
      <c r="K58">
        <v>89</v>
      </c>
      <c r="L58">
        <v>15.6</v>
      </c>
      <c r="M58" t="s">
        <v>27</v>
      </c>
      <c r="N58">
        <v>23.7</v>
      </c>
      <c r="O58" t="s">
        <v>31</v>
      </c>
      <c r="P58">
        <v>15.6</v>
      </c>
      <c r="Q58" t="s">
        <v>25</v>
      </c>
      <c r="R58">
        <v>15.1</v>
      </c>
      <c r="S58">
        <f>YEAR(Table1[[#This Row],[Visitor Date]])</f>
        <v>2023</v>
      </c>
      <c r="T58" t="str">
        <f>TEXT(Table1[[#This Row],[Visitor Date]],"mmm")</f>
        <v>Jan</v>
      </c>
    </row>
    <row r="59" spans="1:20" x14ac:dyDescent="0.25">
      <c r="A59" t="s">
        <v>30</v>
      </c>
      <c r="B59">
        <v>14</v>
      </c>
      <c r="C59" t="s">
        <v>23</v>
      </c>
      <c r="D59">
        <v>80</v>
      </c>
      <c r="E59" s="1">
        <v>44926</v>
      </c>
      <c r="F59">
        <v>10</v>
      </c>
      <c r="G59">
        <v>65</v>
      </c>
      <c r="H59">
        <v>25</v>
      </c>
      <c r="I59">
        <v>3.5</v>
      </c>
      <c r="J59">
        <v>55</v>
      </c>
      <c r="K59">
        <v>65</v>
      </c>
      <c r="L59">
        <v>14</v>
      </c>
      <c r="M59" t="s">
        <v>27</v>
      </c>
      <c r="N59">
        <v>21.5</v>
      </c>
      <c r="O59" t="s">
        <v>31</v>
      </c>
      <c r="P59">
        <v>13.9</v>
      </c>
      <c r="Q59" t="s">
        <v>25</v>
      </c>
      <c r="R59">
        <v>14.2</v>
      </c>
      <c r="S59">
        <f>YEAR(Table1[[#This Row],[Visitor Date]])</f>
        <v>2022</v>
      </c>
      <c r="T59" t="str">
        <f>TEXT(Table1[[#This Row],[Visitor Date]],"mmm")</f>
        <v>Dec</v>
      </c>
    </row>
    <row r="60" spans="1:20" x14ac:dyDescent="0.25">
      <c r="A60" t="s">
        <v>32</v>
      </c>
      <c r="B60">
        <v>33</v>
      </c>
      <c r="C60" t="s">
        <v>19</v>
      </c>
      <c r="D60">
        <v>38</v>
      </c>
      <c r="E60" s="1">
        <v>44701</v>
      </c>
      <c r="F60">
        <v>19</v>
      </c>
      <c r="G60">
        <v>65.34</v>
      </c>
      <c r="H60">
        <v>26</v>
      </c>
      <c r="I60">
        <v>4.0999999999999996</v>
      </c>
      <c r="J60">
        <v>52.3</v>
      </c>
      <c r="K60">
        <v>93</v>
      </c>
      <c r="L60">
        <v>16.2</v>
      </c>
      <c r="M60" t="s">
        <v>24</v>
      </c>
      <c r="N60">
        <v>18.899999999999999</v>
      </c>
      <c r="O60" t="s">
        <v>33</v>
      </c>
      <c r="P60">
        <v>13.8</v>
      </c>
      <c r="Q60" t="s">
        <v>34</v>
      </c>
      <c r="R60">
        <v>10.7</v>
      </c>
      <c r="S60">
        <f>YEAR(Table1[[#This Row],[Visitor Date]])</f>
        <v>2022</v>
      </c>
      <c r="T60" t="str">
        <f>TEXT(Table1[[#This Row],[Visitor Date]],"mmm")</f>
        <v>May</v>
      </c>
    </row>
    <row r="61" spans="1:20" x14ac:dyDescent="0.25">
      <c r="A61" t="s">
        <v>32</v>
      </c>
      <c r="B61">
        <v>33</v>
      </c>
      <c r="C61" t="s">
        <v>23</v>
      </c>
      <c r="D61">
        <v>125</v>
      </c>
      <c r="E61" s="1">
        <v>45058</v>
      </c>
      <c r="F61">
        <v>15</v>
      </c>
      <c r="G61">
        <v>60.2</v>
      </c>
      <c r="H61">
        <v>27</v>
      </c>
      <c r="I61">
        <v>3.8</v>
      </c>
      <c r="J61">
        <v>50.5</v>
      </c>
      <c r="K61">
        <v>75</v>
      </c>
      <c r="L61">
        <v>15</v>
      </c>
      <c r="M61" t="s">
        <v>24</v>
      </c>
      <c r="N61">
        <v>17.8</v>
      </c>
      <c r="O61" t="s">
        <v>33</v>
      </c>
      <c r="P61">
        <v>12</v>
      </c>
      <c r="Q61" t="s">
        <v>34</v>
      </c>
      <c r="R61">
        <v>9.5</v>
      </c>
      <c r="S61">
        <f>YEAR(Table1[[#This Row],[Visitor Date]])</f>
        <v>2023</v>
      </c>
      <c r="T61" t="str">
        <f>TEXT(Table1[[#This Row],[Visitor Date]],"mmm")</f>
        <v>May</v>
      </c>
    </row>
    <row r="62" spans="1:20" x14ac:dyDescent="0.25">
      <c r="A62" t="s">
        <v>18</v>
      </c>
      <c r="B62">
        <v>91</v>
      </c>
      <c r="C62" t="s">
        <v>19</v>
      </c>
      <c r="D62">
        <v>56</v>
      </c>
      <c r="E62" s="1">
        <v>44824</v>
      </c>
      <c r="F62">
        <v>55</v>
      </c>
      <c r="G62">
        <v>54.88</v>
      </c>
      <c r="H62">
        <v>77</v>
      </c>
      <c r="I62">
        <v>4.3</v>
      </c>
      <c r="J62">
        <v>1.5</v>
      </c>
      <c r="K62">
        <v>71</v>
      </c>
      <c r="L62">
        <v>17.100000000000001</v>
      </c>
      <c r="M62" t="s">
        <v>20</v>
      </c>
      <c r="N62">
        <v>6.2</v>
      </c>
      <c r="O62" t="s">
        <v>21</v>
      </c>
      <c r="P62">
        <v>17.399999999999999</v>
      </c>
      <c r="Q62" t="s">
        <v>22</v>
      </c>
      <c r="R62">
        <v>22.2</v>
      </c>
      <c r="S62">
        <f>YEAR(Table1[[#This Row],[Visitor Date]])</f>
        <v>2022</v>
      </c>
      <c r="T62" t="str">
        <f>TEXT(Table1[[#This Row],[Visitor Date]],"mmm")</f>
        <v>Sep</v>
      </c>
    </row>
    <row r="63" spans="1:20" x14ac:dyDescent="0.25">
      <c r="A63" t="s">
        <v>18</v>
      </c>
      <c r="B63">
        <v>91</v>
      </c>
      <c r="C63" t="s">
        <v>23</v>
      </c>
      <c r="D63">
        <v>24</v>
      </c>
      <c r="E63" s="1">
        <v>44718</v>
      </c>
      <c r="F63">
        <v>28</v>
      </c>
      <c r="G63">
        <v>56.3</v>
      </c>
      <c r="H63">
        <v>73</v>
      </c>
      <c r="I63">
        <v>3.5</v>
      </c>
      <c r="J63">
        <v>5</v>
      </c>
      <c r="K63">
        <v>55</v>
      </c>
      <c r="L63">
        <v>16</v>
      </c>
      <c r="M63" t="s">
        <v>20</v>
      </c>
      <c r="N63">
        <v>6</v>
      </c>
      <c r="O63" t="s">
        <v>21</v>
      </c>
      <c r="P63">
        <v>16.8</v>
      </c>
      <c r="Q63" t="s">
        <v>22</v>
      </c>
      <c r="R63">
        <v>21.5</v>
      </c>
      <c r="S63">
        <f>YEAR(Table1[[#This Row],[Visitor Date]])</f>
        <v>2022</v>
      </c>
      <c r="T63" t="str">
        <f>TEXT(Table1[[#This Row],[Visitor Date]],"mmm")</f>
        <v>Jun</v>
      </c>
    </row>
    <row r="64" spans="1:20" x14ac:dyDescent="0.25">
      <c r="A64" t="s">
        <v>24</v>
      </c>
      <c r="B64">
        <v>44</v>
      </c>
      <c r="C64" t="s">
        <v>19</v>
      </c>
      <c r="D64">
        <v>40</v>
      </c>
      <c r="E64" s="1">
        <v>44674</v>
      </c>
      <c r="F64">
        <v>48</v>
      </c>
      <c r="G64">
        <v>91.47</v>
      </c>
      <c r="H64">
        <v>49</v>
      </c>
      <c r="I64">
        <v>3</v>
      </c>
      <c r="J64">
        <v>47.8</v>
      </c>
      <c r="K64">
        <v>33</v>
      </c>
      <c r="L64">
        <v>18</v>
      </c>
      <c r="M64" t="s">
        <v>24</v>
      </c>
      <c r="N64">
        <v>27.5</v>
      </c>
      <c r="O64" t="s">
        <v>21</v>
      </c>
      <c r="P64">
        <v>8.1</v>
      </c>
      <c r="Q64" t="s">
        <v>25</v>
      </c>
      <c r="R64">
        <v>6.9</v>
      </c>
      <c r="S64">
        <f>YEAR(Table1[[#This Row],[Visitor Date]])</f>
        <v>2022</v>
      </c>
      <c r="T64" t="str">
        <f>TEXT(Table1[[#This Row],[Visitor Date]],"mmm")</f>
        <v>Apr</v>
      </c>
    </row>
    <row r="65" spans="1:20" x14ac:dyDescent="0.25">
      <c r="A65" t="s">
        <v>24</v>
      </c>
      <c r="B65">
        <v>44</v>
      </c>
      <c r="C65" t="s">
        <v>23</v>
      </c>
      <c r="D65">
        <v>37</v>
      </c>
      <c r="E65" s="1">
        <v>45145</v>
      </c>
      <c r="F65">
        <v>39</v>
      </c>
      <c r="G65">
        <v>85.3</v>
      </c>
      <c r="H65">
        <v>35</v>
      </c>
      <c r="I65">
        <v>2.8</v>
      </c>
      <c r="J65">
        <v>45</v>
      </c>
      <c r="K65">
        <v>28</v>
      </c>
      <c r="L65">
        <v>17.5</v>
      </c>
      <c r="M65" t="s">
        <v>24</v>
      </c>
      <c r="N65">
        <v>26</v>
      </c>
      <c r="O65" t="s">
        <v>21</v>
      </c>
      <c r="P65">
        <v>7.5</v>
      </c>
      <c r="Q65" t="s">
        <v>25</v>
      </c>
      <c r="R65">
        <v>6.3</v>
      </c>
      <c r="S65">
        <f>YEAR(Table1[[#This Row],[Visitor Date]])</f>
        <v>2023</v>
      </c>
      <c r="T65" t="str">
        <f>TEXT(Table1[[#This Row],[Visitor Date]],"mmm")</f>
        <v>Aug</v>
      </c>
    </row>
    <row r="66" spans="1:20" x14ac:dyDescent="0.25">
      <c r="A66" t="s">
        <v>26</v>
      </c>
      <c r="B66">
        <v>26</v>
      </c>
      <c r="C66" t="s">
        <v>19</v>
      </c>
      <c r="D66">
        <v>133</v>
      </c>
      <c r="E66" s="1">
        <v>44667</v>
      </c>
      <c r="F66">
        <v>10</v>
      </c>
      <c r="G66">
        <v>6.04</v>
      </c>
      <c r="H66">
        <v>78</v>
      </c>
      <c r="I66">
        <v>3.1</v>
      </c>
      <c r="J66">
        <v>48.7</v>
      </c>
      <c r="K66">
        <v>35</v>
      </c>
      <c r="L66">
        <v>5.8</v>
      </c>
      <c r="M66" t="s">
        <v>27</v>
      </c>
      <c r="N66">
        <v>23.6</v>
      </c>
      <c r="O66" t="s">
        <v>21</v>
      </c>
      <c r="P66">
        <v>18.399999999999999</v>
      </c>
      <c r="Q66" t="s">
        <v>22</v>
      </c>
      <c r="R66">
        <v>11.6</v>
      </c>
      <c r="S66">
        <f>YEAR(Table1[[#This Row],[Visitor Date]])</f>
        <v>2022</v>
      </c>
      <c r="T66" t="str">
        <f>TEXT(Table1[[#This Row],[Visitor Date]],"mmm")</f>
        <v>Apr</v>
      </c>
    </row>
    <row r="67" spans="1:20" x14ac:dyDescent="0.25">
      <c r="A67" t="s">
        <v>26</v>
      </c>
      <c r="B67">
        <v>26</v>
      </c>
      <c r="C67" t="s">
        <v>23</v>
      </c>
      <c r="D67">
        <v>39</v>
      </c>
      <c r="E67" s="1">
        <v>45150</v>
      </c>
      <c r="F67">
        <v>15</v>
      </c>
      <c r="G67">
        <v>7.5</v>
      </c>
      <c r="H67">
        <v>75</v>
      </c>
      <c r="I67">
        <v>3.2</v>
      </c>
      <c r="J67">
        <v>46.2</v>
      </c>
      <c r="K67">
        <v>30</v>
      </c>
      <c r="L67">
        <v>5.5</v>
      </c>
      <c r="M67" t="s">
        <v>27</v>
      </c>
      <c r="N67">
        <v>22</v>
      </c>
      <c r="O67" t="s">
        <v>21</v>
      </c>
      <c r="P67">
        <v>16.7</v>
      </c>
      <c r="Q67" t="s">
        <v>22</v>
      </c>
      <c r="R67">
        <v>10.8</v>
      </c>
      <c r="S67">
        <f>YEAR(Table1[[#This Row],[Visitor Date]])</f>
        <v>2023</v>
      </c>
      <c r="T67" t="str">
        <f>TEXT(Table1[[#This Row],[Visitor Date]],"mmm")</f>
        <v>Aug</v>
      </c>
    </row>
    <row r="68" spans="1:20" x14ac:dyDescent="0.25">
      <c r="A68" t="s">
        <v>28</v>
      </c>
      <c r="B68">
        <v>68</v>
      </c>
      <c r="C68" t="s">
        <v>19</v>
      </c>
      <c r="D68">
        <v>60</v>
      </c>
      <c r="E68" s="1">
        <v>45070</v>
      </c>
      <c r="F68">
        <v>16</v>
      </c>
      <c r="G68">
        <v>90</v>
      </c>
      <c r="H68">
        <v>54</v>
      </c>
      <c r="I68">
        <v>3.5</v>
      </c>
      <c r="J68">
        <v>67.8</v>
      </c>
      <c r="K68">
        <v>34</v>
      </c>
      <c r="L68">
        <v>11</v>
      </c>
      <c r="M68" t="s">
        <v>20</v>
      </c>
      <c r="N68">
        <v>5.3</v>
      </c>
      <c r="O68" t="s">
        <v>29</v>
      </c>
      <c r="P68">
        <v>20.5</v>
      </c>
      <c r="Q68" t="s">
        <v>25</v>
      </c>
      <c r="R68">
        <v>19.5</v>
      </c>
      <c r="S68">
        <f>YEAR(Table1[[#This Row],[Visitor Date]])</f>
        <v>2023</v>
      </c>
      <c r="T68" t="str">
        <f>TEXT(Table1[[#This Row],[Visitor Date]],"mmm")</f>
        <v>May</v>
      </c>
    </row>
    <row r="69" spans="1:20" x14ac:dyDescent="0.25">
      <c r="A69" t="s">
        <v>28</v>
      </c>
      <c r="B69">
        <v>68</v>
      </c>
      <c r="C69" t="s">
        <v>23</v>
      </c>
      <c r="D69">
        <v>333</v>
      </c>
      <c r="E69" s="1">
        <v>44712</v>
      </c>
      <c r="F69">
        <v>12</v>
      </c>
      <c r="G69">
        <v>88</v>
      </c>
      <c r="H69">
        <v>50</v>
      </c>
      <c r="I69">
        <v>3.2</v>
      </c>
      <c r="J69">
        <v>64</v>
      </c>
      <c r="K69">
        <v>29</v>
      </c>
      <c r="L69">
        <v>10.199999999999999</v>
      </c>
      <c r="M69" t="s">
        <v>20</v>
      </c>
      <c r="N69">
        <v>4.8</v>
      </c>
      <c r="O69" t="s">
        <v>29</v>
      </c>
      <c r="P69">
        <v>19.7</v>
      </c>
      <c r="Q69" t="s">
        <v>25</v>
      </c>
      <c r="R69">
        <v>18</v>
      </c>
      <c r="S69">
        <f>YEAR(Table1[[#This Row],[Visitor Date]])</f>
        <v>2022</v>
      </c>
      <c r="T69" t="str">
        <f>TEXT(Table1[[#This Row],[Visitor Date]],"mmm")</f>
        <v>May</v>
      </c>
    </row>
    <row r="70" spans="1:20" x14ac:dyDescent="0.25">
      <c r="A70" t="s">
        <v>30</v>
      </c>
      <c r="B70">
        <v>14</v>
      </c>
      <c r="C70" t="s">
        <v>19</v>
      </c>
      <c r="D70">
        <v>6</v>
      </c>
      <c r="E70" s="1">
        <v>44869</v>
      </c>
      <c r="F70">
        <v>18</v>
      </c>
      <c r="G70">
        <v>70.63</v>
      </c>
      <c r="H70">
        <v>41</v>
      </c>
      <c r="I70">
        <v>4.0999999999999996</v>
      </c>
      <c r="J70">
        <v>59.4</v>
      </c>
      <c r="K70">
        <v>95</v>
      </c>
      <c r="L70">
        <v>15.6</v>
      </c>
      <c r="M70" t="s">
        <v>27</v>
      </c>
      <c r="N70">
        <v>23.7</v>
      </c>
      <c r="O70" t="s">
        <v>31</v>
      </c>
      <c r="P70">
        <v>15.6</v>
      </c>
      <c r="Q70" t="s">
        <v>25</v>
      </c>
      <c r="R70">
        <v>15.1</v>
      </c>
      <c r="S70">
        <f>YEAR(Table1[[#This Row],[Visitor Date]])</f>
        <v>2022</v>
      </c>
      <c r="T70" t="str">
        <f>TEXT(Table1[[#This Row],[Visitor Date]],"mmm")</f>
        <v>Nov</v>
      </c>
    </row>
    <row r="71" spans="1:20" x14ac:dyDescent="0.25">
      <c r="A71" t="s">
        <v>30</v>
      </c>
      <c r="B71">
        <v>14</v>
      </c>
      <c r="C71" t="s">
        <v>23</v>
      </c>
      <c r="D71">
        <v>13</v>
      </c>
      <c r="E71" s="1">
        <v>44999</v>
      </c>
      <c r="F71">
        <v>9</v>
      </c>
      <c r="G71">
        <v>65</v>
      </c>
      <c r="H71">
        <v>25</v>
      </c>
      <c r="I71">
        <v>3.4</v>
      </c>
      <c r="J71">
        <v>55</v>
      </c>
      <c r="K71">
        <v>64</v>
      </c>
      <c r="L71">
        <v>14</v>
      </c>
      <c r="M71" t="s">
        <v>27</v>
      </c>
      <c r="N71">
        <v>21.5</v>
      </c>
      <c r="O71" t="s">
        <v>31</v>
      </c>
      <c r="P71">
        <v>13.9</v>
      </c>
      <c r="Q71" t="s">
        <v>25</v>
      </c>
      <c r="R71">
        <v>14.2</v>
      </c>
      <c r="S71">
        <f>YEAR(Table1[[#This Row],[Visitor Date]])</f>
        <v>2023</v>
      </c>
      <c r="T71" t="str">
        <f>TEXT(Table1[[#This Row],[Visitor Date]],"mmm")</f>
        <v>Mar</v>
      </c>
    </row>
    <row r="72" spans="1:20" x14ac:dyDescent="0.25">
      <c r="A72" t="s">
        <v>32</v>
      </c>
      <c r="B72">
        <v>33</v>
      </c>
      <c r="C72" t="s">
        <v>19</v>
      </c>
      <c r="D72">
        <v>32</v>
      </c>
      <c r="E72" s="1">
        <v>44721</v>
      </c>
      <c r="F72">
        <v>19</v>
      </c>
      <c r="G72">
        <v>65.34</v>
      </c>
      <c r="H72">
        <v>26</v>
      </c>
      <c r="I72">
        <v>4.2</v>
      </c>
      <c r="J72">
        <v>2</v>
      </c>
      <c r="K72">
        <v>94</v>
      </c>
      <c r="L72">
        <v>16.2</v>
      </c>
      <c r="M72" t="s">
        <v>24</v>
      </c>
      <c r="N72">
        <v>18.899999999999999</v>
      </c>
      <c r="O72" t="s">
        <v>33</v>
      </c>
      <c r="P72">
        <v>13.8</v>
      </c>
      <c r="Q72" t="s">
        <v>34</v>
      </c>
      <c r="R72">
        <v>10.7</v>
      </c>
      <c r="S72">
        <f>YEAR(Table1[[#This Row],[Visitor Date]])</f>
        <v>2022</v>
      </c>
      <c r="T72" t="str">
        <f>TEXT(Table1[[#This Row],[Visitor Date]],"mmm")</f>
        <v>Jun</v>
      </c>
    </row>
    <row r="73" spans="1:20" x14ac:dyDescent="0.25">
      <c r="A73" t="s">
        <v>32</v>
      </c>
      <c r="B73">
        <v>33</v>
      </c>
      <c r="C73" t="s">
        <v>23</v>
      </c>
      <c r="D73">
        <v>29</v>
      </c>
      <c r="E73" s="1">
        <v>45184</v>
      </c>
      <c r="F73">
        <v>14</v>
      </c>
      <c r="G73">
        <v>60.2</v>
      </c>
      <c r="H73">
        <v>27</v>
      </c>
      <c r="I73">
        <v>3.9</v>
      </c>
      <c r="J73">
        <v>50.5</v>
      </c>
      <c r="K73">
        <v>75</v>
      </c>
      <c r="L73">
        <v>15</v>
      </c>
      <c r="M73" t="s">
        <v>24</v>
      </c>
      <c r="N73">
        <v>17.8</v>
      </c>
      <c r="O73" t="s">
        <v>33</v>
      </c>
      <c r="P73">
        <v>12</v>
      </c>
      <c r="Q73" t="s">
        <v>34</v>
      </c>
      <c r="R73">
        <v>9.5</v>
      </c>
      <c r="S73">
        <f>YEAR(Table1[[#This Row],[Visitor Date]])</f>
        <v>2023</v>
      </c>
      <c r="T73" t="str">
        <f>TEXT(Table1[[#This Row],[Visitor Date]],"mmm")</f>
        <v>Sep</v>
      </c>
    </row>
    <row r="74" spans="1:20" x14ac:dyDescent="0.25">
      <c r="A74" t="s">
        <v>18</v>
      </c>
      <c r="B74">
        <v>91</v>
      </c>
      <c r="C74" t="s">
        <v>19</v>
      </c>
      <c r="D74">
        <v>156</v>
      </c>
      <c r="E74" s="1">
        <v>45062</v>
      </c>
      <c r="F74">
        <v>55</v>
      </c>
      <c r="G74">
        <v>54.88</v>
      </c>
      <c r="H74">
        <v>77</v>
      </c>
      <c r="I74">
        <v>4.3</v>
      </c>
      <c r="J74">
        <v>61.5</v>
      </c>
      <c r="K74">
        <v>71</v>
      </c>
      <c r="L74">
        <v>17.100000000000001</v>
      </c>
      <c r="M74" t="s">
        <v>20</v>
      </c>
      <c r="N74">
        <v>6.2</v>
      </c>
      <c r="O74" t="s">
        <v>21</v>
      </c>
      <c r="P74">
        <v>17.399999999999999</v>
      </c>
      <c r="Q74" t="s">
        <v>22</v>
      </c>
      <c r="R74">
        <v>22.2</v>
      </c>
      <c r="S74">
        <f>YEAR(Table1[[#This Row],[Visitor Date]])</f>
        <v>2023</v>
      </c>
      <c r="T74" t="str">
        <f>TEXT(Table1[[#This Row],[Visitor Date]],"mmm")</f>
        <v>May</v>
      </c>
    </row>
    <row r="75" spans="1:20" x14ac:dyDescent="0.25">
      <c r="A75" t="s">
        <v>18</v>
      </c>
      <c r="B75">
        <v>91</v>
      </c>
      <c r="C75" t="s">
        <v>23</v>
      </c>
      <c r="D75">
        <v>24</v>
      </c>
      <c r="E75" s="1">
        <v>45262</v>
      </c>
      <c r="F75">
        <v>28</v>
      </c>
      <c r="G75">
        <v>56.3</v>
      </c>
      <c r="H75">
        <v>73</v>
      </c>
      <c r="I75">
        <v>3.5</v>
      </c>
      <c r="J75">
        <v>59.2</v>
      </c>
      <c r="K75">
        <v>55</v>
      </c>
      <c r="L75">
        <v>16</v>
      </c>
      <c r="M75" t="s">
        <v>20</v>
      </c>
      <c r="N75">
        <v>6</v>
      </c>
      <c r="O75" t="s">
        <v>21</v>
      </c>
      <c r="P75">
        <v>16.8</v>
      </c>
      <c r="Q75" t="s">
        <v>22</v>
      </c>
      <c r="R75">
        <v>21.5</v>
      </c>
      <c r="S75">
        <f>YEAR(Table1[[#This Row],[Visitor Date]])</f>
        <v>2023</v>
      </c>
      <c r="T75" t="str">
        <f>TEXT(Table1[[#This Row],[Visitor Date]],"mmm")</f>
        <v>Dec</v>
      </c>
    </row>
    <row r="76" spans="1:20" x14ac:dyDescent="0.25">
      <c r="A76" t="s">
        <v>24</v>
      </c>
      <c r="B76">
        <v>44</v>
      </c>
      <c r="C76" t="s">
        <v>19</v>
      </c>
      <c r="D76">
        <v>40</v>
      </c>
      <c r="E76" s="1">
        <v>45249</v>
      </c>
      <c r="F76">
        <v>48</v>
      </c>
      <c r="G76">
        <v>91.47</v>
      </c>
      <c r="H76">
        <v>49</v>
      </c>
      <c r="I76">
        <v>3</v>
      </c>
      <c r="J76">
        <v>47.8</v>
      </c>
      <c r="K76">
        <v>33</v>
      </c>
      <c r="L76">
        <v>18</v>
      </c>
      <c r="M76" t="s">
        <v>24</v>
      </c>
      <c r="N76">
        <v>27.5</v>
      </c>
      <c r="O76" t="s">
        <v>21</v>
      </c>
      <c r="P76">
        <v>8.1</v>
      </c>
      <c r="Q76" t="s">
        <v>25</v>
      </c>
      <c r="R76">
        <v>6.9</v>
      </c>
      <c r="S76">
        <f>YEAR(Table1[[#This Row],[Visitor Date]])</f>
        <v>2023</v>
      </c>
      <c r="T76" t="str">
        <f>TEXT(Table1[[#This Row],[Visitor Date]],"mmm")</f>
        <v>Nov</v>
      </c>
    </row>
    <row r="77" spans="1:20" x14ac:dyDescent="0.25">
      <c r="A77" t="s">
        <v>24</v>
      </c>
      <c r="B77">
        <v>44</v>
      </c>
      <c r="C77" t="s">
        <v>23</v>
      </c>
      <c r="D77">
        <v>37</v>
      </c>
      <c r="E77" s="1">
        <v>45243</v>
      </c>
      <c r="F77">
        <v>39</v>
      </c>
      <c r="G77">
        <v>85.3</v>
      </c>
      <c r="H77">
        <v>35</v>
      </c>
      <c r="I77">
        <v>2.8</v>
      </c>
      <c r="J77">
        <v>45</v>
      </c>
      <c r="K77">
        <v>28</v>
      </c>
      <c r="L77">
        <v>17.5</v>
      </c>
      <c r="M77" t="s">
        <v>24</v>
      </c>
      <c r="N77">
        <v>26</v>
      </c>
      <c r="O77" t="s">
        <v>21</v>
      </c>
      <c r="P77">
        <v>7.5</v>
      </c>
      <c r="Q77" t="s">
        <v>25</v>
      </c>
      <c r="R77">
        <v>6.3</v>
      </c>
      <c r="S77">
        <f>YEAR(Table1[[#This Row],[Visitor Date]])</f>
        <v>2023</v>
      </c>
      <c r="T77" t="str">
        <f>TEXT(Table1[[#This Row],[Visitor Date]],"mmm")</f>
        <v>Nov</v>
      </c>
    </row>
    <row r="78" spans="1:20" x14ac:dyDescent="0.25">
      <c r="A78" t="s">
        <v>26</v>
      </c>
      <c r="B78">
        <v>26</v>
      </c>
      <c r="C78" t="s">
        <v>19</v>
      </c>
      <c r="D78">
        <v>33</v>
      </c>
      <c r="E78" s="1">
        <v>45291</v>
      </c>
      <c r="F78">
        <v>10</v>
      </c>
      <c r="G78">
        <v>6.04</v>
      </c>
      <c r="H78">
        <v>78</v>
      </c>
      <c r="I78">
        <v>3.1</v>
      </c>
      <c r="J78">
        <v>48.7</v>
      </c>
      <c r="K78">
        <v>35</v>
      </c>
      <c r="L78">
        <v>5.8</v>
      </c>
      <c r="M78" t="s">
        <v>27</v>
      </c>
      <c r="N78">
        <v>23.6</v>
      </c>
      <c r="O78" t="s">
        <v>21</v>
      </c>
      <c r="P78">
        <v>18.399999999999999</v>
      </c>
      <c r="Q78" t="s">
        <v>22</v>
      </c>
      <c r="R78">
        <v>11.6</v>
      </c>
      <c r="S78">
        <f>YEAR(Table1[[#This Row],[Visitor Date]])</f>
        <v>2023</v>
      </c>
      <c r="T78" t="str">
        <f>TEXT(Table1[[#This Row],[Visitor Date]],"mmm")</f>
        <v>Dec</v>
      </c>
    </row>
    <row r="79" spans="1:20" x14ac:dyDescent="0.25">
      <c r="A79" t="s">
        <v>26</v>
      </c>
      <c r="B79">
        <v>26</v>
      </c>
      <c r="C79" t="s">
        <v>23</v>
      </c>
      <c r="D79">
        <v>139</v>
      </c>
      <c r="E79" s="1">
        <v>44584</v>
      </c>
      <c r="F79">
        <v>15</v>
      </c>
      <c r="G79">
        <v>7.5</v>
      </c>
      <c r="H79">
        <v>75</v>
      </c>
      <c r="I79">
        <v>3.2</v>
      </c>
      <c r="J79">
        <v>46.2</v>
      </c>
      <c r="K79">
        <v>30</v>
      </c>
      <c r="L79">
        <v>5.5</v>
      </c>
      <c r="M79" t="s">
        <v>27</v>
      </c>
      <c r="N79">
        <v>22</v>
      </c>
      <c r="O79" t="s">
        <v>21</v>
      </c>
      <c r="P79">
        <v>16.7</v>
      </c>
      <c r="Q79" t="s">
        <v>22</v>
      </c>
      <c r="R79">
        <v>10.8</v>
      </c>
      <c r="S79">
        <f>YEAR(Table1[[#This Row],[Visitor Date]])</f>
        <v>2022</v>
      </c>
      <c r="T79" t="str">
        <f>TEXT(Table1[[#This Row],[Visitor Date]],"mmm")</f>
        <v>Jan</v>
      </c>
    </row>
    <row r="80" spans="1:20" x14ac:dyDescent="0.25">
      <c r="A80" t="s">
        <v>28</v>
      </c>
      <c r="B80">
        <v>68</v>
      </c>
      <c r="C80" t="s">
        <v>19</v>
      </c>
      <c r="D80">
        <v>160</v>
      </c>
      <c r="E80" s="1">
        <v>44989</v>
      </c>
      <c r="F80">
        <v>16</v>
      </c>
      <c r="G80">
        <v>90</v>
      </c>
      <c r="H80">
        <v>54</v>
      </c>
      <c r="I80">
        <v>3.5</v>
      </c>
      <c r="J80">
        <v>67.8</v>
      </c>
      <c r="K80">
        <v>34</v>
      </c>
      <c r="L80">
        <v>11</v>
      </c>
      <c r="M80" t="s">
        <v>20</v>
      </c>
      <c r="N80">
        <v>5.3</v>
      </c>
      <c r="O80" t="s">
        <v>29</v>
      </c>
      <c r="P80">
        <v>20.5</v>
      </c>
      <c r="Q80" t="s">
        <v>25</v>
      </c>
      <c r="R80">
        <v>19.5</v>
      </c>
      <c r="S80">
        <f>YEAR(Table1[[#This Row],[Visitor Date]])</f>
        <v>2023</v>
      </c>
      <c r="T80" t="str">
        <f>TEXT(Table1[[#This Row],[Visitor Date]],"mmm")</f>
        <v>Mar</v>
      </c>
    </row>
    <row r="81" spans="1:20" x14ac:dyDescent="0.25">
      <c r="A81" t="s">
        <v>28</v>
      </c>
      <c r="B81">
        <v>68</v>
      </c>
      <c r="C81" t="s">
        <v>23</v>
      </c>
      <c r="D81">
        <v>3</v>
      </c>
      <c r="E81" s="1">
        <v>45171</v>
      </c>
      <c r="F81">
        <v>12</v>
      </c>
      <c r="G81">
        <v>88</v>
      </c>
      <c r="H81">
        <v>50</v>
      </c>
      <c r="I81">
        <v>3.2</v>
      </c>
      <c r="J81">
        <v>4</v>
      </c>
      <c r="K81">
        <v>29</v>
      </c>
      <c r="L81">
        <v>10.199999999999999</v>
      </c>
      <c r="M81" t="s">
        <v>20</v>
      </c>
      <c r="N81">
        <v>4.8</v>
      </c>
      <c r="O81" t="s">
        <v>29</v>
      </c>
      <c r="P81">
        <v>19.7</v>
      </c>
      <c r="Q81" t="s">
        <v>25</v>
      </c>
      <c r="R81">
        <v>18</v>
      </c>
      <c r="S81">
        <f>YEAR(Table1[[#This Row],[Visitor Date]])</f>
        <v>2023</v>
      </c>
      <c r="T81" t="str">
        <f>TEXT(Table1[[#This Row],[Visitor Date]],"mmm")</f>
        <v>Sep</v>
      </c>
    </row>
    <row r="82" spans="1:20" x14ac:dyDescent="0.25">
      <c r="A82" t="s">
        <v>30</v>
      </c>
      <c r="B82">
        <v>14</v>
      </c>
      <c r="C82" t="s">
        <v>19</v>
      </c>
      <c r="D82">
        <v>6</v>
      </c>
      <c r="E82" s="1">
        <v>44786</v>
      </c>
      <c r="F82">
        <v>18</v>
      </c>
      <c r="G82">
        <v>70.63</v>
      </c>
      <c r="H82">
        <v>41</v>
      </c>
      <c r="I82">
        <v>4.0999999999999996</v>
      </c>
      <c r="J82">
        <v>59.4</v>
      </c>
      <c r="K82">
        <v>95</v>
      </c>
      <c r="L82">
        <v>15.6</v>
      </c>
      <c r="M82" t="s">
        <v>27</v>
      </c>
      <c r="N82">
        <v>23.7</v>
      </c>
      <c r="O82" t="s">
        <v>31</v>
      </c>
      <c r="P82">
        <v>15.6</v>
      </c>
      <c r="Q82" t="s">
        <v>25</v>
      </c>
      <c r="R82">
        <v>15.1</v>
      </c>
      <c r="S82">
        <f>YEAR(Table1[[#This Row],[Visitor Date]])</f>
        <v>2022</v>
      </c>
      <c r="T82" t="str">
        <f>TEXT(Table1[[#This Row],[Visitor Date]],"mmm")</f>
        <v>Aug</v>
      </c>
    </row>
    <row r="83" spans="1:20" x14ac:dyDescent="0.25">
      <c r="A83" t="s">
        <v>30</v>
      </c>
      <c r="B83">
        <v>14</v>
      </c>
      <c r="C83" t="s">
        <v>23</v>
      </c>
      <c r="D83">
        <v>3</v>
      </c>
      <c r="E83" s="1">
        <v>45148</v>
      </c>
      <c r="F83">
        <v>9</v>
      </c>
      <c r="G83">
        <v>65</v>
      </c>
      <c r="H83">
        <v>25</v>
      </c>
      <c r="I83">
        <v>3.4</v>
      </c>
      <c r="J83">
        <v>55</v>
      </c>
      <c r="K83">
        <v>64</v>
      </c>
      <c r="L83">
        <v>14</v>
      </c>
      <c r="M83" t="s">
        <v>27</v>
      </c>
      <c r="N83">
        <v>21.5</v>
      </c>
      <c r="O83" t="s">
        <v>31</v>
      </c>
      <c r="P83">
        <v>13.9</v>
      </c>
      <c r="Q83" t="s">
        <v>25</v>
      </c>
      <c r="R83">
        <v>14.2</v>
      </c>
      <c r="S83">
        <f>YEAR(Table1[[#This Row],[Visitor Date]])</f>
        <v>2023</v>
      </c>
      <c r="T83" t="str">
        <f>TEXT(Table1[[#This Row],[Visitor Date]],"mmm")</f>
        <v>Aug</v>
      </c>
    </row>
    <row r="84" spans="1:20" x14ac:dyDescent="0.25">
      <c r="A84" t="s">
        <v>32</v>
      </c>
      <c r="B84">
        <v>33</v>
      </c>
      <c r="C84" t="s">
        <v>19</v>
      </c>
      <c r="D84">
        <v>32</v>
      </c>
      <c r="E84" s="1">
        <v>45125</v>
      </c>
      <c r="F84">
        <v>19</v>
      </c>
      <c r="G84">
        <v>65.34</v>
      </c>
      <c r="H84">
        <v>26</v>
      </c>
      <c r="I84">
        <v>4.2</v>
      </c>
      <c r="J84">
        <v>52.3</v>
      </c>
      <c r="K84">
        <v>94</v>
      </c>
      <c r="L84">
        <v>16.2</v>
      </c>
      <c r="M84" t="s">
        <v>24</v>
      </c>
      <c r="N84">
        <v>18.899999999999999</v>
      </c>
      <c r="O84" t="s">
        <v>33</v>
      </c>
      <c r="P84">
        <v>13.8</v>
      </c>
      <c r="Q84" t="s">
        <v>34</v>
      </c>
      <c r="R84">
        <v>10.7</v>
      </c>
      <c r="S84">
        <f>YEAR(Table1[[#This Row],[Visitor Date]])</f>
        <v>2023</v>
      </c>
      <c r="T84" t="str">
        <f>TEXT(Table1[[#This Row],[Visitor Date]],"mmm")</f>
        <v>Jul</v>
      </c>
    </row>
    <row r="85" spans="1:20" x14ac:dyDescent="0.25">
      <c r="A85" t="s">
        <v>32</v>
      </c>
      <c r="B85">
        <v>33</v>
      </c>
      <c r="C85" t="s">
        <v>23</v>
      </c>
      <c r="D85">
        <v>129</v>
      </c>
      <c r="E85" s="1">
        <v>44629</v>
      </c>
      <c r="F85">
        <v>14</v>
      </c>
      <c r="G85">
        <v>60.2</v>
      </c>
      <c r="H85">
        <v>27</v>
      </c>
      <c r="I85">
        <v>3.9</v>
      </c>
      <c r="J85">
        <v>50.5</v>
      </c>
      <c r="K85">
        <v>75</v>
      </c>
      <c r="L85">
        <v>15</v>
      </c>
      <c r="M85" t="s">
        <v>24</v>
      </c>
      <c r="N85">
        <v>17.8</v>
      </c>
      <c r="O85" t="s">
        <v>33</v>
      </c>
      <c r="P85">
        <v>12</v>
      </c>
      <c r="Q85" t="s">
        <v>34</v>
      </c>
      <c r="R85">
        <v>9.5</v>
      </c>
      <c r="S85">
        <f>YEAR(Table1[[#This Row],[Visitor Date]])</f>
        <v>2022</v>
      </c>
      <c r="T85" t="str">
        <f>TEXT(Table1[[#This Row],[Visitor Date]],"mmm")</f>
        <v>Mar</v>
      </c>
    </row>
    <row r="86" spans="1:20" x14ac:dyDescent="0.25">
      <c r="A86" t="s">
        <v>18</v>
      </c>
      <c r="B86">
        <v>91</v>
      </c>
      <c r="C86" t="s">
        <v>19</v>
      </c>
      <c r="D86">
        <v>58</v>
      </c>
      <c r="E86" s="1">
        <v>44907</v>
      </c>
      <c r="F86">
        <v>54</v>
      </c>
      <c r="G86">
        <v>55.5</v>
      </c>
      <c r="H86">
        <v>77</v>
      </c>
      <c r="I86">
        <v>4.0999999999999996</v>
      </c>
      <c r="J86">
        <v>60</v>
      </c>
      <c r="K86">
        <v>72</v>
      </c>
      <c r="L86">
        <v>17.3</v>
      </c>
      <c r="M86" t="s">
        <v>20</v>
      </c>
      <c r="N86">
        <v>6.5</v>
      </c>
      <c r="O86" t="s">
        <v>21</v>
      </c>
      <c r="P86">
        <v>18.2</v>
      </c>
      <c r="Q86" t="s">
        <v>22</v>
      </c>
      <c r="R86">
        <v>23</v>
      </c>
      <c r="S86">
        <f>YEAR(Table1[[#This Row],[Visitor Date]])</f>
        <v>2022</v>
      </c>
      <c r="T86" t="str">
        <f>TEXT(Table1[[#This Row],[Visitor Date]],"mmm")</f>
        <v>Dec</v>
      </c>
    </row>
    <row r="87" spans="1:20" x14ac:dyDescent="0.25">
      <c r="A87" t="s">
        <v>18</v>
      </c>
      <c r="B87">
        <v>91</v>
      </c>
      <c r="C87" t="s">
        <v>23</v>
      </c>
      <c r="D87">
        <v>22</v>
      </c>
      <c r="E87" s="1">
        <v>44926</v>
      </c>
      <c r="F87">
        <v>26</v>
      </c>
      <c r="G87">
        <v>58</v>
      </c>
      <c r="H87">
        <v>70</v>
      </c>
      <c r="I87">
        <v>3.8</v>
      </c>
      <c r="J87">
        <v>58</v>
      </c>
      <c r="K87">
        <v>54</v>
      </c>
      <c r="L87">
        <v>15.5</v>
      </c>
      <c r="M87" t="s">
        <v>20</v>
      </c>
      <c r="N87">
        <v>5.8</v>
      </c>
      <c r="O87" t="s">
        <v>21</v>
      </c>
      <c r="P87">
        <v>15</v>
      </c>
      <c r="Q87" t="s">
        <v>22</v>
      </c>
      <c r="R87">
        <v>20</v>
      </c>
      <c r="S87">
        <f>YEAR(Table1[[#This Row],[Visitor Date]])</f>
        <v>2022</v>
      </c>
      <c r="T87" t="str">
        <f>TEXT(Table1[[#This Row],[Visitor Date]],"mmm")</f>
        <v>Dec</v>
      </c>
    </row>
    <row r="88" spans="1:20" x14ac:dyDescent="0.25">
      <c r="A88" t="s">
        <v>24</v>
      </c>
      <c r="B88">
        <v>44</v>
      </c>
      <c r="C88" t="s">
        <v>19</v>
      </c>
      <c r="D88">
        <v>45</v>
      </c>
      <c r="E88" s="1">
        <v>44701</v>
      </c>
      <c r="F88">
        <v>49</v>
      </c>
      <c r="G88">
        <v>90</v>
      </c>
      <c r="H88">
        <v>45</v>
      </c>
      <c r="I88">
        <v>3.1</v>
      </c>
      <c r="J88">
        <v>48.5</v>
      </c>
      <c r="K88">
        <v>33</v>
      </c>
      <c r="L88">
        <v>18.5</v>
      </c>
      <c r="M88" t="s">
        <v>24</v>
      </c>
      <c r="N88">
        <v>25</v>
      </c>
      <c r="O88" t="s">
        <v>21</v>
      </c>
      <c r="P88">
        <v>9</v>
      </c>
      <c r="Q88" t="s">
        <v>25</v>
      </c>
      <c r="R88">
        <v>7.5</v>
      </c>
      <c r="S88">
        <f>YEAR(Table1[[#This Row],[Visitor Date]])</f>
        <v>2022</v>
      </c>
      <c r="T88" t="str">
        <f>TEXT(Table1[[#This Row],[Visitor Date]],"mmm")</f>
        <v>May</v>
      </c>
    </row>
    <row r="89" spans="1:20" x14ac:dyDescent="0.25">
      <c r="A89" t="s">
        <v>24</v>
      </c>
      <c r="B89">
        <v>44</v>
      </c>
      <c r="C89" t="s">
        <v>23</v>
      </c>
      <c r="D89">
        <v>134</v>
      </c>
      <c r="E89" s="1">
        <v>44667</v>
      </c>
      <c r="F89">
        <v>37</v>
      </c>
      <c r="G89">
        <v>87</v>
      </c>
      <c r="H89">
        <v>40</v>
      </c>
      <c r="I89">
        <v>2.9</v>
      </c>
      <c r="J89">
        <v>46</v>
      </c>
      <c r="K89">
        <v>27</v>
      </c>
      <c r="L89">
        <v>16.5</v>
      </c>
      <c r="M89" t="s">
        <v>24</v>
      </c>
      <c r="N89">
        <v>24</v>
      </c>
      <c r="O89" t="s">
        <v>21</v>
      </c>
      <c r="P89">
        <v>8</v>
      </c>
      <c r="Q89" t="s">
        <v>25</v>
      </c>
      <c r="R89">
        <v>6.5</v>
      </c>
      <c r="S89">
        <f>YEAR(Table1[[#This Row],[Visitor Date]])</f>
        <v>2022</v>
      </c>
      <c r="T89" t="str">
        <f>TEXT(Table1[[#This Row],[Visitor Date]],"mmm")</f>
        <v>Apr</v>
      </c>
    </row>
    <row r="90" spans="1:20" x14ac:dyDescent="0.25">
      <c r="A90" t="s">
        <v>26</v>
      </c>
      <c r="B90">
        <v>26</v>
      </c>
      <c r="C90" t="s">
        <v>19</v>
      </c>
      <c r="D90">
        <v>37</v>
      </c>
      <c r="E90" s="1">
        <v>45150</v>
      </c>
      <c r="F90">
        <v>8</v>
      </c>
      <c r="G90">
        <v>5</v>
      </c>
      <c r="H90">
        <v>76</v>
      </c>
      <c r="I90">
        <v>3</v>
      </c>
      <c r="J90">
        <v>47</v>
      </c>
      <c r="K90">
        <v>37</v>
      </c>
      <c r="L90">
        <v>6</v>
      </c>
      <c r="M90" t="s">
        <v>27</v>
      </c>
      <c r="N90">
        <v>20</v>
      </c>
      <c r="O90" t="s">
        <v>21</v>
      </c>
      <c r="P90">
        <v>16</v>
      </c>
      <c r="Q90" t="s">
        <v>22</v>
      </c>
      <c r="R90">
        <v>12</v>
      </c>
      <c r="S90">
        <f>YEAR(Table1[[#This Row],[Visitor Date]])</f>
        <v>2023</v>
      </c>
      <c r="T90" t="str">
        <f>TEXT(Table1[[#This Row],[Visitor Date]],"mmm")</f>
        <v>Aug</v>
      </c>
    </row>
    <row r="91" spans="1:20" x14ac:dyDescent="0.25">
      <c r="A91" t="s">
        <v>26</v>
      </c>
      <c r="B91">
        <v>26</v>
      </c>
      <c r="C91" t="s">
        <v>23</v>
      </c>
      <c r="D91">
        <v>29</v>
      </c>
      <c r="E91" s="1">
        <v>45070</v>
      </c>
      <c r="F91">
        <v>10</v>
      </c>
      <c r="G91">
        <v>7</v>
      </c>
      <c r="H91">
        <v>74</v>
      </c>
      <c r="I91">
        <v>3.2</v>
      </c>
      <c r="J91">
        <v>44</v>
      </c>
      <c r="K91">
        <v>31</v>
      </c>
      <c r="L91">
        <v>5.5</v>
      </c>
      <c r="M91" t="s">
        <v>27</v>
      </c>
      <c r="N91">
        <v>19</v>
      </c>
      <c r="O91" t="s">
        <v>21</v>
      </c>
      <c r="P91">
        <v>15</v>
      </c>
      <c r="Q91" t="s">
        <v>22</v>
      </c>
      <c r="R91">
        <v>11.5</v>
      </c>
      <c r="S91">
        <f>YEAR(Table1[[#This Row],[Visitor Date]])</f>
        <v>2023</v>
      </c>
      <c r="T91" t="str">
        <f>TEXT(Table1[[#This Row],[Visitor Date]],"mmm")</f>
        <v>May</v>
      </c>
    </row>
    <row r="92" spans="1:20" x14ac:dyDescent="0.25">
      <c r="A92" t="s">
        <v>28</v>
      </c>
      <c r="B92">
        <v>68</v>
      </c>
      <c r="C92" t="s">
        <v>19</v>
      </c>
      <c r="D92">
        <v>61</v>
      </c>
      <c r="E92" s="1">
        <v>44999</v>
      </c>
      <c r="F92">
        <v>14</v>
      </c>
      <c r="G92">
        <v>91.5</v>
      </c>
      <c r="H92">
        <v>55</v>
      </c>
      <c r="I92">
        <v>3.6</v>
      </c>
      <c r="J92">
        <v>68</v>
      </c>
      <c r="K92">
        <v>35</v>
      </c>
      <c r="L92">
        <v>12</v>
      </c>
      <c r="M92" t="s">
        <v>20</v>
      </c>
      <c r="N92">
        <v>5</v>
      </c>
      <c r="O92" t="s">
        <v>29</v>
      </c>
      <c r="P92">
        <v>18</v>
      </c>
      <c r="Q92" t="s">
        <v>25</v>
      </c>
      <c r="R92">
        <v>19</v>
      </c>
      <c r="S92">
        <f>YEAR(Table1[[#This Row],[Visitor Date]])</f>
        <v>2023</v>
      </c>
      <c r="T92" t="str">
        <f>TEXT(Table1[[#This Row],[Visitor Date]],"mmm")</f>
        <v>Mar</v>
      </c>
    </row>
    <row r="93" spans="1:20" x14ac:dyDescent="0.25">
      <c r="A93" t="s">
        <v>28</v>
      </c>
      <c r="B93">
        <v>68</v>
      </c>
      <c r="C93" t="s">
        <v>23</v>
      </c>
      <c r="D93">
        <v>130</v>
      </c>
      <c r="E93" s="1">
        <v>44646</v>
      </c>
      <c r="F93">
        <v>11</v>
      </c>
      <c r="G93">
        <v>89</v>
      </c>
      <c r="H93">
        <v>53</v>
      </c>
      <c r="I93">
        <v>3</v>
      </c>
      <c r="J93">
        <v>65</v>
      </c>
      <c r="K93">
        <v>28</v>
      </c>
      <c r="L93">
        <v>10</v>
      </c>
      <c r="M93" t="s">
        <v>20</v>
      </c>
      <c r="N93">
        <v>4.5</v>
      </c>
      <c r="O93" t="s">
        <v>29</v>
      </c>
      <c r="P93">
        <v>16</v>
      </c>
      <c r="Q93" t="s">
        <v>25</v>
      </c>
      <c r="R93">
        <v>17</v>
      </c>
      <c r="S93">
        <f>YEAR(Table1[[#This Row],[Visitor Date]])</f>
        <v>2022</v>
      </c>
      <c r="T93" t="str">
        <f>TEXT(Table1[[#This Row],[Visitor Date]],"mmm")</f>
        <v>Mar</v>
      </c>
    </row>
    <row r="94" spans="1:20" x14ac:dyDescent="0.25">
      <c r="A94" t="s">
        <v>30</v>
      </c>
      <c r="B94">
        <v>14</v>
      </c>
      <c r="C94" t="s">
        <v>19</v>
      </c>
      <c r="D94">
        <v>8</v>
      </c>
      <c r="E94" s="1">
        <v>44782</v>
      </c>
      <c r="F94">
        <v>17</v>
      </c>
      <c r="G94">
        <v>72</v>
      </c>
      <c r="H94">
        <v>42</v>
      </c>
      <c r="I94">
        <v>4.2</v>
      </c>
      <c r="J94">
        <v>0</v>
      </c>
      <c r="K94">
        <v>96</v>
      </c>
      <c r="L94">
        <v>14.5</v>
      </c>
      <c r="M94" t="s">
        <v>27</v>
      </c>
      <c r="N94">
        <v>21</v>
      </c>
      <c r="O94" t="s">
        <v>31</v>
      </c>
      <c r="P94">
        <v>16</v>
      </c>
      <c r="Q94" t="s">
        <v>25</v>
      </c>
      <c r="R94">
        <v>15.5</v>
      </c>
      <c r="S94">
        <f>YEAR(Table1[[#This Row],[Visitor Date]])</f>
        <v>2022</v>
      </c>
      <c r="T94" t="str">
        <f>TEXT(Table1[[#This Row],[Visitor Date]],"mmm")</f>
        <v>Aug</v>
      </c>
    </row>
    <row r="95" spans="1:20" x14ac:dyDescent="0.25">
      <c r="A95" t="s">
        <v>30</v>
      </c>
      <c r="B95">
        <v>14</v>
      </c>
      <c r="C95" t="s">
        <v>23</v>
      </c>
      <c r="D95">
        <v>115</v>
      </c>
      <c r="E95" s="1">
        <v>45062</v>
      </c>
      <c r="F95">
        <v>8</v>
      </c>
      <c r="G95">
        <v>67</v>
      </c>
      <c r="H95">
        <v>27</v>
      </c>
      <c r="I95">
        <v>3.7</v>
      </c>
      <c r="J95">
        <v>56</v>
      </c>
      <c r="K95">
        <v>62</v>
      </c>
      <c r="L95">
        <v>12.5</v>
      </c>
      <c r="M95" t="s">
        <v>27</v>
      </c>
      <c r="N95">
        <v>20.5</v>
      </c>
      <c r="O95" t="s">
        <v>31</v>
      </c>
      <c r="P95">
        <v>14</v>
      </c>
      <c r="Q95" t="s">
        <v>25</v>
      </c>
      <c r="R95">
        <v>13.5</v>
      </c>
      <c r="S95">
        <f>YEAR(Table1[[#This Row],[Visitor Date]])</f>
        <v>2023</v>
      </c>
      <c r="T95" t="str">
        <f>TEXT(Table1[[#This Row],[Visitor Date]],"mmm")</f>
        <v>May</v>
      </c>
    </row>
    <row r="96" spans="1:20" x14ac:dyDescent="0.25">
      <c r="A96" t="s">
        <v>32</v>
      </c>
      <c r="B96">
        <v>33</v>
      </c>
      <c r="C96" t="s">
        <v>19</v>
      </c>
      <c r="D96">
        <v>133</v>
      </c>
      <c r="E96" s="1">
        <v>44576</v>
      </c>
      <c r="F96">
        <v>20</v>
      </c>
      <c r="G96">
        <v>63</v>
      </c>
      <c r="H96">
        <v>28</v>
      </c>
      <c r="I96">
        <v>4.3</v>
      </c>
      <c r="J96">
        <v>53</v>
      </c>
      <c r="K96">
        <v>96</v>
      </c>
      <c r="L96">
        <v>15</v>
      </c>
      <c r="M96" t="s">
        <v>24</v>
      </c>
      <c r="N96">
        <v>19</v>
      </c>
      <c r="O96" t="s">
        <v>33</v>
      </c>
      <c r="P96">
        <v>14</v>
      </c>
      <c r="Q96" t="s">
        <v>34</v>
      </c>
      <c r="R96">
        <v>11</v>
      </c>
      <c r="S96">
        <f>YEAR(Table1[[#This Row],[Visitor Date]])</f>
        <v>2022</v>
      </c>
      <c r="T96" t="str">
        <f>TEXT(Table1[[#This Row],[Visitor Date]],"mmm")</f>
        <v>Jan</v>
      </c>
    </row>
    <row r="97" spans="1:20" x14ac:dyDescent="0.25">
      <c r="A97" t="s">
        <v>32</v>
      </c>
      <c r="B97">
        <v>33</v>
      </c>
      <c r="C97" t="s">
        <v>23</v>
      </c>
      <c r="D97">
        <v>26</v>
      </c>
      <c r="E97" s="1">
        <v>44850</v>
      </c>
      <c r="F97">
        <v>15</v>
      </c>
      <c r="G97">
        <v>59</v>
      </c>
      <c r="H97">
        <v>29</v>
      </c>
      <c r="I97">
        <v>3.9</v>
      </c>
      <c r="J97">
        <v>51</v>
      </c>
      <c r="K97">
        <v>80</v>
      </c>
      <c r="L97">
        <v>14</v>
      </c>
      <c r="M97" t="s">
        <v>24</v>
      </c>
      <c r="N97">
        <v>18</v>
      </c>
      <c r="O97" t="s">
        <v>33</v>
      </c>
      <c r="P97">
        <v>13</v>
      </c>
      <c r="Q97" t="s">
        <v>34</v>
      </c>
      <c r="R97">
        <v>10</v>
      </c>
      <c r="S97">
        <f>YEAR(Table1[[#This Row],[Visitor Date]])</f>
        <v>2022</v>
      </c>
      <c r="T97" t="str">
        <f>TEXT(Table1[[#This Row],[Visitor Date]],"mmm")</f>
        <v>Oct</v>
      </c>
    </row>
    <row r="98" spans="1:20" x14ac:dyDescent="0.25">
      <c r="A98" t="s">
        <v>18</v>
      </c>
      <c r="B98">
        <v>91</v>
      </c>
      <c r="C98" t="s">
        <v>19</v>
      </c>
      <c r="D98">
        <v>54</v>
      </c>
      <c r="E98" s="1">
        <v>45182</v>
      </c>
      <c r="F98">
        <v>52</v>
      </c>
      <c r="G98">
        <v>54</v>
      </c>
      <c r="H98">
        <v>77</v>
      </c>
      <c r="I98">
        <v>4.4000000000000004</v>
      </c>
      <c r="J98">
        <v>59</v>
      </c>
      <c r="K98">
        <v>73</v>
      </c>
      <c r="L98">
        <v>16</v>
      </c>
      <c r="M98" t="s">
        <v>20</v>
      </c>
      <c r="N98">
        <v>7</v>
      </c>
      <c r="O98" t="s">
        <v>21</v>
      </c>
      <c r="P98">
        <v>15</v>
      </c>
      <c r="Q98" t="s">
        <v>22</v>
      </c>
      <c r="R98">
        <v>22</v>
      </c>
      <c r="S98">
        <f>YEAR(Table1[[#This Row],[Visitor Date]])</f>
        <v>2023</v>
      </c>
      <c r="T98" t="str">
        <f>TEXT(Table1[[#This Row],[Visitor Date]],"mmm")</f>
        <v>Sep</v>
      </c>
    </row>
    <row r="99" spans="1:20" x14ac:dyDescent="0.25">
      <c r="A99" t="s">
        <v>18</v>
      </c>
      <c r="B99">
        <v>91</v>
      </c>
      <c r="C99" t="s">
        <v>23</v>
      </c>
      <c r="D99">
        <v>2</v>
      </c>
      <c r="E99" s="1">
        <v>45095</v>
      </c>
      <c r="F99">
        <v>27</v>
      </c>
      <c r="G99">
        <v>56</v>
      </c>
      <c r="H99">
        <v>70</v>
      </c>
      <c r="I99">
        <v>3.8</v>
      </c>
      <c r="J99">
        <v>58</v>
      </c>
      <c r="K99">
        <v>58</v>
      </c>
      <c r="L99">
        <v>14</v>
      </c>
      <c r="M99" t="s">
        <v>20</v>
      </c>
      <c r="N99">
        <v>6</v>
      </c>
      <c r="O99" t="s">
        <v>21</v>
      </c>
      <c r="P99">
        <v>14</v>
      </c>
      <c r="Q99" t="s">
        <v>22</v>
      </c>
      <c r="R99">
        <v>21</v>
      </c>
      <c r="S99">
        <f>YEAR(Table1[[#This Row],[Visitor Date]])</f>
        <v>2023</v>
      </c>
      <c r="T99" t="str">
        <f>TEXT(Table1[[#This Row],[Visitor Date]],"mmm")</f>
        <v>Jun</v>
      </c>
    </row>
    <row r="100" spans="1:20" x14ac:dyDescent="0.25">
      <c r="A100" t="s">
        <v>24</v>
      </c>
      <c r="B100">
        <v>44</v>
      </c>
      <c r="C100" t="s">
        <v>19</v>
      </c>
      <c r="D100">
        <v>42</v>
      </c>
      <c r="E100" s="1">
        <v>44892</v>
      </c>
      <c r="F100">
        <v>45</v>
      </c>
      <c r="G100">
        <v>89</v>
      </c>
      <c r="H100">
        <v>45</v>
      </c>
      <c r="I100">
        <v>3.2</v>
      </c>
      <c r="J100">
        <v>45</v>
      </c>
      <c r="K100">
        <v>31</v>
      </c>
      <c r="L100">
        <v>17</v>
      </c>
      <c r="M100" t="s">
        <v>24</v>
      </c>
      <c r="N100">
        <v>26</v>
      </c>
      <c r="O100" t="s">
        <v>21</v>
      </c>
      <c r="P100">
        <v>7</v>
      </c>
      <c r="Q100" t="s">
        <v>25</v>
      </c>
      <c r="R100">
        <v>7</v>
      </c>
      <c r="S100">
        <f>YEAR(Table1[[#This Row],[Visitor Date]])</f>
        <v>2022</v>
      </c>
      <c r="T100" t="str">
        <f>TEXT(Table1[[#This Row],[Visitor Date]],"mmm")</f>
        <v>Nov</v>
      </c>
    </row>
    <row r="101" spans="1:20" x14ac:dyDescent="0.25">
      <c r="A101" t="s">
        <v>24</v>
      </c>
      <c r="B101">
        <v>44</v>
      </c>
      <c r="C101" t="s">
        <v>23</v>
      </c>
      <c r="D101">
        <v>39</v>
      </c>
      <c r="E101" s="1">
        <v>45202</v>
      </c>
      <c r="F101">
        <v>38</v>
      </c>
      <c r="G101">
        <v>85</v>
      </c>
      <c r="H101">
        <v>35</v>
      </c>
      <c r="I101">
        <v>2.8</v>
      </c>
      <c r="J101">
        <v>44</v>
      </c>
      <c r="K101">
        <v>27</v>
      </c>
      <c r="L101">
        <v>16</v>
      </c>
      <c r="M101" t="s">
        <v>24</v>
      </c>
      <c r="N101">
        <v>25</v>
      </c>
      <c r="O101" t="s">
        <v>21</v>
      </c>
      <c r="P101">
        <v>6.5</v>
      </c>
      <c r="Q101" t="s">
        <v>25</v>
      </c>
      <c r="R101">
        <v>6.5</v>
      </c>
      <c r="S101">
        <f>YEAR(Table1[[#This Row],[Visitor Date]])</f>
        <v>2023</v>
      </c>
      <c r="T101" t="str">
        <f>TEXT(Table1[[#This Row],[Visitor Date]],"mmm")</f>
        <v>Oct</v>
      </c>
    </row>
    <row r="102" spans="1:20" x14ac:dyDescent="0.25">
      <c r="A102" t="s">
        <v>26</v>
      </c>
      <c r="B102">
        <v>26</v>
      </c>
      <c r="C102" t="s">
        <v>19</v>
      </c>
      <c r="D102">
        <v>34</v>
      </c>
      <c r="E102" s="1">
        <v>44860</v>
      </c>
      <c r="F102">
        <v>9</v>
      </c>
      <c r="G102">
        <v>5.5</v>
      </c>
      <c r="H102">
        <v>76</v>
      </c>
      <c r="I102">
        <v>3.5</v>
      </c>
      <c r="J102">
        <v>48</v>
      </c>
      <c r="K102">
        <v>33</v>
      </c>
      <c r="L102">
        <v>6.5</v>
      </c>
      <c r="M102" t="s">
        <v>27</v>
      </c>
      <c r="N102">
        <v>22</v>
      </c>
      <c r="O102" t="s">
        <v>21</v>
      </c>
      <c r="P102">
        <v>15</v>
      </c>
      <c r="Q102" t="s">
        <v>22</v>
      </c>
      <c r="R102">
        <v>12</v>
      </c>
      <c r="S102">
        <f>YEAR(Table1[[#This Row],[Visitor Date]])</f>
        <v>2022</v>
      </c>
      <c r="T102" t="str">
        <f>TEXT(Table1[[#This Row],[Visitor Date]],"mmm")</f>
        <v>Oct</v>
      </c>
    </row>
    <row r="103" spans="1:20" x14ac:dyDescent="0.25">
      <c r="A103" t="s">
        <v>26</v>
      </c>
      <c r="B103">
        <v>26</v>
      </c>
      <c r="C103" t="s">
        <v>23</v>
      </c>
      <c r="D103">
        <v>128</v>
      </c>
      <c r="E103" s="1">
        <v>45138</v>
      </c>
      <c r="F103">
        <v>12</v>
      </c>
      <c r="G103">
        <v>6</v>
      </c>
      <c r="H103">
        <v>75</v>
      </c>
      <c r="I103">
        <v>3.1</v>
      </c>
      <c r="J103">
        <v>45</v>
      </c>
      <c r="K103">
        <v>28</v>
      </c>
      <c r="L103">
        <v>5</v>
      </c>
      <c r="M103" t="s">
        <v>27</v>
      </c>
      <c r="N103">
        <v>21</v>
      </c>
      <c r="O103" t="s">
        <v>21</v>
      </c>
      <c r="P103">
        <v>14</v>
      </c>
      <c r="Q103" t="s">
        <v>22</v>
      </c>
      <c r="R103">
        <v>11</v>
      </c>
      <c r="S103">
        <f>YEAR(Table1[[#This Row],[Visitor Date]])</f>
        <v>2023</v>
      </c>
      <c r="T103" t="str">
        <f>TEXT(Table1[[#This Row],[Visitor Date]],"mmm")</f>
        <v>Jul</v>
      </c>
    </row>
    <row r="104" spans="1:20" x14ac:dyDescent="0.25">
      <c r="A104" t="s">
        <v>18</v>
      </c>
      <c r="B104">
        <v>91</v>
      </c>
      <c r="C104" t="s">
        <v>19</v>
      </c>
      <c r="D104">
        <v>56</v>
      </c>
      <c r="E104" s="1">
        <v>44811</v>
      </c>
      <c r="F104">
        <v>55</v>
      </c>
      <c r="G104">
        <v>54.88</v>
      </c>
      <c r="H104">
        <v>77</v>
      </c>
      <c r="I104">
        <v>4.3</v>
      </c>
      <c r="J104">
        <v>1.5</v>
      </c>
      <c r="K104">
        <v>71</v>
      </c>
      <c r="L104">
        <v>17.100000000000001</v>
      </c>
      <c r="M104" t="s">
        <v>20</v>
      </c>
      <c r="N104">
        <v>6.2</v>
      </c>
      <c r="O104" t="s">
        <v>21</v>
      </c>
      <c r="P104">
        <v>17.399999999999999</v>
      </c>
      <c r="Q104" t="s">
        <v>22</v>
      </c>
      <c r="R104">
        <v>22.2</v>
      </c>
      <c r="S104">
        <f>YEAR(Table1[[#This Row],[Visitor Date]])</f>
        <v>2022</v>
      </c>
      <c r="T104" t="str">
        <f>TEXT(Table1[[#This Row],[Visitor Date]],"mmm")</f>
        <v>Sep</v>
      </c>
    </row>
    <row r="105" spans="1:20" x14ac:dyDescent="0.25">
      <c r="A105" t="s">
        <v>18</v>
      </c>
      <c r="B105">
        <v>91</v>
      </c>
      <c r="C105" t="s">
        <v>23</v>
      </c>
      <c r="D105">
        <v>24</v>
      </c>
      <c r="E105" s="1">
        <v>44576</v>
      </c>
      <c r="F105">
        <v>28</v>
      </c>
      <c r="G105">
        <v>56.3</v>
      </c>
      <c r="H105">
        <v>73</v>
      </c>
      <c r="I105">
        <v>3.5</v>
      </c>
      <c r="J105">
        <v>59.2</v>
      </c>
      <c r="K105">
        <v>55</v>
      </c>
      <c r="L105">
        <v>16</v>
      </c>
      <c r="M105" t="s">
        <v>20</v>
      </c>
      <c r="N105">
        <v>6</v>
      </c>
      <c r="O105" t="s">
        <v>21</v>
      </c>
      <c r="P105">
        <v>16.8</v>
      </c>
      <c r="Q105" t="s">
        <v>22</v>
      </c>
      <c r="R105">
        <v>21.5</v>
      </c>
      <c r="S105">
        <f>YEAR(Table1[[#This Row],[Visitor Date]])</f>
        <v>2022</v>
      </c>
      <c r="T105" t="str">
        <f>TEXT(Table1[[#This Row],[Visitor Date]],"mmm")</f>
        <v>Jan</v>
      </c>
    </row>
    <row r="106" spans="1:20" x14ac:dyDescent="0.25">
      <c r="A106" t="s">
        <v>18</v>
      </c>
      <c r="B106">
        <v>91</v>
      </c>
      <c r="C106" t="s">
        <v>35</v>
      </c>
      <c r="D106">
        <v>8</v>
      </c>
      <c r="E106" s="1">
        <v>44811</v>
      </c>
      <c r="F106">
        <v>20</v>
      </c>
      <c r="G106">
        <v>58</v>
      </c>
      <c r="H106">
        <v>65</v>
      </c>
      <c r="I106">
        <v>3.9</v>
      </c>
      <c r="J106">
        <v>57.5</v>
      </c>
      <c r="K106">
        <v>49</v>
      </c>
      <c r="L106">
        <v>15.5</v>
      </c>
      <c r="M106" t="s">
        <v>20</v>
      </c>
      <c r="N106">
        <v>5.5</v>
      </c>
      <c r="O106" t="s">
        <v>21</v>
      </c>
      <c r="P106">
        <v>15.2</v>
      </c>
      <c r="Q106" t="s">
        <v>34</v>
      </c>
      <c r="R106">
        <v>20</v>
      </c>
      <c r="S106">
        <f>YEAR(Table1[[#This Row],[Visitor Date]])</f>
        <v>2022</v>
      </c>
      <c r="T106" t="str">
        <f>TEXT(Table1[[#This Row],[Visitor Date]],"mmm")</f>
        <v>Sep</v>
      </c>
    </row>
    <row r="107" spans="1:20" x14ac:dyDescent="0.25">
      <c r="A107" t="s">
        <v>24</v>
      </c>
      <c r="B107">
        <v>44</v>
      </c>
      <c r="C107" t="s">
        <v>19</v>
      </c>
      <c r="D107">
        <v>40</v>
      </c>
      <c r="E107" s="1">
        <v>44776</v>
      </c>
      <c r="F107">
        <v>48</v>
      </c>
      <c r="G107">
        <v>91.47</v>
      </c>
      <c r="H107">
        <v>49</v>
      </c>
      <c r="I107">
        <v>3</v>
      </c>
      <c r="J107">
        <v>47.8</v>
      </c>
      <c r="K107">
        <v>33</v>
      </c>
      <c r="L107">
        <v>18</v>
      </c>
      <c r="M107" t="s">
        <v>24</v>
      </c>
      <c r="N107">
        <v>27.5</v>
      </c>
      <c r="O107" t="s">
        <v>21</v>
      </c>
      <c r="P107">
        <v>8.1</v>
      </c>
      <c r="Q107" t="s">
        <v>25</v>
      </c>
      <c r="R107">
        <v>6.9</v>
      </c>
      <c r="S107">
        <f>YEAR(Table1[[#This Row],[Visitor Date]])</f>
        <v>2022</v>
      </c>
      <c r="T107" t="str">
        <f>TEXT(Table1[[#This Row],[Visitor Date]],"mmm")</f>
        <v>Aug</v>
      </c>
    </row>
    <row r="108" spans="1:20" x14ac:dyDescent="0.25">
      <c r="A108" t="s">
        <v>24</v>
      </c>
      <c r="B108">
        <v>44</v>
      </c>
      <c r="C108" t="s">
        <v>23</v>
      </c>
      <c r="D108">
        <v>37</v>
      </c>
      <c r="E108" s="1">
        <v>45099</v>
      </c>
      <c r="F108">
        <v>39</v>
      </c>
      <c r="G108">
        <v>85.3</v>
      </c>
      <c r="H108">
        <v>35</v>
      </c>
      <c r="I108">
        <v>2.8</v>
      </c>
      <c r="J108">
        <v>5</v>
      </c>
      <c r="K108">
        <v>28</v>
      </c>
      <c r="L108">
        <v>17.5</v>
      </c>
      <c r="M108" t="s">
        <v>24</v>
      </c>
      <c r="N108">
        <v>26</v>
      </c>
      <c r="O108" t="s">
        <v>21</v>
      </c>
      <c r="P108">
        <v>7.5</v>
      </c>
      <c r="Q108" t="s">
        <v>25</v>
      </c>
      <c r="R108">
        <v>6.3</v>
      </c>
      <c r="S108">
        <f>YEAR(Table1[[#This Row],[Visitor Date]])</f>
        <v>2023</v>
      </c>
      <c r="T108" t="str">
        <f>TEXT(Table1[[#This Row],[Visitor Date]],"mmm")</f>
        <v>Jun</v>
      </c>
    </row>
    <row r="109" spans="1:20" x14ac:dyDescent="0.25">
      <c r="A109" t="s">
        <v>24</v>
      </c>
      <c r="B109">
        <v>44</v>
      </c>
      <c r="C109" t="s">
        <v>35</v>
      </c>
      <c r="D109">
        <v>29</v>
      </c>
      <c r="E109" s="1">
        <v>44738</v>
      </c>
      <c r="F109">
        <v>30</v>
      </c>
      <c r="G109">
        <v>87</v>
      </c>
      <c r="H109">
        <v>30</v>
      </c>
      <c r="I109">
        <v>3.2</v>
      </c>
      <c r="J109">
        <v>46.5</v>
      </c>
      <c r="K109">
        <v>93</v>
      </c>
      <c r="L109">
        <v>14</v>
      </c>
      <c r="M109" t="s">
        <v>24</v>
      </c>
      <c r="N109">
        <v>24</v>
      </c>
      <c r="O109" t="s">
        <v>21</v>
      </c>
      <c r="P109">
        <v>6.8</v>
      </c>
      <c r="Q109" t="s">
        <v>25</v>
      </c>
      <c r="R109">
        <v>6.1</v>
      </c>
      <c r="S109">
        <f>YEAR(Table1[[#This Row],[Visitor Date]])</f>
        <v>2022</v>
      </c>
      <c r="T109" t="str">
        <f>TEXT(Table1[[#This Row],[Visitor Date]],"mmm")</f>
        <v>Jun</v>
      </c>
    </row>
    <row r="110" spans="1:20" x14ac:dyDescent="0.25">
      <c r="A110" t="s">
        <v>26</v>
      </c>
      <c r="B110">
        <v>26</v>
      </c>
      <c r="C110" t="s">
        <v>19</v>
      </c>
      <c r="D110">
        <v>33</v>
      </c>
      <c r="E110" s="1">
        <v>44824</v>
      </c>
      <c r="F110">
        <v>10</v>
      </c>
      <c r="G110">
        <v>6.04</v>
      </c>
      <c r="H110">
        <v>78</v>
      </c>
      <c r="I110">
        <v>3.1</v>
      </c>
      <c r="J110">
        <v>48.7</v>
      </c>
      <c r="K110">
        <v>35</v>
      </c>
      <c r="L110">
        <v>5.8</v>
      </c>
      <c r="M110" t="s">
        <v>27</v>
      </c>
      <c r="N110">
        <v>23.6</v>
      </c>
      <c r="O110" t="s">
        <v>21</v>
      </c>
      <c r="P110">
        <v>18.399999999999999</v>
      </c>
      <c r="Q110" t="s">
        <v>22</v>
      </c>
      <c r="R110">
        <v>11.6</v>
      </c>
      <c r="S110">
        <f>YEAR(Table1[[#This Row],[Visitor Date]])</f>
        <v>2022</v>
      </c>
      <c r="T110" t="str">
        <f>TEXT(Table1[[#This Row],[Visitor Date]],"mmm")</f>
        <v>Sep</v>
      </c>
    </row>
    <row r="111" spans="1:20" x14ac:dyDescent="0.25">
      <c r="A111" t="s">
        <v>26</v>
      </c>
      <c r="B111">
        <v>26</v>
      </c>
      <c r="C111" t="s">
        <v>23</v>
      </c>
      <c r="D111">
        <v>39</v>
      </c>
      <c r="E111" s="1">
        <v>44576</v>
      </c>
      <c r="F111">
        <v>15</v>
      </c>
      <c r="G111">
        <v>7.5</v>
      </c>
      <c r="H111">
        <v>75</v>
      </c>
      <c r="I111">
        <v>3.2</v>
      </c>
      <c r="J111">
        <v>46.2</v>
      </c>
      <c r="K111">
        <v>30</v>
      </c>
      <c r="L111">
        <v>5.5</v>
      </c>
      <c r="M111" t="s">
        <v>27</v>
      </c>
      <c r="N111">
        <v>22</v>
      </c>
      <c r="O111" t="s">
        <v>21</v>
      </c>
      <c r="P111">
        <v>16.7</v>
      </c>
      <c r="Q111" t="s">
        <v>22</v>
      </c>
      <c r="R111">
        <v>10.8</v>
      </c>
      <c r="S111">
        <f>YEAR(Table1[[#This Row],[Visitor Date]])</f>
        <v>2022</v>
      </c>
      <c r="T111" t="str">
        <f>TEXT(Table1[[#This Row],[Visitor Date]],"mmm")</f>
        <v>Jan</v>
      </c>
    </row>
    <row r="112" spans="1:20" x14ac:dyDescent="0.25">
      <c r="A112" t="s">
        <v>26</v>
      </c>
      <c r="B112">
        <v>26</v>
      </c>
      <c r="C112" t="s">
        <v>35</v>
      </c>
      <c r="D112">
        <v>20</v>
      </c>
      <c r="E112" s="1">
        <v>44811</v>
      </c>
      <c r="F112">
        <v>12</v>
      </c>
      <c r="G112">
        <v>8</v>
      </c>
      <c r="H112">
        <v>70</v>
      </c>
      <c r="I112">
        <v>3.1</v>
      </c>
      <c r="J112">
        <v>44</v>
      </c>
      <c r="K112">
        <v>65</v>
      </c>
      <c r="L112">
        <v>4</v>
      </c>
      <c r="M112" t="s">
        <v>27</v>
      </c>
      <c r="N112">
        <v>20</v>
      </c>
      <c r="O112" t="s">
        <v>21</v>
      </c>
      <c r="P112">
        <v>14</v>
      </c>
      <c r="Q112" t="s">
        <v>22</v>
      </c>
      <c r="R112">
        <v>9.5</v>
      </c>
      <c r="S112">
        <f>YEAR(Table1[[#This Row],[Visitor Date]])</f>
        <v>2022</v>
      </c>
      <c r="T112" t="str">
        <f>TEXT(Table1[[#This Row],[Visitor Date]],"mmm")</f>
        <v>Sep</v>
      </c>
    </row>
    <row r="113" spans="1:20" x14ac:dyDescent="0.25">
      <c r="A113" t="s">
        <v>28</v>
      </c>
      <c r="B113">
        <v>68</v>
      </c>
      <c r="C113" t="s">
        <v>19</v>
      </c>
      <c r="D113">
        <v>60</v>
      </c>
      <c r="E113" s="1">
        <v>44776</v>
      </c>
      <c r="F113">
        <v>16</v>
      </c>
      <c r="G113">
        <v>90</v>
      </c>
      <c r="H113">
        <v>54</v>
      </c>
      <c r="I113">
        <v>3.5</v>
      </c>
      <c r="J113">
        <v>7.8</v>
      </c>
      <c r="K113">
        <v>34</v>
      </c>
      <c r="L113">
        <v>11</v>
      </c>
      <c r="M113" t="s">
        <v>20</v>
      </c>
      <c r="N113">
        <v>5.3</v>
      </c>
      <c r="O113" t="s">
        <v>29</v>
      </c>
      <c r="P113">
        <v>20.5</v>
      </c>
      <c r="Q113" t="s">
        <v>25</v>
      </c>
      <c r="R113">
        <v>19.5</v>
      </c>
      <c r="S113">
        <f>YEAR(Table1[[#This Row],[Visitor Date]])</f>
        <v>2022</v>
      </c>
      <c r="T113" t="str">
        <f>TEXT(Table1[[#This Row],[Visitor Date]],"mmm")</f>
        <v>Aug</v>
      </c>
    </row>
    <row r="114" spans="1:20" x14ac:dyDescent="0.25">
      <c r="A114" t="s">
        <v>28</v>
      </c>
      <c r="B114">
        <v>68</v>
      </c>
      <c r="C114" t="s">
        <v>23</v>
      </c>
      <c r="D114">
        <v>3</v>
      </c>
      <c r="E114" s="1">
        <v>45099</v>
      </c>
      <c r="F114">
        <v>12</v>
      </c>
      <c r="G114">
        <v>88</v>
      </c>
      <c r="H114">
        <v>50</v>
      </c>
      <c r="I114">
        <v>3.2</v>
      </c>
      <c r="J114">
        <v>6</v>
      </c>
      <c r="K114">
        <v>29</v>
      </c>
      <c r="L114">
        <v>10.199999999999999</v>
      </c>
      <c r="M114" t="s">
        <v>20</v>
      </c>
      <c r="N114">
        <v>4.8</v>
      </c>
      <c r="O114" t="s">
        <v>29</v>
      </c>
      <c r="P114">
        <v>19.7</v>
      </c>
      <c r="Q114" t="s">
        <v>25</v>
      </c>
      <c r="R114">
        <v>18</v>
      </c>
      <c r="S114">
        <f>YEAR(Table1[[#This Row],[Visitor Date]])</f>
        <v>2023</v>
      </c>
      <c r="T114" t="str">
        <f>TEXT(Table1[[#This Row],[Visitor Date]],"mmm")</f>
        <v>Jun</v>
      </c>
    </row>
    <row r="115" spans="1:20" x14ac:dyDescent="0.25">
      <c r="A115" t="s">
        <v>28</v>
      </c>
      <c r="B115">
        <v>68</v>
      </c>
      <c r="C115" t="s">
        <v>35</v>
      </c>
      <c r="D115">
        <v>5</v>
      </c>
      <c r="E115" s="1">
        <v>44738</v>
      </c>
      <c r="F115">
        <v>10</v>
      </c>
      <c r="G115">
        <v>89</v>
      </c>
      <c r="H115">
        <v>45</v>
      </c>
      <c r="I115">
        <v>3</v>
      </c>
      <c r="J115">
        <v>6</v>
      </c>
      <c r="K115">
        <v>60</v>
      </c>
      <c r="L115">
        <v>9.5</v>
      </c>
      <c r="M115" t="s">
        <v>20</v>
      </c>
      <c r="N115">
        <v>4</v>
      </c>
      <c r="O115" t="s">
        <v>29</v>
      </c>
      <c r="P115">
        <v>18</v>
      </c>
      <c r="Q115" t="s">
        <v>25</v>
      </c>
      <c r="R115">
        <v>16</v>
      </c>
      <c r="S115">
        <f>YEAR(Table1[[#This Row],[Visitor Date]])</f>
        <v>2022</v>
      </c>
      <c r="T115" t="str">
        <f>TEXT(Table1[[#This Row],[Visitor Date]],"mmm")</f>
        <v>Jun</v>
      </c>
    </row>
    <row r="116" spans="1:20" x14ac:dyDescent="0.25">
      <c r="A116" t="s">
        <v>30</v>
      </c>
      <c r="B116">
        <v>14</v>
      </c>
      <c r="C116" t="s">
        <v>19</v>
      </c>
      <c r="D116">
        <v>6</v>
      </c>
      <c r="E116" s="1">
        <v>44824</v>
      </c>
      <c r="F116">
        <v>18</v>
      </c>
      <c r="G116">
        <v>70.63</v>
      </c>
      <c r="H116">
        <v>41</v>
      </c>
      <c r="I116">
        <v>4.0999999999999996</v>
      </c>
      <c r="J116">
        <v>59.4</v>
      </c>
      <c r="K116">
        <v>95</v>
      </c>
      <c r="L116">
        <v>15.6</v>
      </c>
      <c r="M116" t="s">
        <v>27</v>
      </c>
      <c r="N116">
        <v>23.7</v>
      </c>
      <c r="O116" t="s">
        <v>31</v>
      </c>
      <c r="P116">
        <v>15.6</v>
      </c>
      <c r="Q116" t="s">
        <v>25</v>
      </c>
      <c r="R116">
        <v>15.1</v>
      </c>
      <c r="S116">
        <f>YEAR(Table1[[#This Row],[Visitor Date]])</f>
        <v>2022</v>
      </c>
      <c r="T116" t="str">
        <f>TEXT(Table1[[#This Row],[Visitor Date]],"mmm")</f>
        <v>Sep</v>
      </c>
    </row>
    <row r="117" spans="1:20" x14ac:dyDescent="0.25">
      <c r="A117" t="s">
        <v>30</v>
      </c>
      <c r="B117">
        <v>14</v>
      </c>
      <c r="C117" t="s">
        <v>23</v>
      </c>
      <c r="D117">
        <v>113</v>
      </c>
      <c r="E117" s="1">
        <v>44576</v>
      </c>
      <c r="F117">
        <v>9</v>
      </c>
      <c r="G117">
        <v>65</v>
      </c>
      <c r="H117">
        <v>25</v>
      </c>
      <c r="I117">
        <v>3.4</v>
      </c>
      <c r="J117">
        <v>55</v>
      </c>
      <c r="K117">
        <v>64</v>
      </c>
      <c r="L117">
        <v>14</v>
      </c>
      <c r="M117" t="s">
        <v>27</v>
      </c>
      <c r="N117">
        <v>21.5</v>
      </c>
      <c r="O117" t="s">
        <v>31</v>
      </c>
      <c r="P117">
        <v>13.9</v>
      </c>
      <c r="Q117" t="s">
        <v>25</v>
      </c>
      <c r="R117">
        <v>14.2</v>
      </c>
      <c r="S117">
        <f>YEAR(Table1[[#This Row],[Visitor Date]])</f>
        <v>2022</v>
      </c>
      <c r="T117" t="str">
        <f>TEXT(Table1[[#This Row],[Visitor Date]],"mmm")</f>
        <v>Jan</v>
      </c>
    </row>
    <row r="118" spans="1:20" x14ac:dyDescent="0.25">
      <c r="A118" t="s">
        <v>30</v>
      </c>
      <c r="B118">
        <v>14</v>
      </c>
      <c r="C118" t="s">
        <v>35</v>
      </c>
      <c r="D118">
        <v>0</v>
      </c>
      <c r="E118" s="1">
        <v>44811</v>
      </c>
      <c r="F118">
        <v>7</v>
      </c>
      <c r="G118">
        <v>64</v>
      </c>
      <c r="H118">
        <v>26</v>
      </c>
      <c r="I118">
        <v>3.5</v>
      </c>
      <c r="J118">
        <v>53</v>
      </c>
      <c r="K118">
        <v>54</v>
      </c>
      <c r="L118">
        <v>12</v>
      </c>
      <c r="M118" t="s">
        <v>27</v>
      </c>
      <c r="N118">
        <v>20</v>
      </c>
      <c r="O118" t="s">
        <v>31</v>
      </c>
      <c r="P118">
        <v>12.5</v>
      </c>
      <c r="Q118" t="s">
        <v>25</v>
      </c>
      <c r="R118">
        <v>12</v>
      </c>
      <c r="S118">
        <f>YEAR(Table1[[#This Row],[Visitor Date]])</f>
        <v>2022</v>
      </c>
      <c r="T118" t="str">
        <f>TEXT(Table1[[#This Row],[Visitor Date]],"mmm")</f>
        <v>Sep</v>
      </c>
    </row>
    <row r="119" spans="1:20" x14ac:dyDescent="0.25">
      <c r="A119" t="s">
        <v>32</v>
      </c>
      <c r="B119">
        <v>33</v>
      </c>
      <c r="C119" t="s">
        <v>19</v>
      </c>
      <c r="D119">
        <v>32</v>
      </c>
      <c r="E119" s="1">
        <v>44776</v>
      </c>
      <c r="F119">
        <v>19</v>
      </c>
      <c r="G119">
        <v>65.34</v>
      </c>
      <c r="H119">
        <v>27</v>
      </c>
      <c r="I119">
        <v>4.2</v>
      </c>
      <c r="J119">
        <v>52.3</v>
      </c>
      <c r="K119">
        <v>94</v>
      </c>
      <c r="L119">
        <v>16.2</v>
      </c>
      <c r="M119" t="s">
        <v>24</v>
      </c>
      <c r="N119">
        <v>18.899999999999999</v>
      </c>
      <c r="O119" t="s">
        <v>33</v>
      </c>
      <c r="P119">
        <v>13.8</v>
      </c>
      <c r="Q119" t="s">
        <v>34</v>
      </c>
      <c r="R119">
        <v>10.7</v>
      </c>
      <c r="S119">
        <f>YEAR(Table1[[#This Row],[Visitor Date]])</f>
        <v>2022</v>
      </c>
      <c r="T119" t="str">
        <f>TEXT(Table1[[#This Row],[Visitor Date]],"mmm")</f>
        <v>Aug</v>
      </c>
    </row>
    <row r="120" spans="1:20" x14ac:dyDescent="0.25">
      <c r="A120" t="s">
        <v>32</v>
      </c>
      <c r="B120">
        <v>33</v>
      </c>
      <c r="C120" t="s">
        <v>23</v>
      </c>
      <c r="D120">
        <v>29</v>
      </c>
      <c r="E120" s="1">
        <v>45099</v>
      </c>
      <c r="F120">
        <v>14</v>
      </c>
      <c r="G120">
        <v>60.2</v>
      </c>
      <c r="H120">
        <v>28</v>
      </c>
      <c r="I120">
        <v>3.9</v>
      </c>
      <c r="J120">
        <v>50.5</v>
      </c>
      <c r="K120">
        <v>75</v>
      </c>
      <c r="L120">
        <v>15</v>
      </c>
      <c r="M120" t="s">
        <v>24</v>
      </c>
      <c r="N120">
        <v>17.8</v>
      </c>
      <c r="O120" t="s">
        <v>33</v>
      </c>
      <c r="P120">
        <v>12</v>
      </c>
      <c r="Q120" t="s">
        <v>34</v>
      </c>
      <c r="R120">
        <v>9.5</v>
      </c>
      <c r="S120">
        <f>YEAR(Table1[[#This Row],[Visitor Date]])</f>
        <v>2023</v>
      </c>
      <c r="T120" t="str">
        <f>TEXT(Table1[[#This Row],[Visitor Date]],"mmm")</f>
        <v>Jun</v>
      </c>
    </row>
    <row r="121" spans="1:20" x14ac:dyDescent="0.25">
      <c r="A121" t="s">
        <v>32</v>
      </c>
      <c r="B121">
        <v>33</v>
      </c>
      <c r="C121" t="s">
        <v>35</v>
      </c>
      <c r="D121">
        <v>2</v>
      </c>
      <c r="E121" s="1">
        <v>44738</v>
      </c>
      <c r="F121">
        <v>10</v>
      </c>
      <c r="G121">
        <v>58</v>
      </c>
      <c r="H121">
        <v>29</v>
      </c>
      <c r="I121">
        <v>3.6</v>
      </c>
      <c r="J121">
        <v>48</v>
      </c>
      <c r="K121">
        <v>51</v>
      </c>
      <c r="L121">
        <v>13</v>
      </c>
      <c r="M121" t="s">
        <v>24</v>
      </c>
      <c r="N121">
        <v>16</v>
      </c>
      <c r="O121" t="s">
        <v>33</v>
      </c>
      <c r="P121">
        <v>11</v>
      </c>
      <c r="Q121" t="s">
        <v>34</v>
      </c>
      <c r="R121">
        <v>8</v>
      </c>
      <c r="S121">
        <f>YEAR(Table1[[#This Row],[Visitor Date]])</f>
        <v>2022</v>
      </c>
      <c r="T121" t="str">
        <f>TEXT(Table1[[#This Row],[Visitor Date]],"mmm")</f>
        <v>Jun</v>
      </c>
    </row>
    <row r="122" spans="1:20" x14ac:dyDescent="0.25">
      <c r="A122" t="s">
        <v>18</v>
      </c>
      <c r="B122">
        <v>91</v>
      </c>
      <c r="C122" t="s">
        <v>19</v>
      </c>
      <c r="D122">
        <v>58</v>
      </c>
      <c r="E122" s="1">
        <v>44824</v>
      </c>
      <c r="F122">
        <v>54</v>
      </c>
      <c r="G122">
        <v>55.5</v>
      </c>
      <c r="H122">
        <v>77</v>
      </c>
      <c r="I122">
        <v>4.0999999999999996</v>
      </c>
      <c r="J122">
        <v>0</v>
      </c>
      <c r="K122">
        <v>72</v>
      </c>
      <c r="L122">
        <v>17.3</v>
      </c>
      <c r="M122" t="s">
        <v>20</v>
      </c>
      <c r="N122">
        <v>6.5</v>
      </c>
      <c r="O122" t="s">
        <v>21</v>
      </c>
      <c r="P122">
        <v>18.2</v>
      </c>
      <c r="Q122" t="s">
        <v>22</v>
      </c>
      <c r="R122">
        <v>23</v>
      </c>
      <c r="S122">
        <f>YEAR(Table1[[#This Row],[Visitor Date]])</f>
        <v>2022</v>
      </c>
      <c r="T122" t="str">
        <f>TEXT(Table1[[#This Row],[Visitor Date]],"mmm")</f>
        <v>Sep</v>
      </c>
    </row>
    <row r="123" spans="1:20" x14ac:dyDescent="0.25">
      <c r="A123" t="s">
        <v>18</v>
      </c>
      <c r="B123">
        <v>91</v>
      </c>
      <c r="C123" t="s">
        <v>23</v>
      </c>
      <c r="D123">
        <v>122</v>
      </c>
      <c r="E123" s="1">
        <v>44674</v>
      </c>
      <c r="F123">
        <v>26</v>
      </c>
      <c r="G123">
        <v>58</v>
      </c>
      <c r="H123">
        <v>70</v>
      </c>
      <c r="I123">
        <v>3.8</v>
      </c>
      <c r="J123">
        <v>58</v>
      </c>
      <c r="K123">
        <v>54</v>
      </c>
      <c r="L123">
        <v>15.5</v>
      </c>
      <c r="M123" t="s">
        <v>20</v>
      </c>
      <c r="N123">
        <v>5.8</v>
      </c>
      <c r="O123" t="s">
        <v>21</v>
      </c>
      <c r="P123">
        <v>15</v>
      </c>
      <c r="Q123" t="s">
        <v>22</v>
      </c>
      <c r="R123">
        <v>20</v>
      </c>
      <c r="S123">
        <f>YEAR(Table1[[#This Row],[Visitor Date]])</f>
        <v>2022</v>
      </c>
      <c r="T123" t="str">
        <f>TEXT(Table1[[#This Row],[Visitor Date]],"mmm")</f>
        <v>Apr</v>
      </c>
    </row>
    <row r="124" spans="1:20" x14ac:dyDescent="0.25">
      <c r="A124" t="s">
        <v>24</v>
      </c>
      <c r="B124">
        <v>44</v>
      </c>
      <c r="C124" t="s">
        <v>19</v>
      </c>
      <c r="D124">
        <v>45</v>
      </c>
      <c r="E124" s="1">
        <v>44914</v>
      </c>
      <c r="F124">
        <v>49</v>
      </c>
      <c r="G124">
        <v>90</v>
      </c>
      <c r="H124">
        <v>45</v>
      </c>
      <c r="I124">
        <v>3.1</v>
      </c>
      <c r="J124">
        <v>48.5</v>
      </c>
      <c r="K124">
        <v>33</v>
      </c>
      <c r="L124">
        <v>18.5</v>
      </c>
      <c r="M124" t="s">
        <v>24</v>
      </c>
      <c r="N124">
        <v>25</v>
      </c>
      <c r="O124" t="s">
        <v>21</v>
      </c>
      <c r="P124">
        <v>9</v>
      </c>
      <c r="Q124" t="s">
        <v>25</v>
      </c>
      <c r="R124">
        <v>7.5</v>
      </c>
      <c r="S124">
        <f>YEAR(Table1[[#This Row],[Visitor Date]])</f>
        <v>2022</v>
      </c>
      <c r="T124" t="str">
        <f>TEXT(Table1[[#This Row],[Visitor Date]],"mmm")</f>
        <v>Dec</v>
      </c>
    </row>
    <row r="125" spans="1:20" x14ac:dyDescent="0.25">
      <c r="A125" t="s">
        <v>24</v>
      </c>
      <c r="B125">
        <v>44</v>
      </c>
      <c r="C125" t="s">
        <v>23</v>
      </c>
      <c r="D125">
        <v>34</v>
      </c>
      <c r="E125" s="1">
        <v>44782</v>
      </c>
      <c r="F125">
        <v>37</v>
      </c>
      <c r="G125">
        <v>87</v>
      </c>
      <c r="H125">
        <v>40</v>
      </c>
      <c r="I125">
        <v>2.9</v>
      </c>
      <c r="J125">
        <v>44</v>
      </c>
      <c r="K125">
        <v>27</v>
      </c>
      <c r="L125">
        <v>16.5</v>
      </c>
      <c r="M125" t="s">
        <v>24</v>
      </c>
      <c r="N125">
        <v>24</v>
      </c>
      <c r="O125" t="s">
        <v>21</v>
      </c>
      <c r="P125">
        <v>8</v>
      </c>
      <c r="Q125" t="s">
        <v>25</v>
      </c>
      <c r="R125">
        <v>6.5</v>
      </c>
      <c r="S125">
        <f>YEAR(Table1[[#This Row],[Visitor Date]])</f>
        <v>2022</v>
      </c>
      <c r="T125" t="str">
        <f>TEXT(Table1[[#This Row],[Visitor Date]],"mmm")</f>
        <v>Aug</v>
      </c>
    </row>
    <row r="126" spans="1:20" x14ac:dyDescent="0.25">
      <c r="A126" t="s">
        <v>24</v>
      </c>
      <c r="B126">
        <v>44</v>
      </c>
      <c r="C126" t="s">
        <v>35</v>
      </c>
      <c r="D126">
        <v>2</v>
      </c>
      <c r="E126" s="1">
        <v>45095</v>
      </c>
      <c r="F126">
        <v>25</v>
      </c>
      <c r="G126">
        <v>85</v>
      </c>
      <c r="H126">
        <v>35</v>
      </c>
      <c r="I126">
        <v>3</v>
      </c>
      <c r="J126">
        <v>43</v>
      </c>
      <c r="K126">
        <v>78</v>
      </c>
      <c r="L126">
        <v>15</v>
      </c>
      <c r="M126" t="s">
        <v>24</v>
      </c>
      <c r="N126">
        <v>23</v>
      </c>
      <c r="O126" t="s">
        <v>21</v>
      </c>
      <c r="P126">
        <v>7</v>
      </c>
      <c r="Q126" t="s">
        <v>25</v>
      </c>
      <c r="R126">
        <v>5</v>
      </c>
      <c r="S126">
        <f>YEAR(Table1[[#This Row],[Visitor Date]])</f>
        <v>2023</v>
      </c>
      <c r="T126" t="str">
        <f>TEXT(Table1[[#This Row],[Visitor Date]],"mmm")</f>
        <v>Jun</v>
      </c>
    </row>
    <row r="127" spans="1:20" x14ac:dyDescent="0.25">
      <c r="A127" t="s">
        <v>26</v>
      </c>
      <c r="B127">
        <v>26</v>
      </c>
      <c r="C127" t="s">
        <v>19</v>
      </c>
      <c r="D127">
        <v>37</v>
      </c>
      <c r="E127" s="1">
        <v>44866</v>
      </c>
      <c r="F127">
        <v>8</v>
      </c>
      <c r="G127">
        <v>5</v>
      </c>
      <c r="H127">
        <v>76</v>
      </c>
      <c r="I127">
        <v>3</v>
      </c>
      <c r="J127">
        <v>47</v>
      </c>
      <c r="K127">
        <v>37</v>
      </c>
      <c r="L127">
        <v>6</v>
      </c>
      <c r="M127" t="s">
        <v>27</v>
      </c>
      <c r="N127">
        <v>20</v>
      </c>
      <c r="O127" t="s">
        <v>21</v>
      </c>
      <c r="P127">
        <v>16</v>
      </c>
      <c r="Q127" t="s">
        <v>22</v>
      </c>
      <c r="R127">
        <v>12</v>
      </c>
      <c r="S127">
        <f>YEAR(Table1[[#This Row],[Visitor Date]])</f>
        <v>2022</v>
      </c>
      <c r="T127" t="str">
        <f>TEXT(Table1[[#This Row],[Visitor Date]],"mmm")</f>
        <v>Nov</v>
      </c>
    </row>
    <row r="128" spans="1:20" x14ac:dyDescent="0.25">
      <c r="A128" t="s">
        <v>26</v>
      </c>
      <c r="B128">
        <v>26</v>
      </c>
      <c r="C128" t="s">
        <v>23</v>
      </c>
      <c r="D128">
        <v>29</v>
      </c>
      <c r="E128" s="1">
        <v>44674</v>
      </c>
      <c r="F128">
        <v>10</v>
      </c>
      <c r="G128">
        <v>7</v>
      </c>
      <c r="H128">
        <v>74</v>
      </c>
      <c r="I128">
        <v>3.2</v>
      </c>
      <c r="J128">
        <v>44</v>
      </c>
      <c r="K128">
        <v>31</v>
      </c>
      <c r="L128">
        <v>5.5</v>
      </c>
      <c r="M128" t="s">
        <v>27</v>
      </c>
      <c r="N128">
        <v>19</v>
      </c>
      <c r="O128" t="s">
        <v>21</v>
      </c>
      <c r="P128">
        <v>15</v>
      </c>
      <c r="Q128" t="s">
        <v>22</v>
      </c>
      <c r="R128">
        <v>11.5</v>
      </c>
      <c r="S128">
        <f>YEAR(Table1[[#This Row],[Visitor Date]])</f>
        <v>2022</v>
      </c>
      <c r="T128" t="str">
        <f>TEXT(Table1[[#This Row],[Visitor Date]],"mmm")</f>
        <v>Apr</v>
      </c>
    </row>
    <row r="129" spans="1:20" x14ac:dyDescent="0.25">
      <c r="A129" t="s">
        <v>26</v>
      </c>
      <c r="B129">
        <v>26</v>
      </c>
      <c r="C129" t="s">
        <v>35</v>
      </c>
      <c r="D129">
        <v>5</v>
      </c>
      <c r="E129" s="1">
        <v>44914</v>
      </c>
      <c r="F129">
        <v>7</v>
      </c>
      <c r="G129">
        <v>6.5</v>
      </c>
      <c r="H129">
        <v>70</v>
      </c>
      <c r="I129">
        <v>3.1</v>
      </c>
      <c r="J129">
        <v>42</v>
      </c>
      <c r="K129">
        <v>57</v>
      </c>
      <c r="L129">
        <v>4.5</v>
      </c>
      <c r="M129" t="s">
        <v>27</v>
      </c>
      <c r="N129">
        <v>18</v>
      </c>
      <c r="O129" t="s">
        <v>21</v>
      </c>
      <c r="P129">
        <v>14</v>
      </c>
      <c r="Q129" t="s">
        <v>22</v>
      </c>
      <c r="R129">
        <v>10</v>
      </c>
      <c r="S129">
        <f>YEAR(Table1[[#This Row],[Visitor Date]])</f>
        <v>2022</v>
      </c>
      <c r="T129" t="str">
        <f>TEXT(Table1[[#This Row],[Visitor Date]],"mmm")</f>
        <v>Dec</v>
      </c>
    </row>
    <row r="130" spans="1:20" x14ac:dyDescent="0.25">
      <c r="A130" t="s">
        <v>28</v>
      </c>
      <c r="B130">
        <v>68</v>
      </c>
      <c r="C130" t="s">
        <v>19</v>
      </c>
      <c r="D130">
        <v>6</v>
      </c>
      <c r="E130" s="1">
        <v>44782</v>
      </c>
      <c r="F130">
        <v>14</v>
      </c>
      <c r="G130">
        <v>91.5</v>
      </c>
      <c r="H130">
        <v>55</v>
      </c>
      <c r="I130">
        <v>3.6</v>
      </c>
      <c r="J130">
        <v>8</v>
      </c>
      <c r="K130">
        <v>35</v>
      </c>
      <c r="L130">
        <v>12</v>
      </c>
      <c r="M130" t="s">
        <v>20</v>
      </c>
      <c r="N130">
        <v>5</v>
      </c>
      <c r="O130" t="s">
        <v>29</v>
      </c>
      <c r="P130">
        <v>18</v>
      </c>
      <c r="Q130" t="s">
        <v>25</v>
      </c>
      <c r="R130">
        <v>19</v>
      </c>
      <c r="S130">
        <f>YEAR(Table1[[#This Row],[Visitor Date]])</f>
        <v>2022</v>
      </c>
      <c r="T130" t="str">
        <f>TEXT(Table1[[#This Row],[Visitor Date]],"mmm")</f>
        <v>Aug</v>
      </c>
    </row>
    <row r="131" spans="1:20" x14ac:dyDescent="0.25">
      <c r="A131" t="s">
        <v>28</v>
      </c>
      <c r="B131">
        <v>68</v>
      </c>
      <c r="C131" t="s">
        <v>23</v>
      </c>
      <c r="D131">
        <v>30</v>
      </c>
      <c r="E131" s="1">
        <v>45095</v>
      </c>
      <c r="F131">
        <v>11</v>
      </c>
      <c r="G131">
        <v>89</v>
      </c>
      <c r="H131">
        <v>53</v>
      </c>
      <c r="I131">
        <v>3</v>
      </c>
      <c r="J131">
        <v>6</v>
      </c>
      <c r="K131">
        <v>28</v>
      </c>
      <c r="L131">
        <v>10</v>
      </c>
      <c r="M131" t="s">
        <v>20</v>
      </c>
      <c r="N131">
        <v>4.5</v>
      </c>
      <c r="O131" t="s">
        <v>29</v>
      </c>
      <c r="P131">
        <v>16</v>
      </c>
      <c r="Q131" t="s">
        <v>25</v>
      </c>
      <c r="R131">
        <v>17</v>
      </c>
      <c r="S131">
        <f>YEAR(Table1[[#This Row],[Visitor Date]])</f>
        <v>2023</v>
      </c>
      <c r="T131" t="str">
        <f>TEXT(Table1[[#This Row],[Visitor Date]],"mmm")</f>
        <v>Jun</v>
      </c>
    </row>
    <row r="132" spans="1:20" x14ac:dyDescent="0.25">
      <c r="A132" t="s">
        <v>28</v>
      </c>
      <c r="B132">
        <v>68</v>
      </c>
      <c r="C132" t="s">
        <v>35</v>
      </c>
      <c r="D132">
        <v>0</v>
      </c>
      <c r="E132" s="1">
        <v>44866</v>
      </c>
      <c r="F132">
        <v>9</v>
      </c>
      <c r="G132">
        <v>88</v>
      </c>
      <c r="H132">
        <v>45</v>
      </c>
      <c r="I132">
        <v>2.8</v>
      </c>
      <c r="J132">
        <v>63</v>
      </c>
      <c r="K132">
        <v>45</v>
      </c>
      <c r="L132">
        <v>9</v>
      </c>
      <c r="M132" t="s">
        <v>20</v>
      </c>
      <c r="N132">
        <v>4</v>
      </c>
      <c r="O132" t="s">
        <v>29</v>
      </c>
      <c r="P132">
        <v>15</v>
      </c>
      <c r="Q132" t="s">
        <v>25</v>
      </c>
      <c r="R132">
        <v>16</v>
      </c>
      <c r="S132">
        <f>YEAR(Table1[[#This Row],[Visitor Date]])</f>
        <v>2022</v>
      </c>
      <c r="T132" t="str">
        <f>TEXT(Table1[[#This Row],[Visitor Date]],"mmm")</f>
        <v>Nov</v>
      </c>
    </row>
    <row r="133" spans="1:20" x14ac:dyDescent="0.25">
      <c r="A133" t="s">
        <v>30</v>
      </c>
      <c r="B133">
        <v>14</v>
      </c>
      <c r="C133" t="s">
        <v>19</v>
      </c>
      <c r="D133">
        <v>18</v>
      </c>
      <c r="E133" s="1">
        <v>44570</v>
      </c>
      <c r="F133">
        <v>17</v>
      </c>
      <c r="G133">
        <v>72</v>
      </c>
      <c r="H133">
        <v>42</v>
      </c>
      <c r="I133">
        <v>4.2</v>
      </c>
      <c r="J133">
        <v>60</v>
      </c>
      <c r="K133">
        <v>96</v>
      </c>
      <c r="L133">
        <v>14.5</v>
      </c>
      <c r="M133" t="s">
        <v>27</v>
      </c>
      <c r="N133">
        <v>21</v>
      </c>
      <c r="O133" t="s">
        <v>31</v>
      </c>
      <c r="P133">
        <v>16</v>
      </c>
      <c r="Q133" t="s">
        <v>25</v>
      </c>
      <c r="R133">
        <v>15.5</v>
      </c>
      <c r="S133">
        <f>YEAR(Table1[[#This Row],[Visitor Date]])</f>
        <v>2022</v>
      </c>
      <c r="T133" t="str">
        <f>TEXT(Table1[[#This Row],[Visitor Date]],"mmm")</f>
        <v>Jan</v>
      </c>
    </row>
    <row r="134" spans="1:20" x14ac:dyDescent="0.25">
      <c r="A134" t="s">
        <v>30</v>
      </c>
      <c r="B134">
        <v>14</v>
      </c>
      <c r="C134" t="s">
        <v>23</v>
      </c>
      <c r="D134">
        <v>15</v>
      </c>
      <c r="E134" s="1">
        <v>44674</v>
      </c>
      <c r="F134">
        <v>8</v>
      </c>
      <c r="G134">
        <v>67</v>
      </c>
      <c r="H134">
        <v>27</v>
      </c>
      <c r="I134">
        <v>3.7</v>
      </c>
      <c r="J134">
        <v>56</v>
      </c>
      <c r="K134">
        <v>62</v>
      </c>
      <c r="L134">
        <v>12.5</v>
      </c>
      <c r="M134" t="s">
        <v>27</v>
      </c>
      <c r="N134">
        <v>20.5</v>
      </c>
      <c r="O134" t="s">
        <v>31</v>
      </c>
      <c r="P134">
        <v>14</v>
      </c>
      <c r="Q134" t="s">
        <v>25</v>
      </c>
      <c r="R134">
        <v>13.5</v>
      </c>
      <c r="S134">
        <f>YEAR(Table1[[#This Row],[Visitor Date]])</f>
        <v>2022</v>
      </c>
      <c r="T134" t="str">
        <f>TEXT(Table1[[#This Row],[Visitor Date]],"mmm")</f>
        <v>Apr</v>
      </c>
    </row>
    <row r="135" spans="1:20" x14ac:dyDescent="0.25">
      <c r="A135" t="s">
        <v>30</v>
      </c>
      <c r="B135">
        <v>14</v>
      </c>
      <c r="C135" t="s">
        <v>35</v>
      </c>
      <c r="D135">
        <v>15</v>
      </c>
      <c r="E135" s="1">
        <v>44721</v>
      </c>
      <c r="F135">
        <v>6</v>
      </c>
      <c r="G135">
        <v>66</v>
      </c>
      <c r="H135">
        <v>25</v>
      </c>
      <c r="I135">
        <v>3.5</v>
      </c>
      <c r="J135">
        <v>54</v>
      </c>
      <c r="K135">
        <v>52</v>
      </c>
      <c r="L135">
        <v>12</v>
      </c>
      <c r="M135" t="s">
        <v>27</v>
      </c>
      <c r="N135">
        <v>19</v>
      </c>
      <c r="O135" t="s">
        <v>31</v>
      </c>
      <c r="P135">
        <v>13</v>
      </c>
      <c r="Q135" t="s">
        <v>25</v>
      </c>
      <c r="R135">
        <v>12</v>
      </c>
      <c r="S135">
        <f>YEAR(Table1[[#This Row],[Visitor Date]])</f>
        <v>2022</v>
      </c>
      <c r="T135" t="str">
        <f>TEXT(Table1[[#This Row],[Visitor Date]],"mmm")</f>
        <v>Jun</v>
      </c>
    </row>
    <row r="136" spans="1:20" x14ac:dyDescent="0.25">
      <c r="A136" t="s">
        <v>32</v>
      </c>
      <c r="B136">
        <v>33</v>
      </c>
      <c r="C136" t="s">
        <v>19</v>
      </c>
      <c r="D136">
        <v>33</v>
      </c>
      <c r="E136" s="1">
        <v>44837</v>
      </c>
      <c r="F136">
        <v>20</v>
      </c>
      <c r="G136">
        <v>63</v>
      </c>
      <c r="H136">
        <v>26</v>
      </c>
      <c r="I136">
        <v>4.3</v>
      </c>
      <c r="J136">
        <v>53</v>
      </c>
      <c r="K136">
        <v>96</v>
      </c>
      <c r="L136">
        <v>15</v>
      </c>
      <c r="M136" t="s">
        <v>24</v>
      </c>
      <c r="N136">
        <v>19</v>
      </c>
      <c r="O136" t="s">
        <v>33</v>
      </c>
      <c r="P136">
        <v>14</v>
      </c>
      <c r="Q136" t="s">
        <v>34</v>
      </c>
      <c r="R136">
        <v>11</v>
      </c>
      <c r="S136">
        <f>YEAR(Table1[[#This Row],[Visitor Date]])</f>
        <v>2022</v>
      </c>
      <c r="T136" t="str">
        <f>TEXT(Table1[[#This Row],[Visitor Date]],"mmm")</f>
        <v>Oct</v>
      </c>
    </row>
    <row r="137" spans="1:20" x14ac:dyDescent="0.25">
      <c r="A137" t="s">
        <v>32</v>
      </c>
      <c r="B137">
        <v>33</v>
      </c>
      <c r="C137" t="s">
        <v>23</v>
      </c>
      <c r="D137">
        <v>29</v>
      </c>
      <c r="E137" s="1">
        <v>44914</v>
      </c>
      <c r="F137">
        <v>15</v>
      </c>
      <c r="G137">
        <v>59</v>
      </c>
      <c r="H137">
        <v>27</v>
      </c>
      <c r="I137">
        <v>3.9</v>
      </c>
      <c r="J137">
        <v>51</v>
      </c>
      <c r="K137">
        <v>80</v>
      </c>
      <c r="L137">
        <v>14</v>
      </c>
      <c r="M137" t="s">
        <v>24</v>
      </c>
      <c r="N137">
        <v>18</v>
      </c>
      <c r="O137" t="s">
        <v>33</v>
      </c>
      <c r="P137">
        <v>13</v>
      </c>
      <c r="Q137" t="s">
        <v>34</v>
      </c>
      <c r="R137">
        <v>10</v>
      </c>
      <c r="S137">
        <f>YEAR(Table1[[#This Row],[Visitor Date]])</f>
        <v>2022</v>
      </c>
      <c r="T137" t="str">
        <f>TEXT(Table1[[#This Row],[Visitor Date]],"mmm")</f>
        <v>Dec</v>
      </c>
    </row>
    <row r="138" spans="1:20" x14ac:dyDescent="0.25">
      <c r="A138" t="s">
        <v>32</v>
      </c>
      <c r="B138">
        <v>33</v>
      </c>
      <c r="C138" t="s">
        <v>35</v>
      </c>
      <c r="D138">
        <v>2</v>
      </c>
      <c r="E138" s="1">
        <v>45184</v>
      </c>
      <c r="F138">
        <v>10</v>
      </c>
      <c r="G138">
        <v>58</v>
      </c>
      <c r="H138">
        <v>28</v>
      </c>
      <c r="I138">
        <v>3.6</v>
      </c>
      <c r="J138">
        <v>48</v>
      </c>
      <c r="K138">
        <v>51</v>
      </c>
      <c r="L138">
        <v>13</v>
      </c>
      <c r="M138" t="s">
        <v>24</v>
      </c>
      <c r="N138">
        <v>16</v>
      </c>
      <c r="O138" t="s">
        <v>33</v>
      </c>
      <c r="P138">
        <v>11</v>
      </c>
      <c r="Q138" t="s">
        <v>34</v>
      </c>
      <c r="R138">
        <v>8</v>
      </c>
      <c r="S138">
        <f>YEAR(Table1[[#This Row],[Visitor Date]])</f>
        <v>2023</v>
      </c>
      <c r="T138" t="str">
        <f>TEXT(Table1[[#This Row],[Visitor Date]],"mmm")</f>
        <v>Sep</v>
      </c>
    </row>
    <row r="139" spans="1:20" x14ac:dyDescent="0.25">
      <c r="A139" t="s">
        <v>18</v>
      </c>
      <c r="B139">
        <v>91</v>
      </c>
      <c r="C139" t="s">
        <v>19</v>
      </c>
      <c r="D139">
        <v>54</v>
      </c>
      <c r="E139" s="1">
        <v>44723</v>
      </c>
      <c r="F139">
        <v>52</v>
      </c>
      <c r="G139">
        <v>54</v>
      </c>
      <c r="H139">
        <v>77</v>
      </c>
      <c r="I139">
        <v>4.4000000000000004</v>
      </c>
      <c r="J139">
        <v>59</v>
      </c>
      <c r="K139">
        <v>73</v>
      </c>
      <c r="L139">
        <v>16</v>
      </c>
      <c r="M139" t="s">
        <v>20</v>
      </c>
      <c r="N139">
        <v>7</v>
      </c>
      <c r="O139" t="s">
        <v>21</v>
      </c>
      <c r="P139">
        <v>15</v>
      </c>
      <c r="Q139" t="s">
        <v>22</v>
      </c>
      <c r="R139">
        <v>22</v>
      </c>
      <c r="S139">
        <f>YEAR(Table1[[#This Row],[Visitor Date]])</f>
        <v>2022</v>
      </c>
      <c r="T139" t="str">
        <f>TEXT(Table1[[#This Row],[Visitor Date]],"mmm")</f>
        <v>Jun</v>
      </c>
    </row>
    <row r="140" spans="1:20" x14ac:dyDescent="0.25">
      <c r="A140" t="s">
        <v>18</v>
      </c>
      <c r="B140">
        <v>91</v>
      </c>
      <c r="C140" t="s">
        <v>23</v>
      </c>
      <c r="D140">
        <v>2</v>
      </c>
      <c r="E140" s="1">
        <v>44839</v>
      </c>
      <c r="F140">
        <v>27</v>
      </c>
      <c r="G140">
        <v>56</v>
      </c>
      <c r="H140">
        <v>70</v>
      </c>
      <c r="I140">
        <v>3.8</v>
      </c>
      <c r="J140">
        <v>58</v>
      </c>
      <c r="K140">
        <v>58</v>
      </c>
      <c r="L140">
        <v>14</v>
      </c>
      <c r="M140" t="s">
        <v>20</v>
      </c>
      <c r="N140">
        <v>6</v>
      </c>
      <c r="O140" t="s">
        <v>21</v>
      </c>
      <c r="P140">
        <v>14</v>
      </c>
      <c r="Q140" t="s">
        <v>22</v>
      </c>
      <c r="R140">
        <v>21</v>
      </c>
      <c r="S140">
        <f>YEAR(Table1[[#This Row],[Visitor Date]])</f>
        <v>2022</v>
      </c>
      <c r="T140" t="str">
        <f>TEXT(Table1[[#This Row],[Visitor Date]],"mmm")</f>
        <v>Oct</v>
      </c>
    </row>
    <row r="141" spans="1:20" x14ac:dyDescent="0.25">
      <c r="A141" t="s">
        <v>18</v>
      </c>
      <c r="B141">
        <v>91</v>
      </c>
      <c r="C141" t="s">
        <v>35</v>
      </c>
      <c r="D141">
        <v>7</v>
      </c>
      <c r="E141" s="1">
        <v>44916</v>
      </c>
      <c r="F141">
        <v>12</v>
      </c>
      <c r="G141">
        <v>58</v>
      </c>
      <c r="H141">
        <v>65</v>
      </c>
      <c r="I141">
        <v>3.4</v>
      </c>
      <c r="J141">
        <v>56</v>
      </c>
      <c r="K141">
        <v>45</v>
      </c>
      <c r="L141">
        <v>13</v>
      </c>
      <c r="M141" t="s">
        <v>20</v>
      </c>
      <c r="N141">
        <v>5.5</v>
      </c>
      <c r="O141" t="s">
        <v>21</v>
      </c>
      <c r="P141">
        <v>12</v>
      </c>
      <c r="Q141" t="s">
        <v>22</v>
      </c>
      <c r="R141">
        <v>19</v>
      </c>
      <c r="S141">
        <f>YEAR(Table1[[#This Row],[Visitor Date]])</f>
        <v>2022</v>
      </c>
      <c r="T141" t="str">
        <f>TEXT(Table1[[#This Row],[Visitor Date]],"mmm")</f>
        <v>Dec</v>
      </c>
    </row>
    <row r="142" spans="1:20" x14ac:dyDescent="0.25">
      <c r="A142" t="s">
        <v>24</v>
      </c>
      <c r="B142">
        <v>44</v>
      </c>
      <c r="C142" t="s">
        <v>19</v>
      </c>
      <c r="D142">
        <v>42</v>
      </c>
      <c r="E142" s="1">
        <v>45186</v>
      </c>
      <c r="F142">
        <v>45</v>
      </c>
      <c r="G142">
        <v>89</v>
      </c>
      <c r="H142">
        <v>45</v>
      </c>
      <c r="I142">
        <v>3.2</v>
      </c>
      <c r="J142">
        <v>45</v>
      </c>
      <c r="K142">
        <v>31</v>
      </c>
      <c r="L142">
        <v>17</v>
      </c>
      <c r="M142" t="s">
        <v>24</v>
      </c>
      <c r="N142">
        <v>26</v>
      </c>
      <c r="O142" t="s">
        <v>21</v>
      </c>
      <c r="P142">
        <v>7</v>
      </c>
      <c r="Q142" t="s">
        <v>25</v>
      </c>
      <c r="R142">
        <v>7</v>
      </c>
      <c r="S142">
        <f>YEAR(Table1[[#This Row],[Visitor Date]])</f>
        <v>2023</v>
      </c>
      <c r="T142" t="str">
        <f>TEXT(Table1[[#This Row],[Visitor Date]],"mmm")</f>
        <v>Sep</v>
      </c>
    </row>
    <row r="143" spans="1:20" x14ac:dyDescent="0.25">
      <c r="A143" t="s">
        <v>24</v>
      </c>
      <c r="B143">
        <v>44</v>
      </c>
      <c r="C143" t="s">
        <v>23</v>
      </c>
      <c r="D143">
        <v>139</v>
      </c>
      <c r="E143" s="1">
        <v>44648</v>
      </c>
      <c r="F143">
        <v>38</v>
      </c>
      <c r="G143">
        <v>85</v>
      </c>
      <c r="H143">
        <v>40</v>
      </c>
      <c r="I143">
        <v>2.9</v>
      </c>
      <c r="J143">
        <v>44</v>
      </c>
      <c r="K143">
        <v>27</v>
      </c>
      <c r="L143">
        <v>16</v>
      </c>
      <c r="M143" t="s">
        <v>24</v>
      </c>
      <c r="N143">
        <v>25</v>
      </c>
      <c r="O143" t="s">
        <v>21</v>
      </c>
      <c r="P143">
        <v>6.5</v>
      </c>
      <c r="Q143" t="s">
        <v>25</v>
      </c>
      <c r="R143">
        <v>6.5</v>
      </c>
      <c r="S143">
        <f>YEAR(Table1[[#This Row],[Visitor Date]])</f>
        <v>2022</v>
      </c>
      <c r="T143" t="str">
        <f>TEXT(Table1[[#This Row],[Visitor Date]],"mmm")</f>
        <v>Mar</v>
      </c>
    </row>
    <row r="144" spans="1:20" x14ac:dyDescent="0.25">
      <c r="A144" t="s">
        <v>24</v>
      </c>
      <c r="B144">
        <v>44</v>
      </c>
      <c r="C144" t="s">
        <v>35</v>
      </c>
      <c r="D144">
        <v>22</v>
      </c>
      <c r="E144" s="1">
        <v>44784</v>
      </c>
      <c r="F144">
        <v>25</v>
      </c>
      <c r="G144">
        <v>83</v>
      </c>
      <c r="H144">
        <v>35</v>
      </c>
      <c r="I144">
        <v>3</v>
      </c>
      <c r="J144">
        <v>43</v>
      </c>
      <c r="K144">
        <v>78</v>
      </c>
      <c r="L144">
        <v>15</v>
      </c>
      <c r="M144" t="s">
        <v>24</v>
      </c>
      <c r="N144">
        <v>23</v>
      </c>
      <c r="O144" t="s">
        <v>21</v>
      </c>
      <c r="P144">
        <v>7</v>
      </c>
      <c r="Q144" t="s">
        <v>25</v>
      </c>
      <c r="R144">
        <v>5</v>
      </c>
      <c r="S144">
        <f>YEAR(Table1[[#This Row],[Visitor Date]])</f>
        <v>2022</v>
      </c>
      <c r="T144" t="str">
        <f>TEXT(Table1[[#This Row],[Visitor Date]],"mmm")</f>
        <v>Aug</v>
      </c>
    </row>
    <row r="145" spans="1:20" x14ac:dyDescent="0.25">
      <c r="A145" t="s">
        <v>30</v>
      </c>
      <c r="B145">
        <v>14</v>
      </c>
      <c r="C145" t="s">
        <v>19</v>
      </c>
      <c r="D145">
        <v>119</v>
      </c>
      <c r="E145" s="1">
        <v>45064</v>
      </c>
      <c r="F145">
        <v>17</v>
      </c>
      <c r="G145">
        <v>70.63</v>
      </c>
      <c r="H145">
        <v>42</v>
      </c>
      <c r="I145">
        <v>4.2</v>
      </c>
      <c r="J145">
        <v>60</v>
      </c>
      <c r="K145">
        <v>96</v>
      </c>
      <c r="L145">
        <v>14.5</v>
      </c>
      <c r="M145" t="s">
        <v>27</v>
      </c>
      <c r="N145">
        <v>21</v>
      </c>
      <c r="O145" t="s">
        <v>31</v>
      </c>
      <c r="P145">
        <v>16</v>
      </c>
      <c r="Q145" t="s">
        <v>25</v>
      </c>
      <c r="R145">
        <v>15.5</v>
      </c>
      <c r="S145">
        <f>YEAR(Table1[[#This Row],[Visitor Date]])</f>
        <v>2023</v>
      </c>
      <c r="T145" t="str">
        <f>TEXT(Table1[[#This Row],[Visitor Date]],"mmm")</f>
        <v>May</v>
      </c>
    </row>
    <row r="146" spans="1:20" x14ac:dyDescent="0.25">
      <c r="A146" t="s">
        <v>30</v>
      </c>
      <c r="B146">
        <v>14</v>
      </c>
      <c r="C146" t="s">
        <v>23</v>
      </c>
      <c r="D146">
        <v>116</v>
      </c>
      <c r="E146" s="1">
        <v>44578</v>
      </c>
      <c r="F146">
        <v>9</v>
      </c>
      <c r="G146">
        <v>67</v>
      </c>
      <c r="H146">
        <v>27</v>
      </c>
      <c r="I146">
        <v>3.7</v>
      </c>
      <c r="J146">
        <v>56</v>
      </c>
      <c r="K146">
        <v>62</v>
      </c>
      <c r="L146">
        <v>12.5</v>
      </c>
      <c r="M146" t="s">
        <v>27</v>
      </c>
      <c r="N146">
        <v>20.5</v>
      </c>
      <c r="O146" t="s">
        <v>31</v>
      </c>
      <c r="P146">
        <v>14</v>
      </c>
      <c r="Q146" t="s">
        <v>25</v>
      </c>
      <c r="R146">
        <v>13.5</v>
      </c>
      <c r="S146">
        <f>YEAR(Table1[[#This Row],[Visitor Date]])</f>
        <v>2022</v>
      </c>
      <c r="T146" t="str">
        <f>TEXT(Table1[[#This Row],[Visitor Date]],"mmm")</f>
        <v>Jan</v>
      </c>
    </row>
    <row r="147" spans="1:20" x14ac:dyDescent="0.25">
      <c r="A147" t="s">
        <v>30</v>
      </c>
      <c r="B147">
        <v>14</v>
      </c>
      <c r="C147" t="s">
        <v>35</v>
      </c>
      <c r="D147">
        <v>122</v>
      </c>
      <c r="E147" s="1">
        <v>44852</v>
      </c>
      <c r="F147">
        <v>6</v>
      </c>
      <c r="G147">
        <v>66</v>
      </c>
      <c r="H147">
        <v>25</v>
      </c>
      <c r="I147">
        <v>3.5</v>
      </c>
      <c r="J147">
        <v>54</v>
      </c>
      <c r="K147">
        <v>52</v>
      </c>
      <c r="L147">
        <v>12</v>
      </c>
      <c r="M147" t="s">
        <v>27</v>
      </c>
      <c r="N147">
        <v>19</v>
      </c>
      <c r="O147" t="s">
        <v>31</v>
      </c>
      <c r="P147">
        <v>13</v>
      </c>
      <c r="Q147" t="s">
        <v>25</v>
      </c>
      <c r="R147">
        <v>12</v>
      </c>
      <c r="S147">
        <f>YEAR(Table1[[#This Row],[Visitor Date]])</f>
        <v>2022</v>
      </c>
      <c r="T147" t="str">
        <f>TEXT(Table1[[#This Row],[Visitor Date]],"mmm")</f>
        <v>Oct</v>
      </c>
    </row>
    <row r="148" spans="1:20" x14ac:dyDescent="0.25">
      <c r="A148" t="s">
        <v>32</v>
      </c>
      <c r="B148">
        <v>33</v>
      </c>
      <c r="C148" t="s">
        <v>19</v>
      </c>
      <c r="D148">
        <v>34</v>
      </c>
      <c r="E148" s="1">
        <v>45184</v>
      </c>
      <c r="F148">
        <v>20</v>
      </c>
      <c r="G148">
        <v>63</v>
      </c>
      <c r="H148">
        <v>26</v>
      </c>
      <c r="I148">
        <v>4.3</v>
      </c>
      <c r="J148">
        <v>53</v>
      </c>
      <c r="K148">
        <v>96</v>
      </c>
      <c r="L148">
        <v>15</v>
      </c>
      <c r="M148" t="s">
        <v>24</v>
      </c>
      <c r="N148">
        <v>19</v>
      </c>
      <c r="O148" t="s">
        <v>33</v>
      </c>
      <c r="P148">
        <v>14</v>
      </c>
      <c r="Q148" t="s">
        <v>34</v>
      </c>
      <c r="R148">
        <v>11</v>
      </c>
      <c r="S148">
        <f>YEAR(Table1[[#This Row],[Visitor Date]])</f>
        <v>2023</v>
      </c>
      <c r="T148" t="str">
        <f>TEXT(Table1[[#This Row],[Visitor Date]],"mmm")</f>
        <v>Sep</v>
      </c>
    </row>
    <row r="149" spans="1:20" x14ac:dyDescent="0.25">
      <c r="A149" t="s">
        <v>32</v>
      </c>
      <c r="B149">
        <v>33</v>
      </c>
      <c r="C149" t="s">
        <v>23</v>
      </c>
      <c r="D149">
        <v>30</v>
      </c>
      <c r="E149" s="1">
        <v>45097</v>
      </c>
      <c r="F149">
        <v>15</v>
      </c>
      <c r="G149">
        <v>59</v>
      </c>
      <c r="H149">
        <v>27</v>
      </c>
      <c r="I149">
        <v>3.9</v>
      </c>
      <c r="J149">
        <v>51</v>
      </c>
      <c r="K149">
        <v>80</v>
      </c>
      <c r="L149">
        <v>14</v>
      </c>
      <c r="M149" t="s">
        <v>24</v>
      </c>
      <c r="N149">
        <v>18</v>
      </c>
      <c r="O149" t="s">
        <v>33</v>
      </c>
      <c r="P149">
        <v>13</v>
      </c>
      <c r="Q149" t="s">
        <v>34</v>
      </c>
      <c r="R149">
        <v>10</v>
      </c>
      <c r="S149">
        <f>YEAR(Table1[[#This Row],[Visitor Date]])</f>
        <v>2023</v>
      </c>
      <c r="T149" t="str">
        <f>TEXT(Table1[[#This Row],[Visitor Date]],"mmm")</f>
        <v>Jun</v>
      </c>
    </row>
    <row r="150" spans="1:20" x14ac:dyDescent="0.25">
      <c r="A150" t="s">
        <v>32</v>
      </c>
      <c r="B150">
        <v>33</v>
      </c>
      <c r="C150" t="s">
        <v>35</v>
      </c>
      <c r="D150">
        <v>4</v>
      </c>
      <c r="E150" s="1">
        <v>44894</v>
      </c>
      <c r="F150">
        <v>10</v>
      </c>
      <c r="G150">
        <v>58</v>
      </c>
      <c r="H150">
        <v>28</v>
      </c>
      <c r="I150">
        <v>3.6</v>
      </c>
      <c r="J150">
        <v>48</v>
      </c>
      <c r="K150">
        <v>51</v>
      </c>
      <c r="L150">
        <v>13</v>
      </c>
      <c r="M150" t="s">
        <v>24</v>
      </c>
      <c r="N150">
        <v>16</v>
      </c>
      <c r="O150" t="s">
        <v>33</v>
      </c>
      <c r="P150">
        <v>11</v>
      </c>
      <c r="Q150" t="s">
        <v>34</v>
      </c>
      <c r="R150">
        <v>8</v>
      </c>
      <c r="S150">
        <f>YEAR(Table1[[#This Row],[Visitor Date]])</f>
        <v>2022</v>
      </c>
      <c r="T150" t="str">
        <f>TEXT(Table1[[#This Row],[Visitor Date]],"mmm")</f>
        <v>Nov</v>
      </c>
    </row>
    <row r="151" spans="1:20" x14ac:dyDescent="0.25">
      <c r="A151" t="s">
        <v>18</v>
      </c>
      <c r="B151">
        <v>91</v>
      </c>
      <c r="C151" t="s">
        <v>19</v>
      </c>
      <c r="D151">
        <v>55</v>
      </c>
      <c r="E151" s="1">
        <v>45204</v>
      </c>
      <c r="F151">
        <v>52</v>
      </c>
      <c r="G151">
        <v>54</v>
      </c>
      <c r="H151">
        <v>77</v>
      </c>
      <c r="I151">
        <v>4.4000000000000004</v>
      </c>
      <c r="J151">
        <v>59</v>
      </c>
      <c r="K151">
        <v>73</v>
      </c>
      <c r="L151">
        <v>16</v>
      </c>
      <c r="M151" t="s">
        <v>20</v>
      </c>
      <c r="N151">
        <v>7</v>
      </c>
      <c r="O151" t="s">
        <v>21</v>
      </c>
      <c r="P151">
        <v>15</v>
      </c>
      <c r="Q151" t="s">
        <v>22</v>
      </c>
      <c r="R151">
        <v>22</v>
      </c>
      <c r="S151">
        <f>YEAR(Table1[[#This Row],[Visitor Date]])</f>
        <v>2023</v>
      </c>
      <c r="T151" t="str">
        <f>TEXT(Table1[[#This Row],[Visitor Date]],"mmm")</f>
        <v>Oct</v>
      </c>
    </row>
    <row r="152" spans="1:20" x14ac:dyDescent="0.25">
      <c r="A152" t="s">
        <v>18</v>
      </c>
      <c r="B152">
        <v>91</v>
      </c>
      <c r="C152" t="s">
        <v>23</v>
      </c>
      <c r="D152">
        <v>84</v>
      </c>
      <c r="E152" s="1">
        <v>44862</v>
      </c>
      <c r="F152">
        <v>27</v>
      </c>
      <c r="G152">
        <v>56</v>
      </c>
      <c r="H152">
        <v>70</v>
      </c>
      <c r="I152">
        <v>3.8</v>
      </c>
      <c r="J152">
        <v>58</v>
      </c>
      <c r="K152">
        <v>58</v>
      </c>
      <c r="L152">
        <v>14</v>
      </c>
      <c r="M152" t="s">
        <v>20</v>
      </c>
      <c r="N152">
        <v>6</v>
      </c>
      <c r="O152" t="s">
        <v>21</v>
      </c>
      <c r="P152">
        <v>14</v>
      </c>
      <c r="Q152" t="s">
        <v>22</v>
      </c>
      <c r="R152">
        <v>21</v>
      </c>
      <c r="S152">
        <f>YEAR(Table1[[#This Row],[Visitor Date]])</f>
        <v>2022</v>
      </c>
      <c r="T152" t="str">
        <f>TEXT(Table1[[#This Row],[Visitor Date]],"mmm")</f>
        <v>Oct</v>
      </c>
    </row>
    <row r="153" spans="1:20" x14ac:dyDescent="0.25">
      <c r="A153" t="s">
        <v>18</v>
      </c>
      <c r="B153">
        <v>91</v>
      </c>
      <c r="C153" t="s">
        <v>35</v>
      </c>
      <c r="D153">
        <v>88</v>
      </c>
      <c r="E153" s="1">
        <v>45140</v>
      </c>
      <c r="F153">
        <v>12</v>
      </c>
      <c r="G153">
        <v>58</v>
      </c>
      <c r="H153">
        <v>65</v>
      </c>
      <c r="I153">
        <v>3.4</v>
      </c>
      <c r="J153">
        <v>5</v>
      </c>
      <c r="K153">
        <v>45</v>
      </c>
      <c r="L153">
        <v>13</v>
      </c>
      <c r="M153" t="s">
        <v>20</v>
      </c>
      <c r="N153">
        <v>5.5</v>
      </c>
      <c r="O153" t="s">
        <v>21</v>
      </c>
      <c r="P153">
        <v>12</v>
      </c>
      <c r="Q153" t="s">
        <v>22</v>
      </c>
      <c r="R153">
        <v>19</v>
      </c>
      <c r="S153">
        <f>YEAR(Table1[[#This Row],[Visitor Date]])</f>
        <v>2023</v>
      </c>
      <c r="T153" t="str">
        <f>TEXT(Table1[[#This Row],[Visitor Date]],"mmm")</f>
        <v>Aug</v>
      </c>
    </row>
    <row r="154" spans="1:20" x14ac:dyDescent="0.25">
      <c r="A154" t="s">
        <v>24</v>
      </c>
      <c r="B154">
        <v>44</v>
      </c>
      <c r="C154" t="s">
        <v>19</v>
      </c>
      <c r="D154">
        <v>43</v>
      </c>
      <c r="E154" s="1">
        <v>44813</v>
      </c>
      <c r="F154">
        <v>45</v>
      </c>
      <c r="G154">
        <v>89</v>
      </c>
      <c r="H154">
        <v>45</v>
      </c>
      <c r="I154">
        <v>3.2</v>
      </c>
      <c r="J154">
        <v>45</v>
      </c>
      <c r="K154">
        <v>31</v>
      </c>
      <c r="L154">
        <v>17</v>
      </c>
      <c r="M154" t="s">
        <v>24</v>
      </c>
      <c r="N154">
        <v>26</v>
      </c>
      <c r="O154" t="s">
        <v>21</v>
      </c>
      <c r="P154">
        <v>7</v>
      </c>
      <c r="Q154" t="s">
        <v>25</v>
      </c>
      <c r="R154">
        <v>7</v>
      </c>
      <c r="S154">
        <f>YEAR(Table1[[#This Row],[Visitor Date]])</f>
        <v>2022</v>
      </c>
      <c r="T154" t="str">
        <f>TEXT(Table1[[#This Row],[Visitor Date]],"mmm")</f>
        <v>Sep</v>
      </c>
    </row>
    <row r="155" spans="1:20" x14ac:dyDescent="0.25">
      <c r="A155" t="s">
        <v>24</v>
      </c>
      <c r="B155">
        <v>44</v>
      </c>
      <c r="C155" t="s">
        <v>23</v>
      </c>
      <c r="D155">
        <v>137</v>
      </c>
      <c r="E155" s="1">
        <v>44667</v>
      </c>
      <c r="F155">
        <v>38</v>
      </c>
      <c r="G155">
        <v>85</v>
      </c>
      <c r="H155">
        <v>40</v>
      </c>
      <c r="I155">
        <v>2.9</v>
      </c>
      <c r="J155">
        <v>44</v>
      </c>
      <c r="K155">
        <v>27</v>
      </c>
      <c r="L155">
        <v>16</v>
      </c>
      <c r="M155" t="s">
        <v>24</v>
      </c>
      <c r="N155">
        <v>25</v>
      </c>
      <c r="O155" t="s">
        <v>21</v>
      </c>
      <c r="P155">
        <v>6.5</v>
      </c>
      <c r="Q155" t="s">
        <v>25</v>
      </c>
      <c r="R155">
        <v>6.5</v>
      </c>
      <c r="S155">
        <f>YEAR(Table1[[#This Row],[Visitor Date]])</f>
        <v>2022</v>
      </c>
      <c r="T155" t="str">
        <f>TEXT(Table1[[#This Row],[Visitor Date]],"mmm")</f>
        <v>Apr</v>
      </c>
    </row>
    <row r="156" spans="1:20" x14ac:dyDescent="0.25">
      <c r="A156" t="s">
        <v>24</v>
      </c>
      <c r="B156">
        <v>44</v>
      </c>
      <c r="C156" t="s">
        <v>35</v>
      </c>
      <c r="D156">
        <v>20</v>
      </c>
      <c r="E156" s="1">
        <v>45264</v>
      </c>
      <c r="F156">
        <v>25</v>
      </c>
      <c r="G156">
        <v>83</v>
      </c>
      <c r="H156">
        <v>35</v>
      </c>
      <c r="I156">
        <v>3</v>
      </c>
      <c r="J156">
        <v>43</v>
      </c>
      <c r="K156">
        <v>78</v>
      </c>
      <c r="L156">
        <v>15</v>
      </c>
      <c r="M156" t="s">
        <v>24</v>
      </c>
      <c r="N156">
        <v>23</v>
      </c>
      <c r="O156" t="s">
        <v>21</v>
      </c>
      <c r="P156">
        <v>7</v>
      </c>
      <c r="Q156" t="s">
        <v>25</v>
      </c>
      <c r="R156">
        <v>5</v>
      </c>
      <c r="S156">
        <f>YEAR(Table1[[#This Row],[Visitor Date]])</f>
        <v>2023</v>
      </c>
      <c r="T156" t="str">
        <f>TEXT(Table1[[#This Row],[Visitor Date]],"mmm")</f>
        <v>Dec</v>
      </c>
    </row>
    <row r="157" spans="1:20" x14ac:dyDescent="0.25">
      <c r="A157" t="s">
        <v>26</v>
      </c>
      <c r="B157">
        <v>26</v>
      </c>
      <c r="C157" t="s">
        <v>19</v>
      </c>
      <c r="D157">
        <v>35</v>
      </c>
      <c r="E157" s="1">
        <v>44953</v>
      </c>
      <c r="F157">
        <v>10</v>
      </c>
      <c r="G157">
        <v>5.5</v>
      </c>
      <c r="H157">
        <v>76</v>
      </c>
      <c r="I157">
        <v>3.5</v>
      </c>
      <c r="J157">
        <v>48</v>
      </c>
      <c r="K157">
        <v>33</v>
      </c>
      <c r="L157">
        <v>6.5</v>
      </c>
      <c r="M157" t="s">
        <v>27</v>
      </c>
      <c r="N157">
        <v>22</v>
      </c>
      <c r="O157" t="s">
        <v>21</v>
      </c>
      <c r="P157">
        <v>15</v>
      </c>
      <c r="Q157" t="s">
        <v>22</v>
      </c>
      <c r="R157">
        <v>12</v>
      </c>
      <c r="S157">
        <f>YEAR(Table1[[#This Row],[Visitor Date]])</f>
        <v>2023</v>
      </c>
      <c r="T157" t="str">
        <f>TEXT(Table1[[#This Row],[Visitor Date]],"mmm")</f>
        <v>Jan</v>
      </c>
    </row>
    <row r="158" spans="1:20" x14ac:dyDescent="0.25">
      <c r="A158" t="s">
        <v>26</v>
      </c>
      <c r="B158">
        <v>26</v>
      </c>
      <c r="C158" t="s">
        <v>23</v>
      </c>
      <c r="D158">
        <v>29</v>
      </c>
      <c r="E158" s="1">
        <v>45116</v>
      </c>
      <c r="F158">
        <v>12</v>
      </c>
      <c r="G158">
        <v>6</v>
      </c>
      <c r="H158">
        <v>75</v>
      </c>
      <c r="I158">
        <v>3.1</v>
      </c>
      <c r="J158">
        <v>45</v>
      </c>
      <c r="K158">
        <v>28</v>
      </c>
      <c r="L158">
        <v>5</v>
      </c>
      <c r="M158" t="s">
        <v>27</v>
      </c>
      <c r="N158">
        <v>21</v>
      </c>
      <c r="O158" t="s">
        <v>21</v>
      </c>
      <c r="P158">
        <v>14</v>
      </c>
      <c r="Q158" t="s">
        <v>22</v>
      </c>
      <c r="R158">
        <v>11</v>
      </c>
      <c r="S158">
        <f>YEAR(Table1[[#This Row],[Visitor Date]])</f>
        <v>2023</v>
      </c>
      <c r="T158" t="str">
        <f>TEXT(Table1[[#This Row],[Visitor Date]],"mmm")</f>
        <v>Jul</v>
      </c>
    </row>
    <row r="159" spans="1:20" x14ac:dyDescent="0.25">
      <c r="A159" t="s">
        <v>26</v>
      </c>
      <c r="B159">
        <v>26</v>
      </c>
      <c r="C159" t="s">
        <v>35</v>
      </c>
      <c r="D159">
        <v>114</v>
      </c>
      <c r="E159" s="1">
        <v>44588</v>
      </c>
      <c r="F159">
        <v>8</v>
      </c>
      <c r="G159">
        <v>6.5</v>
      </c>
      <c r="H159">
        <v>70</v>
      </c>
      <c r="I159">
        <v>3</v>
      </c>
      <c r="J159">
        <v>42</v>
      </c>
      <c r="K159">
        <v>69</v>
      </c>
      <c r="L159">
        <v>4.5</v>
      </c>
      <c r="M159" t="s">
        <v>27</v>
      </c>
      <c r="N159">
        <v>20</v>
      </c>
      <c r="O159" t="s">
        <v>21</v>
      </c>
      <c r="P159">
        <v>12</v>
      </c>
      <c r="Q159" t="s">
        <v>22</v>
      </c>
      <c r="R159">
        <v>10</v>
      </c>
      <c r="S159">
        <f>YEAR(Table1[[#This Row],[Visitor Date]])</f>
        <v>2022</v>
      </c>
      <c r="T159" t="str">
        <f>TEXT(Table1[[#This Row],[Visitor Date]],"mmm")</f>
        <v>Jan</v>
      </c>
    </row>
    <row r="160" spans="1:20" x14ac:dyDescent="0.25">
      <c r="A160" t="s">
        <v>18</v>
      </c>
      <c r="B160">
        <v>91</v>
      </c>
      <c r="C160" t="s">
        <v>19</v>
      </c>
      <c r="D160">
        <v>60</v>
      </c>
      <c r="E160" s="1">
        <v>45251</v>
      </c>
      <c r="F160">
        <v>47</v>
      </c>
      <c r="G160">
        <v>54.88</v>
      </c>
      <c r="H160">
        <v>77</v>
      </c>
      <c r="I160">
        <v>4.4000000000000004</v>
      </c>
      <c r="J160">
        <v>61.5</v>
      </c>
      <c r="K160">
        <v>76</v>
      </c>
      <c r="L160">
        <v>17.100000000000001</v>
      </c>
      <c r="M160" t="s">
        <v>20</v>
      </c>
      <c r="N160">
        <v>6.2</v>
      </c>
      <c r="O160" t="s">
        <v>21</v>
      </c>
      <c r="P160">
        <v>17.399999999999999</v>
      </c>
      <c r="Q160" t="s">
        <v>22</v>
      </c>
      <c r="R160">
        <v>22.2</v>
      </c>
      <c r="S160">
        <f>YEAR(Table1[[#This Row],[Visitor Date]])</f>
        <v>2023</v>
      </c>
      <c r="T160" t="str">
        <f>TEXT(Table1[[#This Row],[Visitor Date]],"mmm")</f>
        <v>Nov</v>
      </c>
    </row>
    <row r="161" spans="1:20" x14ac:dyDescent="0.25">
      <c r="A161" t="s">
        <v>24</v>
      </c>
      <c r="B161">
        <v>44</v>
      </c>
      <c r="C161" t="s">
        <v>23</v>
      </c>
      <c r="D161">
        <v>66</v>
      </c>
      <c r="E161" s="1">
        <v>44887</v>
      </c>
      <c r="F161">
        <v>44</v>
      </c>
      <c r="G161">
        <v>91.47</v>
      </c>
      <c r="H161">
        <v>49</v>
      </c>
      <c r="I161">
        <v>2.7</v>
      </c>
      <c r="J161">
        <v>47.8</v>
      </c>
      <c r="K161">
        <v>37</v>
      </c>
      <c r="L161">
        <v>18</v>
      </c>
      <c r="M161" t="s">
        <v>24</v>
      </c>
      <c r="N161">
        <v>27.5</v>
      </c>
      <c r="O161" t="s">
        <v>21</v>
      </c>
      <c r="P161">
        <v>8.1</v>
      </c>
      <c r="Q161" t="s">
        <v>25</v>
      </c>
      <c r="R161">
        <v>6.9</v>
      </c>
      <c r="S161">
        <f>YEAR(Table1[[#This Row],[Visitor Date]])</f>
        <v>2022</v>
      </c>
      <c r="T161" t="str">
        <f>TEXT(Table1[[#This Row],[Visitor Date]],"mmm")</f>
        <v>Nov</v>
      </c>
    </row>
    <row r="162" spans="1:20" x14ac:dyDescent="0.25">
      <c r="A162" t="s">
        <v>26</v>
      </c>
      <c r="B162">
        <v>26</v>
      </c>
      <c r="C162" t="s">
        <v>19</v>
      </c>
      <c r="D162">
        <v>53</v>
      </c>
      <c r="E162" s="1">
        <v>45070</v>
      </c>
      <c r="F162">
        <v>8</v>
      </c>
      <c r="G162">
        <v>6.04</v>
      </c>
      <c r="H162">
        <v>78</v>
      </c>
      <c r="I162">
        <v>3.2</v>
      </c>
      <c r="J162">
        <v>48.7</v>
      </c>
      <c r="K162">
        <v>39</v>
      </c>
      <c r="L162">
        <v>5.8</v>
      </c>
      <c r="M162" t="s">
        <v>27</v>
      </c>
      <c r="N162">
        <v>23.6</v>
      </c>
      <c r="O162" t="s">
        <v>21</v>
      </c>
      <c r="P162">
        <v>18.399999999999999</v>
      </c>
      <c r="Q162" t="s">
        <v>22</v>
      </c>
      <c r="R162">
        <v>11.6</v>
      </c>
      <c r="S162">
        <f>YEAR(Table1[[#This Row],[Visitor Date]])</f>
        <v>2023</v>
      </c>
      <c r="T162" t="str">
        <f>TEXT(Table1[[#This Row],[Visitor Date]],"mmm")</f>
        <v>May</v>
      </c>
    </row>
    <row r="163" spans="1:20" x14ac:dyDescent="0.25">
      <c r="A163" t="s">
        <v>28</v>
      </c>
      <c r="B163">
        <v>68</v>
      </c>
      <c r="C163" t="s">
        <v>23</v>
      </c>
      <c r="D163">
        <v>64</v>
      </c>
      <c r="E163" s="1">
        <v>45192</v>
      </c>
      <c r="F163">
        <v>11</v>
      </c>
      <c r="G163">
        <v>90</v>
      </c>
      <c r="H163">
        <v>54</v>
      </c>
      <c r="I163">
        <v>3.3</v>
      </c>
      <c r="J163">
        <v>7.8</v>
      </c>
      <c r="K163">
        <v>38</v>
      </c>
      <c r="L163">
        <v>11</v>
      </c>
      <c r="M163" t="s">
        <v>20</v>
      </c>
      <c r="N163">
        <v>5.3</v>
      </c>
      <c r="O163" t="s">
        <v>29</v>
      </c>
      <c r="P163">
        <v>20.5</v>
      </c>
      <c r="Q163" t="s">
        <v>25</v>
      </c>
      <c r="R163">
        <v>19.5</v>
      </c>
      <c r="S163">
        <f>YEAR(Table1[[#This Row],[Visitor Date]])</f>
        <v>2023</v>
      </c>
      <c r="T163" t="str">
        <f>TEXT(Table1[[#This Row],[Visitor Date]],"mmm")</f>
        <v>Sep</v>
      </c>
    </row>
    <row r="164" spans="1:20" x14ac:dyDescent="0.25">
      <c r="A164" t="s">
        <v>30</v>
      </c>
      <c r="B164">
        <v>14</v>
      </c>
      <c r="C164" t="s">
        <v>23</v>
      </c>
      <c r="D164">
        <v>2</v>
      </c>
      <c r="E164" s="1">
        <v>45076</v>
      </c>
      <c r="F164">
        <v>14</v>
      </c>
      <c r="G164">
        <v>70.63</v>
      </c>
      <c r="H164">
        <v>41</v>
      </c>
      <c r="I164">
        <v>3.9</v>
      </c>
      <c r="J164">
        <v>59.4</v>
      </c>
      <c r="K164">
        <v>25</v>
      </c>
      <c r="L164">
        <v>15.6</v>
      </c>
      <c r="M164" t="s">
        <v>27</v>
      </c>
      <c r="N164">
        <v>23.7</v>
      </c>
      <c r="O164" t="s">
        <v>31</v>
      </c>
      <c r="P164">
        <v>15.6</v>
      </c>
      <c r="Q164" t="s">
        <v>25</v>
      </c>
      <c r="R164">
        <v>15.1</v>
      </c>
      <c r="S164">
        <f>YEAR(Table1[[#This Row],[Visitor Date]])</f>
        <v>2023</v>
      </c>
      <c r="T164" t="str">
        <f>TEXT(Table1[[#This Row],[Visitor Date]],"mmm")</f>
        <v>May</v>
      </c>
    </row>
    <row r="165" spans="1:20" x14ac:dyDescent="0.25">
      <c r="A165" t="s">
        <v>18</v>
      </c>
      <c r="B165">
        <v>91</v>
      </c>
      <c r="C165" t="s">
        <v>19</v>
      </c>
      <c r="D165">
        <v>157</v>
      </c>
      <c r="E165" s="1">
        <v>44624</v>
      </c>
      <c r="F165">
        <v>52</v>
      </c>
      <c r="G165">
        <v>54</v>
      </c>
      <c r="H165">
        <v>77</v>
      </c>
      <c r="I165">
        <v>4.5999999999999996</v>
      </c>
      <c r="J165">
        <v>58</v>
      </c>
      <c r="K165">
        <v>73</v>
      </c>
      <c r="L165">
        <v>17</v>
      </c>
      <c r="M165" t="s">
        <v>20</v>
      </c>
      <c r="N165">
        <v>8</v>
      </c>
      <c r="O165" t="s">
        <v>21</v>
      </c>
      <c r="P165">
        <v>16</v>
      </c>
      <c r="Q165" t="s">
        <v>22</v>
      </c>
      <c r="R165">
        <v>23</v>
      </c>
      <c r="S165">
        <f>YEAR(Table1[[#This Row],[Visitor Date]])</f>
        <v>2022</v>
      </c>
      <c r="T165" t="str">
        <f>TEXT(Table1[[#This Row],[Visitor Date]],"mmm")</f>
        <v>Mar</v>
      </c>
    </row>
    <row r="166" spans="1:20" x14ac:dyDescent="0.25">
      <c r="A166" t="s">
        <v>24</v>
      </c>
      <c r="B166">
        <v>44</v>
      </c>
      <c r="C166" t="s">
        <v>19</v>
      </c>
      <c r="D166">
        <v>129</v>
      </c>
      <c r="E166" s="1">
        <v>44626</v>
      </c>
      <c r="F166">
        <v>45</v>
      </c>
      <c r="G166">
        <v>89</v>
      </c>
      <c r="H166">
        <v>47</v>
      </c>
      <c r="I166">
        <v>3.3</v>
      </c>
      <c r="J166">
        <v>45</v>
      </c>
      <c r="K166">
        <v>32</v>
      </c>
      <c r="L166">
        <v>18</v>
      </c>
      <c r="M166" t="s">
        <v>24</v>
      </c>
      <c r="N166">
        <v>27.5</v>
      </c>
      <c r="O166" t="s">
        <v>21</v>
      </c>
      <c r="P166">
        <v>9.5</v>
      </c>
      <c r="Q166" t="s">
        <v>25</v>
      </c>
      <c r="R166">
        <v>8.5</v>
      </c>
      <c r="S166">
        <f>YEAR(Table1[[#This Row],[Visitor Date]])</f>
        <v>2022</v>
      </c>
      <c r="T166" t="str">
        <f>TEXT(Table1[[#This Row],[Visitor Date]],"mmm")</f>
        <v>Mar</v>
      </c>
    </row>
    <row r="167" spans="1:20" x14ac:dyDescent="0.25">
      <c r="A167" t="s">
        <v>26</v>
      </c>
      <c r="B167">
        <v>26</v>
      </c>
      <c r="C167" t="s">
        <v>23</v>
      </c>
      <c r="D167">
        <v>269</v>
      </c>
      <c r="E167" s="1">
        <v>45173</v>
      </c>
      <c r="F167">
        <v>10</v>
      </c>
      <c r="G167">
        <v>5.5</v>
      </c>
      <c r="H167">
        <v>76</v>
      </c>
      <c r="I167">
        <v>3.5</v>
      </c>
      <c r="J167">
        <v>48</v>
      </c>
      <c r="K167">
        <v>33</v>
      </c>
      <c r="L167">
        <v>6.5</v>
      </c>
      <c r="M167" t="s">
        <v>27</v>
      </c>
      <c r="N167">
        <v>22</v>
      </c>
      <c r="O167" t="s">
        <v>21</v>
      </c>
      <c r="P167">
        <v>15</v>
      </c>
      <c r="Q167" t="s">
        <v>22</v>
      </c>
      <c r="R167">
        <v>12</v>
      </c>
      <c r="S167">
        <f>YEAR(Table1[[#This Row],[Visitor Date]])</f>
        <v>2023</v>
      </c>
      <c r="T167" t="str">
        <f>TEXT(Table1[[#This Row],[Visitor Date]],"mmm")</f>
        <v>Sep</v>
      </c>
    </row>
    <row r="168" spans="1:20" x14ac:dyDescent="0.25">
      <c r="A168" t="s">
        <v>32</v>
      </c>
      <c r="B168">
        <v>33</v>
      </c>
      <c r="C168" t="s">
        <v>19</v>
      </c>
      <c r="D168">
        <v>34</v>
      </c>
      <c r="E168" s="1">
        <v>45245</v>
      </c>
      <c r="F168">
        <v>20</v>
      </c>
      <c r="G168">
        <v>63</v>
      </c>
      <c r="H168">
        <v>77</v>
      </c>
      <c r="I168">
        <v>4.3</v>
      </c>
      <c r="J168">
        <v>53</v>
      </c>
      <c r="K168">
        <v>96</v>
      </c>
      <c r="L168">
        <v>15</v>
      </c>
      <c r="M168" t="s">
        <v>24</v>
      </c>
      <c r="N168">
        <v>19</v>
      </c>
      <c r="O168" t="s">
        <v>33</v>
      </c>
      <c r="P168">
        <v>14</v>
      </c>
      <c r="Q168" t="s">
        <v>34</v>
      </c>
      <c r="R168">
        <v>11</v>
      </c>
      <c r="S168">
        <f>YEAR(Table1[[#This Row],[Visitor Date]])</f>
        <v>2023</v>
      </c>
      <c r="T168" t="str">
        <f>TEXT(Table1[[#This Row],[Visitor Date]],"mmm")</f>
        <v>Nov</v>
      </c>
    </row>
    <row r="169" spans="1:20" x14ac:dyDescent="0.25">
      <c r="A169" t="s">
        <v>32</v>
      </c>
      <c r="B169">
        <v>33</v>
      </c>
      <c r="C169" t="s">
        <v>23</v>
      </c>
      <c r="D169">
        <v>30</v>
      </c>
      <c r="E169" s="1">
        <v>44928</v>
      </c>
      <c r="F169">
        <v>15</v>
      </c>
      <c r="G169">
        <v>59</v>
      </c>
      <c r="H169">
        <v>78</v>
      </c>
      <c r="I169">
        <v>3.9</v>
      </c>
      <c r="J169">
        <v>51</v>
      </c>
      <c r="K169">
        <v>80</v>
      </c>
      <c r="L169">
        <v>14</v>
      </c>
      <c r="M169" t="s">
        <v>24</v>
      </c>
      <c r="N169">
        <v>18</v>
      </c>
      <c r="O169" t="s">
        <v>33</v>
      </c>
      <c r="P169">
        <v>13</v>
      </c>
      <c r="Q169" t="s">
        <v>34</v>
      </c>
      <c r="R169">
        <v>10</v>
      </c>
      <c r="S169">
        <f>YEAR(Table1[[#This Row],[Visitor Date]])</f>
        <v>2023</v>
      </c>
      <c r="T169" t="str">
        <f>TEXT(Table1[[#This Row],[Visitor Date]],"mmm")</f>
        <v>Jan</v>
      </c>
    </row>
    <row r="170" spans="1:20" x14ac:dyDescent="0.25">
      <c r="A170" t="s">
        <v>32</v>
      </c>
      <c r="B170">
        <v>33</v>
      </c>
      <c r="C170" t="s">
        <v>35</v>
      </c>
      <c r="D170">
        <v>4</v>
      </c>
      <c r="E170" s="1">
        <v>44788</v>
      </c>
      <c r="F170">
        <v>10</v>
      </c>
      <c r="G170">
        <v>58</v>
      </c>
      <c r="H170">
        <v>79</v>
      </c>
      <c r="I170">
        <v>3.6</v>
      </c>
      <c r="J170">
        <v>48</v>
      </c>
      <c r="K170">
        <v>51</v>
      </c>
      <c r="L170">
        <v>13</v>
      </c>
      <c r="M170" t="s">
        <v>24</v>
      </c>
      <c r="N170">
        <v>16</v>
      </c>
      <c r="O170" t="s">
        <v>33</v>
      </c>
      <c r="P170">
        <v>11</v>
      </c>
      <c r="Q170" t="s">
        <v>34</v>
      </c>
      <c r="R170">
        <v>8</v>
      </c>
      <c r="S170">
        <f>YEAR(Table1[[#This Row],[Visitor Date]])</f>
        <v>2022</v>
      </c>
      <c r="T170" t="str">
        <f>TEXT(Table1[[#This Row],[Visitor Date]],"mmm")</f>
        <v>Aug</v>
      </c>
    </row>
    <row r="171" spans="1:20" x14ac:dyDescent="0.25">
      <c r="A171" t="s">
        <v>30</v>
      </c>
      <c r="B171">
        <v>14</v>
      </c>
      <c r="C171" t="s">
        <v>19</v>
      </c>
      <c r="D171">
        <v>19</v>
      </c>
      <c r="E171" s="1">
        <v>44586</v>
      </c>
      <c r="F171">
        <v>17</v>
      </c>
      <c r="G171">
        <v>72</v>
      </c>
      <c r="H171">
        <v>42</v>
      </c>
      <c r="I171">
        <v>4</v>
      </c>
      <c r="J171">
        <v>60</v>
      </c>
      <c r="K171">
        <v>98</v>
      </c>
      <c r="L171">
        <v>14.5</v>
      </c>
      <c r="M171" t="s">
        <v>27</v>
      </c>
      <c r="N171">
        <v>21</v>
      </c>
      <c r="O171" t="s">
        <v>31</v>
      </c>
      <c r="P171">
        <v>16</v>
      </c>
      <c r="Q171" t="s">
        <v>25</v>
      </c>
      <c r="R171">
        <v>15.5</v>
      </c>
      <c r="S171">
        <f>YEAR(Table1[[#This Row],[Visitor Date]])</f>
        <v>2022</v>
      </c>
      <c r="T171" t="str">
        <f>TEXT(Table1[[#This Row],[Visitor Date]],"mmm")</f>
        <v>Jan</v>
      </c>
    </row>
    <row r="172" spans="1:20" x14ac:dyDescent="0.25">
      <c r="A172" t="s">
        <v>30</v>
      </c>
      <c r="B172">
        <v>14</v>
      </c>
      <c r="C172" t="s">
        <v>23</v>
      </c>
      <c r="D172">
        <v>116</v>
      </c>
      <c r="E172" s="1">
        <v>44991</v>
      </c>
      <c r="F172">
        <v>10</v>
      </c>
      <c r="G172">
        <v>67</v>
      </c>
      <c r="H172">
        <v>27</v>
      </c>
      <c r="I172">
        <v>3.5</v>
      </c>
      <c r="J172">
        <v>56</v>
      </c>
      <c r="K172">
        <v>62</v>
      </c>
      <c r="L172">
        <v>12.5</v>
      </c>
      <c r="M172" t="s">
        <v>27</v>
      </c>
      <c r="N172">
        <v>20.5</v>
      </c>
      <c r="O172" t="s">
        <v>31</v>
      </c>
      <c r="P172">
        <v>14</v>
      </c>
      <c r="Q172" t="s">
        <v>25</v>
      </c>
      <c r="R172">
        <v>13</v>
      </c>
      <c r="S172">
        <f>YEAR(Table1[[#This Row],[Visitor Date]])</f>
        <v>2023</v>
      </c>
      <c r="T172" t="str">
        <f>TEXT(Table1[[#This Row],[Visitor Date]],"mmm")</f>
        <v>Mar</v>
      </c>
    </row>
    <row r="173" spans="1:20" x14ac:dyDescent="0.25">
      <c r="A173" t="s">
        <v>30</v>
      </c>
      <c r="B173">
        <v>14</v>
      </c>
      <c r="C173" t="s">
        <v>35</v>
      </c>
      <c r="D173">
        <v>4</v>
      </c>
      <c r="E173" s="1">
        <v>44908</v>
      </c>
      <c r="F173">
        <v>9</v>
      </c>
      <c r="G173">
        <v>66</v>
      </c>
      <c r="H173">
        <v>25</v>
      </c>
      <c r="I173">
        <v>3.4</v>
      </c>
      <c r="J173">
        <v>54</v>
      </c>
      <c r="K173">
        <v>52</v>
      </c>
      <c r="L173">
        <v>12</v>
      </c>
      <c r="M173" t="s">
        <v>27</v>
      </c>
      <c r="N173">
        <v>19</v>
      </c>
      <c r="O173" t="s">
        <v>31</v>
      </c>
      <c r="P173">
        <v>13</v>
      </c>
      <c r="Q173" t="s">
        <v>25</v>
      </c>
      <c r="R173">
        <v>12</v>
      </c>
      <c r="S173">
        <f>YEAR(Table1[[#This Row],[Visitor Date]])</f>
        <v>2022</v>
      </c>
      <c r="T173" t="str">
        <f>TEXT(Table1[[#This Row],[Visitor Date]],"mmm")</f>
        <v>Dec</v>
      </c>
    </row>
    <row r="174" spans="1:20" x14ac:dyDescent="0.25">
      <c r="A174" t="s">
        <v>28</v>
      </c>
      <c r="B174">
        <v>68</v>
      </c>
      <c r="C174" t="s">
        <v>19</v>
      </c>
      <c r="D174">
        <v>62</v>
      </c>
      <c r="E174" s="1">
        <v>44729</v>
      </c>
      <c r="F174">
        <v>15</v>
      </c>
      <c r="G174">
        <v>91.5</v>
      </c>
      <c r="H174">
        <v>57</v>
      </c>
      <c r="I174">
        <v>3.7</v>
      </c>
      <c r="J174">
        <v>6</v>
      </c>
      <c r="K174">
        <v>38</v>
      </c>
      <c r="L174">
        <v>12</v>
      </c>
      <c r="M174" t="s">
        <v>20</v>
      </c>
      <c r="N174">
        <v>5.5</v>
      </c>
      <c r="O174" t="s">
        <v>29</v>
      </c>
      <c r="P174">
        <v>20</v>
      </c>
      <c r="Q174" t="s">
        <v>25</v>
      </c>
      <c r="R174">
        <v>18.5</v>
      </c>
      <c r="S174">
        <f>YEAR(Table1[[#This Row],[Visitor Date]])</f>
        <v>2022</v>
      </c>
      <c r="T174" t="str">
        <f>TEXT(Table1[[#This Row],[Visitor Date]],"mmm")</f>
        <v>Jun</v>
      </c>
    </row>
    <row r="175" spans="1:20" x14ac:dyDescent="0.25">
      <c r="A175" t="s">
        <v>28</v>
      </c>
      <c r="B175">
        <v>68</v>
      </c>
      <c r="C175" t="s">
        <v>23</v>
      </c>
      <c r="D175">
        <v>28</v>
      </c>
      <c r="E175" s="1">
        <v>45150</v>
      </c>
      <c r="F175">
        <v>12</v>
      </c>
      <c r="G175">
        <v>89</v>
      </c>
      <c r="H175">
        <v>53</v>
      </c>
      <c r="I175">
        <v>3.1</v>
      </c>
      <c r="K175">
        <v>99</v>
      </c>
      <c r="L175">
        <v>11.5</v>
      </c>
      <c r="M175" t="s">
        <v>20</v>
      </c>
      <c r="N175">
        <v>4.5</v>
      </c>
      <c r="O175" t="s">
        <v>29</v>
      </c>
      <c r="P175">
        <v>18</v>
      </c>
      <c r="Q175" t="s">
        <v>25</v>
      </c>
      <c r="R175">
        <v>17</v>
      </c>
      <c r="S175">
        <f>YEAR(Table1[[#This Row],[Visitor Date]])</f>
        <v>2023</v>
      </c>
      <c r="T175" t="str">
        <f>TEXT(Table1[[#This Row],[Visitor Date]],"mmm")</f>
        <v>Aug</v>
      </c>
    </row>
    <row r="176" spans="1:20" x14ac:dyDescent="0.25">
      <c r="A176" t="s">
        <v>28</v>
      </c>
      <c r="B176">
        <v>68</v>
      </c>
      <c r="C176" t="s">
        <v>35</v>
      </c>
      <c r="D176">
        <v>115</v>
      </c>
      <c r="E176" s="1">
        <v>45043</v>
      </c>
      <c r="F176">
        <v>10</v>
      </c>
      <c r="G176">
        <v>88</v>
      </c>
      <c r="H176">
        <v>45</v>
      </c>
      <c r="I176">
        <v>2.9</v>
      </c>
      <c r="J176">
        <v>64</v>
      </c>
      <c r="K176">
        <v>55</v>
      </c>
      <c r="L176">
        <v>10</v>
      </c>
      <c r="M176" t="s">
        <v>20</v>
      </c>
      <c r="N176">
        <v>4</v>
      </c>
      <c r="O176" t="s">
        <v>29</v>
      </c>
      <c r="P176">
        <v>16.5</v>
      </c>
      <c r="Q176" t="s">
        <v>25</v>
      </c>
      <c r="R176">
        <v>15</v>
      </c>
      <c r="S176">
        <f>YEAR(Table1[[#This Row],[Visitor Date]])</f>
        <v>2023</v>
      </c>
      <c r="T176" t="str">
        <f>TEXT(Table1[[#This Row],[Visitor Date]],"mmm")</f>
        <v>Apr</v>
      </c>
    </row>
    <row r="177" spans="1:20" x14ac:dyDescent="0.25">
      <c r="A177" t="s">
        <v>18</v>
      </c>
      <c r="B177">
        <v>91</v>
      </c>
      <c r="C177" t="s">
        <v>19</v>
      </c>
      <c r="D177">
        <v>34</v>
      </c>
      <c r="E177" s="1">
        <v>45090</v>
      </c>
      <c r="F177">
        <v>9</v>
      </c>
      <c r="G177">
        <v>5.5</v>
      </c>
      <c r="H177">
        <v>76</v>
      </c>
      <c r="I177">
        <v>3.5</v>
      </c>
      <c r="J177">
        <v>48</v>
      </c>
      <c r="K177">
        <v>33</v>
      </c>
      <c r="L177">
        <v>6.5</v>
      </c>
      <c r="M177" t="s">
        <v>27</v>
      </c>
      <c r="N177">
        <v>22</v>
      </c>
      <c r="O177" t="s">
        <v>21</v>
      </c>
      <c r="P177">
        <v>15</v>
      </c>
      <c r="Q177" t="s">
        <v>22</v>
      </c>
      <c r="R177">
        <v>12</v>
      </c>
      <c r="S177">
        <f>YEAR(Table1[[#This Row],[Visitor Date]])</f>
        <v>2023</v>
      </c>
      <c r="T177" t="str">
        <f>TEXT(Table1[[#This Row],[Visitor Date]],"mmm")</f>
        <v>Jun</v>
      </c>
    </row>
    <row r="178" spans="1:20" x14ac:dyDescent="0.25">
      <c r="A178" t="s">
        <v>26</v>
      </c>
      <c r="B178">
        <v>26</v>
      </c>
      <c r="C178" t="s">
        <v>23</v>
      </c>
      <c r="D178">
        <v>28</v>
      </c>
      <c r="E178" s="1">
        <v>44717</v>
      </c>
      <c r="F178">
        <v>12</v>
      </c>
      <c r="G178">
        <v>6</v>
      </c>
      <c r="H178">
        <v>75</v>
      </c>
      <c r="I178">
        <v>3.1</v>
      </c>
      <c r="J178">
        <v>45</v>
      </c>
      <c r="K178">
        <v>28</v>
      </c>
      <c r="L178">
        <v>5</v>
      </c>
      <c r="M178" t="s">
        <v>27</v>
      </c>
      <c r="N178">
        <v>21</v>
      </c>
      <c r="O178" t="s">
        <v>21</v>
      </c>
      <c r="P178">
        <v>14</v>
      </c>
      <c r="Q178" t="s">
        <v>22</v>
      </c>
      <c r="R178">
        <v>11</v>
      </c>
      <c r="S178">
        <f>YEAR(Table1[[#This Row],[Visitor Date]])</f>
        <v>2022</v>
      </c>
      <c r="T178" t="str">
        <f>TEXT(Table1[[#This Row],[Visitor Date]],"mmm")</f>
        <v>Jun</v>
      </c>
    </row>
    <row r="179" spans="1:20" x14ac:dyDescent="0.25">
      <c r="A179" t="s">
        <v>26</v>
      </c>
      <c r="B179">
        <v>26</v>
      </c>
      <c r="C179" t="s">
        <v>35</v>
      </c>
      <c r="D179">
        <v>8</v>
      </c>
      <c r="E179" s="1">
        <v>44792</v>
      </c>
      <c r="F179">
        <v>8</v>
      </c>
      <c r="G179">
        <v>6.5</v>
      </c>
      <c r="H179">
        <v>70</v>
      </c>
      <c r="I179">
        <v>3</v>
      </c>
      <c r="J179">
        <v>42</v>
      </c>
      <c r="K179">
        <v>69</v>
      </c>
      <c r="L179">
        <v>4.5</v>
      </c>
      <c r="M179" t="s">
        <v>27</v>
      </c>
      <c r="N179">
        <v>20</v>
      </c>
      <c r="O179" t="s">
        <v>21</v>
      </c>
      <c r="P179">
        <v>12</v>
      </c>
      <c r="Q179" t="s">
        <v>25</v>
      </c>
      <c r="R179">
        <v>23</v>
      </c>
      <c r="S179">
        <f>YEAR(Table1[[#This Row],[Visitor Date]])</f>
        <v>2022</v>
      </c>
      <c r="T179" t="str">
        <f>TEXT(Table1[[#This Row],[Visitor Date]],"mmm")</f>
        <v>Aug</v>
      </c>
    </row>
    <row r="180" spans="1:20" x14ac:dyDescent="0.25">
      <c r="A180" t="s">
        <v>18</v>
      </c>
      <c r="B180">
        <v>91</v>
      </c>
      <c r="C180" t="s">
        <v>19</v>
      </c>
      <c r="D180">
        <v>57</v>
      </c>
      <c r="E180" s="1">
        <v>44778</v>
      </c>
      <c r="F180">
        <v>53</v>
      </c>
      <c r="G180">
        <v>54</v>
      </c>
      <c r="H180">
        <v>77</v>
      </c>
      <c r="I180">
        <v>4.5999999999999996</v>
      </c>
      <c r="J180">
        <v>58</v>
      </c>
      <c r="K180">
        <v>73</v>
      </c>
      <c r="L180">
        <v>17</v>
      </c>
      <c r="M180" t="s">
        <v>20</v>
      </c>
      <c r="N180">
        <v>8</v>
      </c>
      <c r="O180" t="s">
        <v>21</v>
      </c>
      <c r="P180">
        <v>16</v>
      </c>
      <c r="Q180" t="s">
        <v>22</v>
      </c>
      <c r="R180">
        <v>23</v>
      </c>
      <c r="S180">
        <f>YEAR(Table1[[#This Row],[Visitor Date]])</f>
        <v>2022</v>
      </c>
      <c r="T180" t="str">
        <f>TEXT(Table1[[#This Row],[Visitor Date]],"mmm")</f>
        <v>Aug</v>
      </c>
    </row>
    <row r="181" spans="1:20" x14ac:dyDescent="0.25">
      <c r="A181" t="s">
        <v>18</v>
      </c>
      <c r="B181">
        <v>91</v>
      </c>
      <c r="C181" t="s">
        <v>23</v>
      </c>
      <c r="D181">
        <v>156</v>
      </c>
      <c r="E181" s="1">
        <v>45127</v>
      </c>
      <c r="F181">
        <v>30</v>
      </c>
      <c r="G181">
        <v>56</v>
      </c>
      <c r="H181">
        <v>72</v>
      </c>
      <c r="I181">
        <v>3.9</v>
      </c>
      <c r="J181">
        <v>57</v>
      </c>
      <c r="K181">
        <v>62</v>
      </c>
      <c r="L181">
        <v>15.5</v>
      </c>
      <c r="M181" t="s">
        <v>20</v>
      </c>
      <c r="N181">
        <v>7.5</v>
      </c>
      <c r="O181" t="s">
        <v>21</v>
      </c>
      <c r="P181">
        <v>15</v>
      </c>
      <c r="Q181" t="s">
        <v>22</v>
      </c>
      <c r="R181">
        <v>21.5</v>
      </c>
      <c r="S181">
        <f>YEAR(Table1[[#This Row],[Visitor Date]])</f>
        <v>2023</v>
      </c>
      <c r="T181" t="str">
        <f>TEXT(Table1[[#This Row],[Visitor Date]],"mmm")</f>
        <v>Jul</v>
      </c>
    </row>
    <row r="182" spans="1:20" x14ac:dyDescent="0.25">
      <c r="A182" t="s">
        <v>18</v>
      </c>
      <c r="B182">
        <v>91</v>
      </c>
      <c r="C182" t="s">
        <v>35</v>
      </c>
      <c r="D182">
        <v>22</v>
      </c>
      <c r="E182" s="1">
        <v>45101</v>
      </c>
      <c r="F182">
        <v>12</v>
      </c>
      <c r="G182">
        <v>58</v>
      </c>
      <c r="H182">
        <v>67</v>
      </c>
      <c r="I182">
        <v>3.3</v>
      </c>
      <c r="J182">
        <v>15</v>
      </c>
      <c r="K182">
        <v>46</v>
      </c>
      <c r="L182">
        <v>14</v>
      </c>
      <c r="M182" t="s">
        <v>20</v>
      </c>
      <c r="N182">
        <v>6</v>
      </c>
      <c r="O182" t="s">
        <v>21</v>
      </c>
      <c r="P182">
        <v>13.5</v>
      </c>
      <c r="Q182" t="s">
        <v>22</v>
      </c>
      <c r="R182">
        <v>20</v>
      </c>
      <c r="S182">
        <f>YEAR(Table1[[#This Row],[Visitor Date]])</f>
        <v>2023</v>
      </c>
      <c r="T182" t="str">
        <f>TEXT(Table1[[#This Row],[Visitor Date]],"mmm")</f>
        <v>Jun</v>
      </c>
    </row>
    <row r="183" spans="1:20" x14ac:dyDescent="0.25">
      <c r="A183" t="s">
        <v>24</v>
      </c>
      <c r="B183">
        <v>44</v>
      </c>
      <c r="C183" t="s">
        <v>19</v>
      </c>
      <c r="D183">
        <v>46</v>
      </c>
      <c r="E183" s="1">
        <v>44741</v>
      </c>
      <c r="F183">
        <v>47</v>
      </c>
      <c r="G183">
        <v>90</v>
      </c>
      <c r="H183">
        <v>47</v>
      </c>
      <c r="I183">
        <v>3.3</v>
      </c>
      <c r="J183">
        <v>45</v>
      </c>
      <c r="K183">
        <v>32</v>
      </c>
      <c r="L183">
        <v>18</v>
      </c>
      <c r="M183" t="s">
        <v>24</v>
      </c>
      <c r="N183">
        <v>27.5</v>
      </c>
      <c r="O183" t="s">
        <v>21</v>
      </c>
      <c r="P183">
        <v>9.5</v>
      </c>
      <c r="Q183" t="s">
        <v>25</v>
      </c>
      <c r="R183">
        <v>8.5</v>
      </c>
      <c r="S183">
        <f>YEAR(Table1[[#This Row],[Visitor Date]])</f>
        <v>2022</v>
      </c>
      <c r="T183" t="str">
        <f>TEXT(Table1[[#This Row],[Visitor Date]],"mmm")</f>
        <v>Jun</v>
      </c>
    </row>
    <row r="184" spans="1:20" x14ac:dyDescent="0.25">
      <c r="A184" t="s">
        <v>24</v>
      </c>
      <c r="B184">
        <v>44</v>
      </c>
      <c r="C184" t="s">
        <v>23</v>
      </c>
      <c r="D184">
        <v>139</v>
      </c>
      <c r="E184" s="1">
        <v>44631</v>
      </c>
      <c r="F184">
        <v>39</v>
      </c>
      <c r="G184">
        <v>87</v>
      </c>
      <c r="H184">
        <v>41</v>
      </c>
      <c r="I184">
        <v>3</v>
      </c>
      <c r="J184">
        <v>44</v>
      </c>
      <c r="K184">
        <v>27</v>
      </c>
      <c r="L184">
        <v>17</v>
      </c>
      <c r="M184" t="s">
        <v>24</v>
      </c>
      <c r="N184">
        <v>26</v>
      </c>
      <c r="O184" t="s">
        <v>21</v>
      </c>
      <c r="P184">
        <v>8</v>
      </c>
      <c r="Q184" t="s">
        <v>25</v>
      </c>
      <c r="R184">
        <v>7.5</v>
      </c>
      <c r="S184">
        <f>YEAR(Table1[[#This Row],[Visitor Date]])</f>
        <v>2022</v>
      </c>
      <c r="T184" t="str">
        <f>TEXT(Table1[[#This Row],[Visitor Date]],"mmm")</f>
        <v>Mar</v>
      </c>
    </row>
    <row r="185" spans="1:20" x14ac:dyDescent="0.25">
      <c r="A185" t="s">
        <v>24</v>
      </c>
      <c r="B185">
        <v>44</v>
      </c>
      <c r="C185" t="s">
        <v>35</v>
      </c>
      <c r="D185">
        <v>29</v>
      </c>
      <c r="E185" s="1">
        <v>44812</v>
      </c>
      <c r="F185">
        <v>25</v>
      </c>
      <c r="G185">
        <v>85</v>
      </c>
      <c r="H185">
        <v>35</v>
      </c>
      <c r="I185">
        <v>3</v>
      </c>
      <c r="J185">
        <v>43</v>
      </c>
      <c r="K185">
        <v>78</v>
      </c>
      <c r="L185">
        <v>16.5</v>
      </c>
      <c r="M185" t="s">
        <v>24</v>
      </c>
      <c r="N185">
        <v>25</v>
      </c>
      <c r="O185" t="s">
        <v>21</v>
      </c>
      <c r="P185">
        <v>7</v>
      </c>
      <c r="Q185" t="s">
        <v>25</v>
      </c>
      <c r="R185">
        <v>6</v>
      </c>
      <c r="S185">
        <f>YEAR(Table1[[#This Row],[Visitor Date]])</f>
        <v>2022</v>
      </c>
      <c r="T185" t="str">
        <f>TEXT(Table1[[#This Row],[Visitor Date]],"mmm")</f>
        <v>Sep</v>
      </c>
    </row>
    <row r="186" spans="1:20" x14ac:dyDescent="0.25">
      <c r="A186" t="s">
        <v>26</v>
      </c>
      <c r="B186">
        <v>26</v>
      </c>
      <c r="C186" t="s">
        <v>19</v>
      </c>
      <c r="D186">
        <v>35</v>
      </c>
      <c r="E186" s="1">
        <v>45208</v>
      </c>
      <c r="F186">
        <v>10</v>
      </c>
      <c r="G186">
        <v>5.5</v>
      </c>
      <c r="H186">
        <v>76</v>
      </c>
      <c r="I186">
        <v>3.5</v>
      </c>
      <c r="J186">
        <v>48</v>
      </c>
      <c r="K186">
        <v>33</v>
      </c>
      <c r="L186">
        <v>6.5</v>
      </c>
      <c r="M186" t="s">
        <v>27</v>
      </c>
      <c r="N186">
        <v>22</v>
      </c>
      <c r="O186" t="s">
        <v>21</v>
      </c>
      <c r="P186">
        <v>15</v>
      </c>
      <c r="Q186" t="s">
        <v>22</v>
      </c>
      <c r="R186">
        <v>12</v>
      </c>
      <c r="S186">
        <f>YEAR(Table1[[#This Row],[Visitor Date]])</f>
        <v>2023</v>
      </c>
      <c r="T186" t="str">
        <f>TEXT(Table1[[#This Row],[Visitor Date]],"mmm")</f>
        <v>Oct</v>
      </c>
    </row>
    <row r="187" spans="1:20" x14ac:dyDescent="0.25">
      <c r="A187" t="s">
        <v>26</v>
      </c>
      <c r="B187">
        <v>26</v>
      </c>
      <c r="C187" t="s">
        <v>23</v>
      </c>
      <c r="D187">
        <v>32</v>
      </c>
      <c r="E187" s="1">
        <v>45164</v>
      </c>
      <c r="F187">
        <v>12</v>
      </c>
      <c r="G187">
        <v>6</v>
      </c>
      <c r="H187">
        <v>75</v>
      </c>
      <c r="I187">
        <v>3.1</v>
      </c>
      <c r="J187">
        <v>45</v>
      </c>
      <c r="K187">
        <v>28</v>
      </c>
      <c r="L187">
        <v>6</v>
      </c>
      <c r="M187" t="s">
        <v>27</v>
      </c>
      <c r="N187">
        <v>21</v>
      </c>
      <c r="O187" t="s">
        <v>21</v>
      </c>
      <c r="P187">
        <v>14</v>
      </c>
      <c r="Q187" t="s">
        <v>22</v>
      </c>
      <c r="R187">
        <v>11</v>
      </c>
      <c r="S187">
        <f>YEAR(Table1[[#This Row],[Visitor Date]])</f>
        <v>2023</v>
      </c>
      <c r="T187" t="str">
        <f>TEXT(Table1[[#This Row],[Visitor Date]],"mmm")</f>
        <v>Aug</v>
      </c>
    </row>
    <row r="188" spans="1:20" x14ac:dyDescent="0.25">
      <c r="A188" t="s">
        <v>26</v>
      </c>
      <c r="B188">
        <v>26</v>
      </c>
      <c r="C188" t="s">
        <v>35</v>
      </c>
      <c r="D188">
        <v>120</v>
      </c>
      <c r="E188" s="1">
        <v>44965</v>
      </c>
      <c r="F188">
        <v>8</v>
      </c>
      <c r="G188">
        <v>6.5</v>
      </c>
      <c r="H188">
        <v>70</v>
      </c>
      <c r="I188">
        <v>3</v>
      </c>
      <c r="J188">
        <v>42</v>
      </c>
      <c r="K188">
        <v>69</v>
      </c>
      <c r="L188">
        <v>5.5</v>
      </c>
      <c r="M188" t="s">
        <v>27</v>
      </c>
      <c r="N188">
        <v>20</v>
      </c>
      <c r="O188" t="s">
        <v>21</v>
      </c>
      <c r="P188">
        <v>12</v>
      </c>
      <c r="Q188" t="s">
        <v>22</v>
      </c>
      <c r="R188">
        <v>10</v>
      </c>
      <c r="S188">
        <f>YEAR(Table1[[#This Row],[Visitor Date]])</f>
        <v>2023</v>
      </c>
      <c r="T188" t="str">
        <f>TEXT(Table1[[#This Row],[Visitor Date]],"mmm")</f>
        <v>Feb</v>
      </c>
    </row>
    <row r="189" spans="1:20" x14ac:dyDescent="0.25">
      <c r="A189" t="s">
        <v>28</v>
      </c>
      <c r="B189">
        <v>68</v>
      </c>
      <c r="C189" t="s">
        <v>19</v>
      </c>
      <c r="D189">
        <v>66</v>
      </c>
      <c r="E189" s="1">
        <v>44740</v>
      </c>
      <c r="F189">
        <v>15</v>
      </c>
      <c r="G189">
        <v>91.5</v>
      </c>
      <c r="H189">
        <v>57</v>
      </c>
      <c r="I189">
        <v>3.7</v>
      </c>
      <c r="J189">
        <v>7</v>
      </c>
      <c r="K189">
        <v>38</v>
      </c>
      <c r="L189">
        <v>12</v>
      </c>
      <c r="M189" t="s">
        <v>20</v>
      </c>
      <c r="N189">
        <v>5.5</v>
      </c>
      <c r="O189" t="s">
        <v>29</v>
      </c>
      <c r="P189">
        <v>20</v>
      </c>
      <c r="Q189" t="s">
        <v>25</v>
      </c>
      <c r="R189">
        <v>18.5</v>
      </c>
      <c r="S189">
        <f>YEAR(Table1[[#This Row],[Visitor Date]])</f>
        <v>2022</v>
      </c>
      <c r="T189" t="str">
        <f>TEXT(Table1[[#This Row],[Visitor Date]],"mmm")</f>
        <v>Jun</v>
      </c>
    </row>
    <row r="190" spans="1:20" x14ac:dyDescent="0.25">
      <c r="A190" t="s">
        <v>28</v>
      </c>
      <c r="B190">
        <v>68</v>
      </c>
      <c r="C190" t="s">
        <v>23</v>
      </c>
      <c r="D190">
        <v>28</v>
      </c>
      <c r="E190" s="1">
        <v>44868</v>
      </c>
      <c r="F190">
        <v>12</v>
      </c>
      <c r="G190">
        <v>89</v>
      </c>
      <c r="H190">
        <v>53</v>
      </c>
      <c r="I190">
        <v>3.1</v>
      </c>
      <c r="J190">
        <v>66</v>
      </c>
      <c r="K190">
        <v>99</v>
      </c>
      <c r="L190">
        <v>11.5</v>
      </c>
      <c r="M190" t="s">
        <v>20</v>
      </c>
      <c r="N190">
        <v>4.5</v>
      </c>
      <c r="O190" t="s">
        <v>29</v>
      </c>
      <c r="P190">
        <v>18</v>
      </c>
      <c r="Q190" t="s">
        <v>25</v>
      </c>
      <c r="R190">
        <v>17</v>
      </c>
      <c r="S190">
        <f>YEAR(Table1[[#This Row],[Visitor Date]])</f>
        <v>2022</v>
      </c>
      <c r="T190" t="str">
        <f>TEXT(Table1[[#This Row],[Visitor Date]],"mmm")</f>
        <v>Nov</v>
      </c>
    </row>
    <row r="191" spans="1:20" x14ac:dyDescent="0.25">
      <c r="A191" t="s">
        <v>28</v>
      </c>
      <c r="B191">
        <v>68</v>
      </c>
      <c r="C191" t="s">
        <v>35</v>
      </c>
      <c r="D191">
        <v>55</v>
      </c>
      <c r="E191" s="1">
        <v>44748</v>
      </c>
      <c r="F191">
        <v>10</v>
      </c>
      <c r="G191">
        <v>88</v>
      </c>
      <c r="H191">
        <v>45</v>
      </c>
      <c r="I191">
        <v>2.9</v>
      </c>
      <c r="J191">
        <v>64</v>
      </c>
      <c r="K191">
        <v>55</v>
      </c>
      <c r="L191">
        <v>10</v>
      </c>
      <c r="M191" t="s">
        <v>20</v>
      </c>
      <c r="N191">
        <v>4</v>
      </c>
      <c r="O191" t="s">
        <v>29</v>
      </c>
      <c r="P191">
        <v>16.5</v>
      </c>
      <c r="Q191" t="s">
        <v>25</v>
      </c>
      <c r="R191">
        <v>15</v>
      </c>
      <c r="S191">
        <f>YEAR(Table1[[#This Row],[Visitor Date]])</f>
        <v>2022</v>
      </c>
      <c r="T191" t="str">
        <f>TEXT(Table1[[#This Row],[Visitor Date]],"mmm")</f>
        <v>Jul</v>
      </c>
    </row>
    <row r="192" spans="1:20" x14ac:dyDescent="0.25">
      <c r="A192" t="s">
        <v>30</v>
      </c>
      <c r="B192">
        <v>14</v>
      </c>
      <c r="C192" t="s">
        <v>19</v>
      </c>
      <c r="D192">
        <v>20</v>
      </c>
      <c r="E192" s="1">
        <v>44909</v>
      </c>
      <c r="F192">
        <v>18</v>
      </c>
      <c r="G192">
        <v>72</v>
      </c>
      <c r="H192">
        <v>42</v>
      </c>
      <c r="I192">
        <v>4</v>
      </c>
      <c r="J192">
        <v>60</v>
      </c>
      <c r="K192">
        <v>98</v>
      </c>
      <c r="L192">
        <v>14.5</v>
      </c>
      <c r="M192" t="s">
        <v>27</v>
      </c>
      <c r="N192">
        <v>21</v>
      </c>
      <c r="O192" t="s">
        <v>31</v>
      </c>
      <c r="P192">
        <v>16</v>
      </c>
      <c r="Q192" t="s">
        <v>25</v>
      </c>
      <c r="R192">
        <v>15.5</v>
      </c>
      <c r="S192">
        <f>YEAR(Table1[[#This Row],[Visitor Date]])</f>
        <v>2022</v>
      </c>
      <c r="T192" t="str">
        <f>TEXT(Table1[[#This Row],[Visitor Date]],"mmm")</f>
        <v>Dec</v>
      </c>
    </row>
    <row r="193" spans="1:20" x14ac:dyDescent="0.25">
      <c r="A193" t="s">
        <v>30</v>
      </c>
      <c r="B193">
        <v>14</v>
      </c>
      <c r="C193" t="s">
        <v>23</v>
      </c>
      <c r="D193">
        <v>16</v>
      </c>
      <c r="E193" s="1">
        <v>44950</v>
      </c>
      <c r="F193">
        <v>10</v>
      </c>
      <c r="G193">
        <v>67</v>
      </c>
      <c r="H193">
        <v>27</v>
      </c>
      <c r="I193">
        <v>3.5</v>
      </c>
      <c r="J193">
        <v>56</v>
      </c>
      <c r="K193">
        <v>62</v>
      </c>
      <c r="L193">
        <v>12.5</v>
      </c>
      <c r="M193" t="s">
        <v>27</v>
      </c>
      <c r="N193">
        <v>20.5</v>
      </c>
      <c r="O193" t="s">
        <v>31</v>
      </c>
      <c r="P193">
        <v>14</v>
      </c>
      <c r="Q193" t="s">
        <v>25</v>
      </c>
      <c r="R193">
        <v>13</v>
      </c>
      <c r="S193">
        <f>YEAR(Table1[[#This Row],[Visitor Date]])</f>
        <v>2023</v>
      </c>
      <c r="T193" t="str">
        <f>TEXT(Table1[[#This Row],[Visitor Date]],"mmm")</f>
        <v>Jan</v>
      </c>
    </row>
    <row r="194" spans="1:20" x14ac:dyDescent="0.25">
      <c r="A194" t="s">
        <v>30</v>
      </c>
      <c r="B194">
        <v>14</v>
      </c>
      <c r="C194" t="s">
        <v>35</v>
      </c>
      <c r="D194">
        <v>14</v>
      </c>
      <c r="E194" s="1">
        <v>44928</v>
      </c>
      <c r="F194">
        <v>9</v>
      </c>
      <c r="G194">
        <v>66</v>
      </c>
      <c r="H194">
        <v>25</v>
      </c>
      <c r="I194">
        <v>3.4</v>
      </c>
      <c r="J194">
        <v>54</v>
      </c>
      <c r="K194">
        <v>52</v>
      </c>
      <c r="L194">
        <v>12</v>
      </c>
      <c r="M194" t="s">
        <v>27</v>
      </c>
      <c r="N194">
        <v>19</v>
      </c>
      <c r="O194" t="s">
        <v>31</v>
      </c>
      <c r="P194">
        <v>13</v>
      </c>
      <c r="Q194" t="s">
        <v>25</v>
      </c>
      <c r="R194">
        <v>12</v>
      </c>
      <c r="S194">
        <f>YEAR(Table1[[#This Row],[Visitor Date]])</f>
        <v>2023</v>
      </c>
      <c r="T194" t="str">
        <f>TEXT(Table1[[#This Row],[Visitor Date]],"mmm")</f>
        <v>Jan</v>
      </c>
    </row>
    <row r="195" spans="1:20" x14ac:dyDescent="0.25">
      <c r="A195" t="s">
        <v>24</v>
      </c>
      <c r="B195">
        <v>44</v>
      </c>
      <c r="C195" t="s">
        <v>23</v>
      </c>
      <c r="D195">
        <v>35</v>
      </c>
      <c r="E195" s="1">
        <v>44598</v>
      </c>
      <c r="F195">
        <v>32</v>
      </c>
      <c r="G195">
        <v>85.3</v>
      </c>
      <c r="H195">
        <v>35</v>
      </c>
      <c r="I195">
        <v>2.5</v>
      </c>
      <c r="J195">
        <v>45</v>
      </c>
      <c r="K195">
        <v>29</v>
      </c>
      <c r="L195">
        <v>17.5</v>
      </c>
      <c r="M195" t="s">
        <v>24</v>
      </c>
      <c r="N195">
        <v>26</v>
      </c>
      <c r="O195" t="s">
        <v>21</v>
      </c>
      <c r="P195">
        <v>7.5</v>
      </c>
      <c r="Q195" t="s">
        <v>25</v>
      </c>
      <c r="R195">
        <v>6.3</v>
      </c>
      <c r="S195">
        <f>YEAR(Table1[[#This Row],[Visitor Date]])</f>
        <v>2022</v>
      </c>
      <c r="T195" t="str">
        <f>TEXT(Table1[[#This Row],[Visitor Date]],"mmm")</f>
        <v>Feb</v>
      </c>
    </row>
    <row r="196" spans="1:20" x14ac:dyDescent="0.25">
      <c r="A196" t="s">
        <v>26</v>
      </c>
      <c r="B196">
        <v>26</v>
      </c>
      <c r="C196" t="s">
        <v>35</v>
      </c>
      <c r="D196">
        <v>88</v>
      </c>
      <c r="E196" s="1">
        <v>44598</v>
      </c>
      <c r="F196">
        <v>8</v>
      </c>
      <c r="G196">
        <v>6.5</v>
      </c>
      <c r="H196">
        <v>70</v>
      </c>
      <c r="I196">
        <v>3</v>
      </c>
      <c r="J196">
        <v>42</v>
      </c>
      <c r="K196">
        <v>69</v>
      </c>
      <c r="L196">
        <v>5.5</v>
      </c>
      <c r="M196" t="s">
        <v>27</v>
      </c>
      <c r="N196">
        <v>20</v>
      </c>
      <c r="O196" t="s">
        <v>21</v>
      </c>
      <c r="P196">
        <v>12</v>
      </c>
      <c r="Q196" t="s">
        <v>22</v>
      </c>
      <c r="R196">
        <v>10</v>
      </c>
      <c r="S196">
        <f>YEAR(Table1[[#This Row],[Visitor Date]])</f>
        <v>2022</v>
      </c>
      <c r="T196" t="str">
        <f>TEXT(Table1[[#This Row],[Visitor Date]],"mmm")</f>
        <v>Feb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5F59-F663-4FB9-8198-B0B9C2928236}">
  <dimension ref="A1:AR36"/>
  <sheetViews>
    <sheetView showGridLines="0" topLeftCell="A3" workbookViewId="0">
      <selection activeCell="E7" sqref="E7:F7"/>
      <pivotSelection pane="bottomRight" showHeader="1" extendable="1" max="6" activeRow="6" activeCol="4" click="1" r:id="rId10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4.25" customHeight="1" x14ac:dyDescent="0.25"/>
  <cols>
    <col min="1" max="1" width="33.140625" bestFit="1" customWidth="1"/>
    <col min="2" max="2" width="30" bestFit="1" customWidth="1"/>
    <col min="4" max="4" width="2.5703125" style="2" customWidth="1"/>
    <col min="5" max="5" width="13.42578125" bestFit="1" customWidth="1"/>
    <col min="6" max="6" width="19.85546875" bestFit="1" customWidth="1"/>
    <col min="7" max="7" width="3.140625" customWidth="1"/>
    <col min="8" max="8" width="13.42578125" bestFit="1" customWidth="1"/>
    <col min="9" max="9" width="19.85546875" bestFit="1" customWidth="1"/>
    <col min="10" max="10" width="3.140625" customWidth="1"/>
    <col min="11" max="11" width="13.42578125" bestFit="1" customWidth="1"/>
    <col min="12" max="12" width="36.28515625" bestFit="1" customWidth="1"/>
    <col min="13" max="13" width="3.140625" customWidth="1"/>
    <col min="14" max="14" width="13.42578125" bestFit="1" customWidth="1"/>
    <col min="15" max="15" width="30" bestFit="1" customWidth="1"/>
    <col min="16" max="16" width="12.42578125" customWidth="1"/>
    <col min="17" max="17" width="2.5703125" style="2" customWidth="1"/>
    <col min="18" max="18" width="13.42578125" bestFit="1" customWidth="1"/>
    <col min="19" max="19" width="19.85546875" bestFit="1" customWidth="1"/>
    <col min="20" max="20" width="4.5703125" bestFit="1" customWidth="1"/>
    <col min="21" max="21" width="13.42578125" bestFit="1" customWidth="1"/>
    <col min="22" max="22" width="19.85546875" bestFit="1" customWidth="1"/>
    <col min="24" max="24" width="2.5703125" style="2" customWidth="1"/>
    <col min="25" max="25" width="13.42578125" bestFit="1" customWidth="1"/>
    <col min="26" max="26" width="19.85546875" bestFit="1" customWidth="1"/>
    <col min="27" max="27" width="3.140625" customWidth="1"/>
    <col min="28" max="28" width="13.42578125" bestFit="1" customWidth="1"/>
    <col min="29" max="29" width="19.28515625" bestFit="1" customWidth="1"/>
    <col min="30" max="30" width="8.42578125" customWidth="1"/>
    <col min="31" max="31" width="2.5703125" style="2" customWidth="1"/>
    <col min="32" max="32" width="13.42578125" bestFit="1" customWidth="1"/>
    <col min="33" max="33" width="33.42578125" bestFit="1" customWidth="1"/>
    <col min="34" max="34" width="7.5703125" customWidth="1"/>
    <col min="35" max="35" width="4.5703125" customWidth="1"/>
    <col min="36" max="36" width="2.5703125" style="2" customWidth="1"/>
    <col min="37" max="37" width="13.42578125" bestFit="1" customWidth="1"/>
    <col min="38" max="38" width="35" bestFit="1" customWidth="1"/>
    <col min="39" max="40" width="10.5703125" customWidth="1"/>
    <col min="41" max="41" width="2.5703125" style="2" customWidth="1"/>
    <col min="42" max="42" width="13.42578125" bestFit="1" customWidth="1"/>
    <col min="43" max="43" width="30.140625" bestFit="1" customWidth="1"/>
    <col min="44" max="44" width="12.5703125" customWidth="1"/>
  </cols>
  <sheetData>
    <row r="1" spans="1:44" ht="14.25" customHeight="1" x14ac:dyDescent="0.25">
      <c r="E1" s="13" t="s">
        <v>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9"/>
      <c r="R1" s="13" t="s">
        <v>2</v>
      </c>
      <c r="S1" s="13"/>
      <c r="T1" s="13"/>
      <c r="U1" s="13"/>
      <c r="V1" s="13"/>
      <c r="W1" s="13"/>
      <c r="Y1" s="13" t="s">
        <v>64</v>
      </c>
      <c r="Z1" s="13"/>
      <c r="AA1" s="13"/>
      <c r="AB1" s="13"/>
      <c r="AC1" s="13"/>
      <c r="AD1" s="13"/>
      <c r="AF1" s="13" t="s">
        <v>12</v>
      </c>
      <c r="AG1" s="13"/>
      <c r="AH1" s="13"/>
      <c r="AI1" s="13"/>
      <c r="AK1" s="13" t="s">
        <v>69</v>
      </c>
      <c r="AL1" s="13"/>
      <c r="AM1" s="13"/>
      <c r="AN1" s="9"/>
      <c r="AP1" s="13" t="s">
        <v>71</v>
      </c>
      <c r="AQ1" s="13"/>
      <c r="AR1" s="13"/>
    </row>
    <row r="2" spans="1:44" ht="14.25" customHeight="1" x14ac:dyDescent="0.25"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9"/>
      <c r="R2" s="13"/>
      <c r="S2" s="13"/>
      <c r="T2" s="13"/>
      <c r="U2" s="13"/>
      <c r="V2" s="13"/>
      <c r="W2" s="13"/>
      <c r="Y2" s="13"/>
      <c r="Z2" s="13"/>
      <c r="AA2" s="13"/>
      <c r="AB2" s="13"/>
      <c r="AC2" s="13"/>
      <c r="AD2" s="13"/>
      <c r="AF2" s="13"/>
      <c r="AG2" s="13"/>
      <c r="AH2" s="13"/>
      <c r="AI2" s="13"/>
      <c r="AK2" s="13"/>
      <c r="AL2" s="13"/>
      <c r="AM2" s="13"/>
      <c r="AN2" s="9"/>
      <c r="AP2" s="13"/>
      <c r="AQ2" s="13"/>
      <c r="AR2" s="13"/>
    </row>
    <row r="4" spans="1:44" ht="17.25" customHeight="1" thickBot="1" x14ac:dyDescent="0.35">
      <c r="A4" t="s">
        <v>41</v>
      </c>
      <c r="E4" s="14" t="s">
        <v>38</v>
      </c>
      <c r="F4" s="14"/>
      <c r="H4" s="14" t="s">
        <v>43</v>
      </c>
      <c r="I4" s="14"/>
      <c r="K4" s="14" t="s">
        <v>45</v>
      </c>
      <c r="L4" s="14"/>
      <c r="N4" s="14" t="s">
        <v>49</v>
      </c>
      <c r="O4" s="14"/>
      <c r="P4" s="10"/>
      <c r="R4" s="14" t="s">
        <v>38</v>
      </c>
      <c r="S4" s="14"/>
      <c r="U4" s="14" t="s">
        <v>43</v>
      </c>
      <c r="V4" s="14"/>
      <c r="Y4" s="14" t="s">
        <v>38</v>
      </c>
      <c r="Z4" s="14"/>
      <c r="AB4" s="14" t="s">
        <v>63</v>
      </c>
      <c r="AC4" s="14"/>
      <c r="AF4" s="14" t="s">
        <v>66</v>
      </c>
      <c r="AG4" s="14"/>
      <c r="AH4" s="10"/>
      <c r="AK4" s="14" t="s">
        <v>68</v>
      </c>
      <c r="AL4" s="14"/>
      <c r="AP4" s="14" t="s">
        <v>72</v>
      </c>
      <c r="AQ4" s="14"/>
    </row>
    <row r="5" spans="1:44" ht="14.25" customHeight="1" x14ac:dyDescent="0.25">
      <c r="A5" s="5">
        <v>11907</v>
      </c>
    </row>
    <row r="6" spans="1:44" ht="14.25" customHeight="1" x14ac:dyDescent="0.25">
      <c r="E6" s="3" t="s">
        <v>39</v>
      </c>
      <c r="F6" t="s">
        <v>41</v>
      </c>
      <c r="H6" s="3" t="s">
        <v>39</v>
      </c>
      <c r="I6" t="s">
        <v>41</v>
      </c>
      <c r="K6" s="3" t="s">
        <v>39</v>
      </c>
      <c r="L6" t="s">
        <v>44</v>
      </c>
      <c r="N6" s="3" t="s">
        <v>39</v>
      </c>
      <c r="O6" t="s">
        <v>48</v>
      </c>
      <c r="R6" s="3" t="s">
        <v>39</v>
      </c>
      <c r="S6" t="s">
        <v>41</v>
      </c>
      <c r="U6" s="3" t="s">
        <v>39</v>
      </c>
      <c r="V6" t="s">
        <v>41</v>
      </c>
      <c r="Y6" s="3" t="s">
        <v>39</v>
      </c>
      <c r="Z6" t="s">
        <v>41</v>
      </c>
      <c r="AB6" s="3" t="s">
        <v>39</v>
      </c>
      <c r="AC6" t="s">
        <v>62</v>
      </c>
      <c r="AF6" s="3" t="s">
        <v>39</v>
      </c>
      <c r="AG6" t="s">
        <v>65</v>
      </c>
      <c r="AK6" s="3" t="s">
        <v>39</v>
      </c>
      <c r="AL6" t="s">
        <v>67</v>
      </c>
      <c r="AP6" s="3" t="s">
        <v>39</v>
      </c>
      <c r="AQ6" t="s">
        <v>70</v>
      </c>
    </row>
    <row r="7" spans="1:44" ht="14.25" customHeight="1" x14ac:dyDescent="0.25">
      <c r="A7" t="s">
        <v>42</v>
      </c>
      <c r="E7" s="4" t="s">
        <v>28</v>
      </c>
      <c r="F7" s="5">
        <v>2677</v>
      </c>
      <c r="H7" s="4" t="s">
        <v>28</v>
      </c>
      <c r="I7" s="6">
        <v>0.22482573276224069</v>
      </c>
      <c r="K7" s="4" t="s">
        <v>28</v>
      </c>
      <c r="L7" s="8">
        <v>51.793103448275865</v>
      </c>
      <c r="N7" s="4" t="s">
        <v>28</v>
      </c>
      <c r="O7" s="8">
        <v>310.10000000000002</v>
      </c>
      <c r="P7" s="8"/>
      <c r="R7" s="4" t="s">
        <v>35</v>
      </c>
      <c r="S7" s="5">
        <v>924</v>
      </c>
      <c r="U7" s="4" t="s">
        <v>35</v>
      </c>
      <c r="V7" s="6">
        <v>7.7601410934744264E-2</v>
      </c>
      <c r="Y7" s="4" t="s">
        <v>50</v>
      </c>
      <c r="Z7" s="5">
        <v>1116</v>
      </c>
      <c r="AB7" s="4" t="s">
        <v>50</v>
      </c>
      <c r="AC7" s="11">
        <v>1026.5</v>
      </c>
      <c r="AF7" s="4" t="s">
        <v>24</v>
      </c>
      <c r="AG7" s="11">
        <v>22.454687499999999</v>
      </c>
      <c r="AH7" s="6">
        <f>AG7/SUM($AG$7:$AG$9)</f>
        <v>0.45218541206557661</v>
      </c>
      <c r="AK7" s="4" t="s">
        <v>29</v>
      </c>
      <c r="AL7" s="8">
        <v>19.037931034482757</v>
      </c>
      <c r="AM7" s="6">
        <f>AL7/SUM($AL$7:$AL$10)</f>
        <v>0.31992581680694177</v>
      </c>
      <c r="AN7" s="6"/>
      <c r="AP7" s="4" t="s">
        <v>25</v>
      </c>
      <c r="AQ7" s="8">
        <v>12.652040816326531</v>
      </c>
      <c r="AR7" s="6">
        <f>AQ7/SUM($AQ$7:$AQ$9)</f>
        <v>0.32322183381688502</v>
      </c>
    </row>
    <row r="8" spans="1:44" ht="14.25" customHeight="1" x14ac:dyDescent="0.25">
      <c r="A8" s="5">
        <v>10548</v>
      </c>
      <c r="E8" s="4" t="s">
        <v>24</v>
      </c>
      <c r="F8" s="5">
        <v>2402</v>
      </c>
      <c r="H8" s="4" t="s">
        <v>24</v>
      </c>
      <c r="I8" s="6">
        <v>0.20173007474594776</v>
      </c>
      <c r="K8" s="4" t="s">
        <v>24</v>
      </c>
      <c r="L8" s="8">
        <v>41.138888888888886</v>
      </c>
      <c r="N8" s="4" t="s">
        <v>24</v>
      </c>
      <c r="O8" s="8">
        <v>617</v>
      </c>
      <c r="P8" s="8"/>
      <c r="R8" s="4" t="s">
        <v>23</v>
      </c>
      <c r="S8" s="5">
        <v>6001</v>
      </c>
      <c r="U8" s="4" t="s">
        <v>23</v>
      </c>
      <c r="V8" s="6">
        <v>0.50398925002099604</v>
      </c>
      <c r="Y8" s="4" t="s">
        <v>51</v>
      </c>
      <c r="Z8" s="5">
        <v>378</v>
      </c>
      <c r="AB8" s="4" t="s">
        <v>51</v>
      </c>
      <c r="AC8" s="11">
        <v>174</v>
      </c>
      <c r="AF8" s="4" t="s">
        <v>27</v>
      </c>
      <c r="AG8" s="11">
        <v>21.576470588235296</v>
      </c>
      <c r="AH8" s="6">
        <f t="shared" ref="AH8:AH9" si="0">AG8/SUM($AG$7:$AG$9)</f>
        <v>0.43450015698779915</v>
      </c>
      <c r="AK8" s="4" t="s">
        <v>21</v>
      </c>
      <c r="AL8" s="8">
        <v>13.10377358490566</v>
      </c>
      <c r="AM8" s="6">
        <f t="shared" ref="AM8:AM10" si="1">AL8/SUM($AL$7:$AL$10)</f>
        <v>0.22020436253345582</v>
      </c>
      <c r="AN8" s="6"/>
      <c r="AP8" s="4" t="s">
        <v>34</v>
      </c>
      <c r="AQ8" s="8">
        <v>10.262068965517242</v>
      </c>
      <c r="AR8" s="6">
        <f t="shared" ref="AR8:AR9" si="2">AQ8/SUM($AQ$7:$AQ$9)</f>
        <v>0.26216519516041864</v>
      </c>
    </row>
    <row r="9" spans="1:44" ht="14.25" customHeight="1" x14ac:dyDescent="0.25">
      <c r="E9" s="4" t="s">
        <v>32</v>
      </c>
      <c r="F9" s="5">
        <v>1424</v>
      </c>
      <c r="H9" s="4" t="s">
        <v>32</v>
      </c>
      <c r="I9" s="6">
        <v>0.11959351641891325</v>
      </c>
      <c r="K9" s="4" t="s">
        <v>32</v>
      </c>
      <c r="L9" s="8">
        <v>31.642857142857142</v>
      </c>
      <c r="N9" s="4" t="s">
        <v>32</v>
      </c>
      <c r="O9" s="8">
        <v>417.59999999999997</v>
      </c>
      <c r="P9" s="8"/>
      <c r="R9" s="4" t="s">
        <v>19</v>
      </c>
      <c r="S9" s="5">
        <v>4982</v>
      </c>
      <c r="U9" s="4" t="s">
        <v>19</v>
      </c>
      <c r="V9" s="6">
        <v>0.4184093390442597</v>
      </c>
      <c r="Y9" s="4" t="s">
        <v>60</v>
      </c>
      <c r="Z9" s="5">
        <v>1660</v>
      </c>
      <c r="AB9" s="4" t="s">
        <v>60</v>
      </c>
      <c r="AC9" s="11">
        <v>817</v>
      </c>
      <c r="AF9" s="4" t="s">
        <v>20</v>
      </c>
      <c r="AG9" s="11">
        <v>5.6269841269841283</v>
      </c>
      <c r="AH9" s="6">
        <f t="shared" si="0"/>
        <v>0.11331443094662426</v>
      </c>
      <c r="AK9" s="4" t="s">
        <v>31</v>
      </c>
      <c r="AL9" s="8">
        <v>14.565625000000001</v>
      </c>
      <c r="AM9" s="6">
        <f t="shared" si="1"/>
        <v>0.24477026768235779</v>
      </c>
      <c r="AN9" s="6"/>
      <c r="AP9" s="4" t="s">
        <v>22</v>
      </c>
      <c r="AQ9" s="8">
        <v>16.229411764705883</v>
      </c>
      <c r="AR9" s="6">
        <f t="shared" si="2"/>
        <v>0.41461297102269634</v>
      </c>
    </row>
    <row r="10" spans="1:44" ht="14.25" customHeight="1" x14ac:dyDescent="0.25">
      <c r="A10" t="s">
        <v>46</v>
      </c>
      <c r="E10" s="4" t="s">
        <v>26</v>
      </c>
      <c r="F10" s="5">
        <v>1879</v>
      </c>
      <c r="H10" s="4" t="s">
        <v>26</v>
      </c>
      <c r="I10" s="6">
        <v>0.15780633240950701</v>
      </c>
      <c r="K10" s="4" t="s">
        <v>26</v>
      </c>
      <c r="L10" s="8">
        <v>75.028571428571425</v>
      </c>
      <c r="N10" s="4" t="s">
        <v>26</v>
      </c>
      <c r="O10" s="8">
        <v>194.7</v>
      </c>
      <c r="P10" s="8"/>
      <c r="Y10" s="4" t="s">
        <v>52</v>
      </c>
      <c r="Z10" s="5">
        <v>1135</v>
      </c>
      <c r="AB10" s="4" t="s">
        <v>52</v>
      </c>
      <c r="AC10" s="11">
        <v>580.5</v>
      </c>
      <c r="AK10" s="4" t="s">
        <v>33</v>
      </c>
      <c r="AL10" s="8">
        <v>12.8</v>
      </c>
      <c r="AM10" s="6">
        <f t="shared" si="1"/>
        <v>0.2150995529772447</v>
      </c>
      <c r="AN10" s="6"/>
    </row>
    <row r="11" spans="1:44" ht="14.25" customHeight="1" x14ac:dyDescent="0.25">
      <c r="A11" s="15">
        <v>3.4799999999999991</v>
      </c>
      <c r="E11" s="4" t="s">
        <v>30</v>
      </c>
      <c r="F11" s="5">
        <v>1370</v>
      </c>
      <c r="H11" s="4" t="s">
        <v>30</v>
      </c>
      <c r="I11" s="6">
        <v>0.11505836902662299</v>
      </c>
      <c r="K11" s="4" t="s">
        <v>30</v>
      </c>
      <c r="L11" s="8">
        <v>32.5</v>
      </c>
      <c r="N11" s="4" t="s">
        <v>30</v>
      </c>
      <c r="O11" s="8">
        <v>447.4</v>
      </c>
      <c r="P11" s="8"/>
      <c r="Y11" s="4" t="s">
        <v>61</v>
      </c>
      <c r="Z11" s="5">
        <v>1839</v>
      </c>
      <c r="AB11" s="4" t="s">
        <v>61</v>
      </c>
      <c r="AC11" s="11">
        <v>776.30000000000007</v>
      </c>
    </row>
    <row r="12" spans="1:44" ht="14.25" customHeight="1" x14ac:dyDescent="0.25">
      <c r="E12" s="4" t="s">
        <v>18</v>
      </c>
      <c r="F12" s="5">
        <v>2155</v>
      </c>
      <c r="H12" s="4" t="s">
        <v>18</v>
      </c>
      <c r="I12" s="6">
        <v>0.1809859746367683</v>
      </c>
      <c r="K12" s="4" t="s">
        <v>18</v>
      </c>
      <c r="L12" s="8">
        <v>73.599999999999994</v>
      </c>
      <c r="N12" s="4" t="s">
        <v>18</v>
      </c>
      <c r="O12" s="8">
        <v>549</v>
      </c>
      <c r="P12" s="8"/>
      <c r="Y12" s="4" t="s">
        <v>53</v>
      </c>
      <c r="Z12" s="5">
        <v>832</v>
      </c>
      <c r="AB12" s="4" t="s">
        <v>53</v>
      </c>
      <c r="AC12" s="11">
        <v>993.09999999999991</v>
      </c>
    </row>
    <row r="13" spans="1:44" ht="14.25" customHeight="1" x14ac:dyDescent="0.25">
      <c r="A13" t="s">
        <v>45</v>
      </c>
      <c r="K13" s="4" t="s">
        <v>40</v>
      </c>
      <c r="L13" s="8">
        <v>51.851282051282048</v>
      </c>
      <c r="N13" s="4" t="s">
        <v>40</v>
      </c>
      <c r="O13" s="8">
        <v>2535.8000000000002</v>
      </c>
      <c r="R13" t="s">
        <v>74</v>
      </c>
      <c r="S13" t="s">
        <v>76</v>
      </c>
      <c r="T13" t="s">
        <v>75</v>
      </c>
      <c r="Y13" s="4" t="s">
        <v>54</v>
      </c>
      <c r="Z13" s="5">
        <v>717</v>
      </c>
      <c r="AB13" s="4" t="s">
        <v>54</v>
      </c>
      <c r="AC13" s="11">
        <v>494.2</v>
      </c>
    </row>
    <row r="14" spans="1:44" ht="14.25" customHeight="1" x14ac:dyDescent="0.25">
      <c r="A14" s="7">
        <f>L13/60</f>
        <v>0.86418803418803414</v>
      </c>
      <c r="R14" t="str" cm="1">
        <f t="array" ref="R14:S16">R7:S9</f>
        <v>Guest</v>
      </c>
      <c r="S14" s="12">
        <v>924</v>
      </c>
      <c r="T14" s="6" cm="1">
        <f t="array" ref="T14:T16">V7:V9</f>
        <v>7.7601410934744264E-2</v>
      </c>
      <c r="Y14" s="4" t="s">
        <v>55</v>
      </c>
      <c r="Z14" s="5">
        <v>819</v>
      </c>
      <c r="AB14" s="4" t="s">
        <v>55</v>
      </c>
      <c r="AC14" s="11">
        <v>819.9</v>
      </c>
    </row>
    <row r="15" spans="1:44" ht="14.25" customHeight="1" thickBot="1" x14ac:dyDescent="0.35">
      <c r="E15" s="14" t="s">
        <v>10</v>
      </c>
      <c r="F15" s="14"/>
      <c r="K15" s="14" t="s">
        <v>47</v>
      </c>
      <c r="L15" s="14"/>
      <c r="N15" s="14" t="s">
        <v>9</v>
      </c>
      <c r="O15" s="14"/>
      <c r="P15" s="10"/>
      <c r="R15" t="str">
        <v>New</v>
      </c>
      <c r="S15" s="12">
        <v>6001</v>
      </c>
      <c r="T15" s="6">
        <v>0.50398925002099604</v>
      </c>
      <c r="V15" s="6"/>
      <c r="Y15" s="4" t="s">
        <v>56</v>
      </c>
      <c r="Z15" s="5">
        <v>1456</v>
      </c>
      <c r="AB15" s="4" t="s">
        <v>56</v>
      </c>
      <c r="AC15" s="11">
        <v>868.9</v>
      </c>
    </row>
    <row r="16" spans="1:44" ht="14.25" customHeight="1" x14ac:dyDescent="0.25">
      <c r="A16" t="s">
        <v>9</v>
      </c>
      <c r="R16" t="str">
        <v>Returning</v>
      </c>
      <c r="S16" s="12">
        <v>4982</v>
      </c>
      <c r="T16" s="6">
        <v>0.4184093390442597</v>
      </c>
      <c r="V16" s="6"/>
      <c r="Y16" s="4" t="s">
        <v>57</v>
      </c>
      <c r="Z16" s="5">
        <v>609</v>
      </c>
      <c r="AB16" s="4" t="s">
        <v>57</v>
      </c>
      <c r="AC16" s="11">
        <v>722.3</v>
      </c>
    </row>
    <row r="17" spans="1:43" ht="14.25" customHeight="1" x14ac:dyDescent="0.25">
      <c r="A17" s="6">
        <f>AC19/Z19</f>
        <v>0.76178718400940615</v>
      </c>
      <c r="E17" s="3" t="s">
        <v>39</v>
      </c>
      <c r="F17" t="s">
        <v>42</v>
      </c>
      <c r="K17" s="3" t="s">
        <v>39</v>
      </c>
      <c r="L17" t="s">
        <v>46</v>
      </c>
      <c r="N17" s="3" t="s">
        <v>39</v>
      </c>
      <c r="O17" t="s">
        <v>62</v>
      </c>
      <c r="V17" s="6"/>
      <c r="Y17" s="4" t="s">
        <v>58</v>
      </c>
      <c r="Z17" s="5">
        <v>814</v>
      </c>
      <c r="AB17" s="4" t="s">
        <v>58</v>
      </c>
      <c r="AC17" s="11">
        <v>864.89999999999986</v>
      </c>
    </row>
    <row r="18" spans="1:43" ht="14.25" customHeight="1" x14ac:dyDescent="0.25">
      <c r="E18" s="4" t="s">
        <v>28</v>
      </c>
      <c r="F18" s="5">
        <v>1151</v>
      </c>
      <c r="K18" s="4" t="s">
        <v>28</v>
      </c>
      <c r="L18" s="8">
        <v>3.2448275862068967</v>
      </c>
      <c r="N18" s="4" t="s">
        <v>28</v>
      </c>
      <c r="O18" s="11">
        <v>1067.1999999999998</v>
      </c>
      <c r="P18" s="6">
        <f>O18/F7</f>
        <v>0.39865521105715346</v>
      </c>
      <c r="Y18" s="4" t="s">
        <v>59</v>
      </c>
      <c r="Z18" s="5">
        <v>532</v>
      </c>
      <c r="AB18" s="4" t="s">
        <v>59</v>
      </c>
      <c r="AC18" s="11">
        <v>933</v>
      </c>
    </row>
    <row r="19" spans="1:43" ht="14.25" customHeight="1" x14ac:dyDescent="0.25">
      <c r="A19" t="s">
        <v>73</v>
      </c>
      <c r="E19" s="4" t="s">
        <v>24</v>
      </c>
      <c r="F19" s="5">
        <v>1341</v>
      </c>
      <c r="K19" s="4" t="s">
        <v>24</v>
      </c>
      <c r="L19" s="8">
        <v>2.8944444444444448</v>
      </c>
      <c r="N19" s="4" t="s">
        <v>24</v>
      </c>
      <c r="O19" s="11">
        <v>1601.6999999999998</v>
      </c>
      <c r="P19" s="6">
        <f t="shared" ref="P19:P23" si="3">O19/F8</f>
        <v>0.66681931723563692</v>
      </c>
      <c r="Y19" s="4" t="s">
        <v>40</v>
      </c>
      <c r="Z19" s="5">
        <v>11907</v>
      </c>
      <c r="AB19" s="4" t="s">
        <v>40</v>
      </c>
      <c r="AC19" s="11">
        <v>9070.5999999999985</v>
      </c>
    </row>
    <row r="20" spans="1:43" ht="14.25" customHeight="1" x14ac:dyDescent="0.25">
      <c r="A20" s="6">
        <f>O13/A5</f>
        <v>0.21296716217351139</v>
      </c>
      <c r="E20" s="4" t="s">
        <v>32</v>
      </c>
      <c r="F20" s="5">
        <v>2257</v>
      </c>
      <c r="K20" s="4" t="s">
        <v>32</v>
      </c>
      <c r="L20" s="8">
        <v>3.9571428571428564</v>
      </c>
      <c r="N20" s="4" t="s">
        <v>32</v>
      </c>
      <c r="O20" s="11">
        <v>1347.8</v>
      </c>
      <c r="P20" s="6">
        <f t="shared" si="3"/>
        <v>0.94648876404494375</v>
      </c>
    </row>
    <row r="21" spans="1:43" ht="14.25" customHeight="1" x14ac:dyDescent="0.25">
      <c r="E21" s="4" t="s">
        <v>26</v>
      </c>
      <c r="F21" s="5">
        <v>1324</v>
      </c>
      <c r="K21" s="4" t="s">
        <v>26</v>
      </c>
      <c r="L21" s="8">
        <v>3.1542857142857139</v>
      </c>
      <c r="N21" s="4" t="s">
        <v>26</v>
      </c>
      <c r="O21" s="11">
        <v>1615.9000000000003</v>
      </c>
      <c r="P21" s="6">
        <f t="shared" si="3"/>
        <v>0.85997871208089427</v>
      </c>
    </row>
    <row r="22" spans="1:43" ht="14.25" customHeight="1" x14ac:dyDescent="0.25">
      <c r="E22" s="4" t="s">
        <v>30</v>
      </c>
      <c r="F22" s="5">
        <v>2334</v>
      </c>
      <c r="K22" s="4" t="s">
        <v>30</v>
      </c>
      <c r="L22" s="8">
        <v>3.7343750000000013</v>
      </c>
      <c r="N22" s="4" t="s">
        <v>30</v>
      </c>
      <c r="O22" s="11">
        <v>1763.6</v>
      </c>
      <c r="P22" s="6">
        <f t="shared" si="3"/>
        <v>1.2872992700729926</v>
      </c>
    </row>
    <row r="23" spans="1:43" ht="14.25" customHeight="1" x14ac:dyDescent="0.25">
      <c r="E23" s="4" t="s">
        <v>18</v>
      </c>
      <c r="F23" s="5">
        <v>2141</v>
      </c>
      <c r="K23" s="4" t="s">
        <v>18</v>
      </c>
      <c r="L23" s="8">
        <v>3.9885714285714293</v>
      </c>
      <c r="N23" s="4" t="s">
        <v>18</v>
      </c>
      <c r="O23" s="11">
        <v>1674.4</v>
      </c>
      <c r="P23" s="6">
        <f t="shared" si="3"/>
        <v>0.77698375870069614</v>
      </c>
    </row>
    <row r="24" spans="1:43" ht="14.25" customHeight="1" x14ac:dyDescent="0.25">
      <c r="Y24" t="s">
        <v>37</v>
      </c>
      <c r="Z24" t="s">
        <v>3</v>
      </c>
      <c r="AB24" t="s">
        <v>37</v>
      </c>
      <c r="AC24" t="s">
        <v>9</v>
      </c>
      <c r="AF24" t="str" cm="1">
        <f t="array" ref="AF24:AG26">_xlfn.CHOOSECOLS(AF7:AH9,1,3)</f>
        <v>Direct</v>
      </c>
      <c r="AG24" s="6">
        <v>0.45218541206557661</v>
      </c>
      <c r="AK24" t="str" cm="1">
        <f t="array" ref="AK24:AL27">_xlfn.CHOOSECOLS(AK7:AM10,1,3)</f>
        <v>Campaign 1</v>
      </c>
      <c r="AL24" s="6">
        <v>0.31992581680694177</v>
      </c>
      <c r="AP24" t="str" cm="1">
        <f t="array" ref="AP24:AQ26">_xlfn.CHOOSECOLS(AP7:AR9,1,3)</f>
        <v>Page 1</v>
      </c>
      <c r="AQ24" s="6">
        <v>0.32322183381688502</v>
      </c>
    </row>
    <row r="25" spans="1:43" ht="14.25" customHeight="1" x14ac:dyDescent="0.25">
      <c r="Y25" t="str" cm="1">
        <f t="array" ref="Y25:Z36">Y7:Z18</f>
        <v>Jan</v>
      </c>
      <c r="Z25">
        <v>1116</v>
      </c>
      <c r="AB25" t="str" cm="1">
        <f t="array" ref="AB25:AC36">AB7:AC18</f>
        <v>Jan</v>
      </c>
      <c r="AC25" s="11">
        <v>1026.5</v>
      </c>
      <c r="AF25" t="str">
        <v>Organic</v>
      </c>
      <c r="AG25" s="6">
        <v>0.43450015698779915</v>
      </c>
      <c r="AK25" t="str">
        <v>Campaign 2</v>
      </c>
      <c r="AL25" s="6">
        <v>0.22020436253345582</v>
      </c>
      <c r="AP25" t="str">
        <v>Page 2</v>
      </c>
      <c r="AQ25" s="6">
        <v>0.26216519516041864</v>
      </c>
    </row>
    <row r="26" spans="1:43" ht="14.25" customHeight="1" x14ac:dyDescent="0.25">
      <c r="Y26" t="str">
        <v>Feb</v>
      </c>
      <c r="Z26">
        <v>378</v>
      </c>
      <c r="AB26" t="str">
        <v>Feb</v>
      </c>
      <c r="AC26" s="11">
        <v>174</v>
      </c>
      <c r="AF26" t="str">
        <v>Paid Search</v>
      </c>
      <c r="AG26" s="6">
        <v>0.11331443094662426</v>
      </c>
      <c r="AK26" t="str">
        <v>Campaign 3</v>
      </c>
      <c r="AL26" s="6">
        <v>0.24477026768235779</v>
      </c>
      <c r="AP26" t="str">
        <v>Page 3</v>
      </c>
      <c r="AQ26" s="6">
        <v>0.41461297102269634</v>
      </c>
    </row>
    <row r="27" spans="1:43" ht="14.25" customHeight="1" x14ac:dyDescent="0.25">
      <c r="Y27" t="str">
        <v>Mar</v>
      </c>
      <c r="Z27">
        <v>1660</v>
      </c>
      <c r="AB27" t="str">
        <v>Mar</v>
      </c>
      <c r="AC27" s="11">
        <v>817</v>
      </c>
      <c r="AK27" t="str">
        <v>Campaign 4</v>
      </c>
      <c r="AL27" s="6">
        <v>0.2150995529772447</v>
      </c>
      <c r="AQ27" s="6"/>
    </row>
    <row r="28" spans="1:43" ht="14.25" customHeight="1" x14ac:dyDescent="0.25">
      <c r="Y28" t="str">
        <v>Apr</v>
      </c>
      <c r="Z28">
        <v>1135</v>
      </c>
      <c r="AB28" t="str">
        <v>Apr</v>
      </c>
      <c r="AC28" s="11">
        <v>580.5</v>
      </c>
    </row>
    <row r="29" spans="1:43" ht="14.25" customHeight="1" x14ac:dyDescent="0.25">
      <c r="Y29" t="str">
        <v>May</v>
      </c>
      <c r="Z29">
        <v>1839</v>
      </c>
      <c r="AB29" t="str">
        <v>May</v>
      </c>
      <c r="AC29" s="11">
        <v>776.30000000000007</v>
      </c>
    </row>
    <row r="30" spans="1:43" ht="14.25" customHeight="1" x14ac:dyDescent="0.25">
      <c r="Y30" t="str">
        <v>Jun</v>
      </c>
      <c r="Z30">
        <v>832</v>
      </c>
      <c r="AB30" t="str">
        <v>Jun</v>
      </c>
      <c r="AC30" s="11">
        <v>993.09999999999991</v>
      </c>
    </row>
    <row r="31" spans="1:43" ht="14.25" customHeight="1" x14ac:dyDescent="0.25">
      <c r="Y31" t="str">
        <v>Jul</v>
      </c>
      <c r="Z31">
        <v>717</v>
      </c>
      <c r="AB31" t="str">
        <v>Jul</v>
      </c>
      <c r="AC31" s="11">
        <v>494.2</v>
      </c>
    </row>
    <row r="32" spans="1:43" ht="14.25" customHeight="1" x14ac:dyDescent="0.25">
      <c r="Y32" t="str">
        <v>Aug</v>
      </c>
      <c r="Z32">
        <v>819</v>
      </c>
      <c r="AB32" t="str">
        <v>Aug</v>
      </c>
      <c r="AC32" s="11">
        <v>819.9</v>
      </c>
    </row>
    <row r="33" spans="25:29" ht="14.25" customHeight="1" x14ac:dyDescent="0.25">
      <c r="Y33" t="str">
        <v>Sep</v>
      </c>
      <c r="Z33">
        <v>1456</v>
      </c>
      <c r="AB33" t="str">
        <v>Sep</v>
      </c>
      <c r="AC33" s="11">
        <v>868.9</v>
      </c>
    </row>
    <row r="34" spans="25:29" ht="14.25" customHeight="1" x14ac:dyDescent="0.25">
      <c r="Y34" t="str">
        <v>Oct</v>
      </c>
      <c r="Z34">
        <v>609</v>
      </c>
      <c r="AB34" t="str">
        <v>Oct</v>
      </c>
      <c r="AC34" s="11">
        <v>722.3</v>
      </c>
    </row>
    <row r="35" spans="25:29" ht="14.25" customHeight="1" x14ac:dyDescent="0.25">
      <c r="Y35" t="str">
        <v>Nov</v>
      </c>
      <c r="Z35">
        <v>814</v>
      </c>
      <c r="AB35" t="str">
        <v>Nov</v>
      </c>
      <c r="AC35" s="11">
        <v>864.89999999999986</v>
      </c>
    </row>
    <row r="36" spans="25:29" ht="14.25" customHeight="1" x14ac:dyDescent="0.25">
      <c r="Y36" t="str">
        <v>Dec</v>
      </c>
      <c r="Z36">
        <v>532</v>
      </c>
      <c r="AB36" t="str">
        <v>Dec</v>
      </c>
      <c r="AC36" s="11">
        <v>933</v>
      </c>
    </row>
  </sheetData>
  <mergeCells count="20">
    <mergeCell ref="N4:O4"/>
    <mergeCell ref="N15:O15"/>
    <mergeCell ref="E1:O2"/>
    <mergeCell ref="R4:S4"/>
    <mergeCell ref="U4:V4"/>
    <mergeCell ref="R1:W2"/>
    <mergeCell ref="E4:F4"/>
    <mergeCell ref="E15:F15"/>
    <mergeCell ref="H4:I4"/>
    <mergeCell ref="K4:L4"/>
    <mergeCell ref="K15:L15"/>
    <mergeCell ref="AP1:AR2"/>
    <mergeCell ref="AP4:AQ4"/>
    <mergeCell ref="Y4:Z4"/>
    <mergeCell ref="AB4:AC4"/>
    <mergeCell ref="Y1:AD2"/>
    <mergeCell ref="AF4:AG4"/>
    <mergeCell ref="AK4:AL4"/>
    <mergeCell ref="AF1:AI2"/>
    <mergeCell ref="AK1:A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5333-C4A2-40C4-8751-190B53C83663}">
  <dimension ref="A1"/>
  <sheetViews>
    <sheetView showGridLines="0" tabSelected="1" topLeftCell="A4" zoomScaleNormal="100" workbookViewId="0">
      <selection activeCell="T10" sqref="T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ADMIN</cp:lastModifiedBy>
  <dcterms:created xsi:type="dcterms:W3CDTF">2025-06-13T02:44:26Z</dcterms:created>
  <dcterms:modified xsi:type="dcterms:W3CDTF">2026-04-17T18:44:17Z</dcterms:modified>
</cp:coreProperties>
</file>